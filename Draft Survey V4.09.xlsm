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23\Desktop\"/>
    </mc:Choice>
  </mc:AlternateContent>
  <xr:revisionPtr revIDLastSave="0" documentId="13_ncr:1_{AEC13767-0462-4166-8350-1CC2CB9491C3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Initial" sheetId="1" r:id="rId1"/>
    <sheet name="Int1" sheetId="38" r:id="rId2"/>
    <sheet name="Int2" sheetId="39" r:id="rId3"/>
    <sheet name="Final" sheetId="40" r:id="rId4"/>
    <sheet name="DATA" sheetId="5" r:id="rId5"/>
    <sheet name="HYDROS" sheetId="11" r:id="rId6"/>
    <sheet name="TRIM" sheetId="27" r:id="rId7"/>
    <sheet name="TrimmingTable" sheetId="28" r:id="rId8"/>
    <sheet name="SOUNDING" sheetId="14" r:id="rId9"/>
    <sheet name="FPT" sheetId="15" r:id="rId10"/>
    <sheet name="No.1 P" sheetId="16" r:id="rId11"/>
    <sheet name="No.1 S" sheetId="17" r:id="rId12"/>
    <sheet name="No.2 P" sheetId="18" r:id="rId13"/>
    <sheet name="No.2 S" sheetId="19" r:id="rId14"/>
    <sheet name="No.3 P" sheetId="20" r:id="rId15"/>
    <sheet name="No.3 S" sheetId="21" r:id="rId16"/>
    <sheet name="No.4 P" sheetId="22" r:id="rId17"/>
    <sheet name="No.4 S" sheetId="23" r:id="rId18"/>
    <sheet name="No.5 P" sheetId="24" r:id="rId19"/>
    <sheet name="No.5 S" sheetId="43" r:id="rId20"/>
    <sheet name="No.6 P" sheetId="44" r:id="rId21"/>
    <sheet name="No.6 S" sheetId="42" r:id="rId22"/>
    <sheet name="No.7 P" sheetId="45" r:id="rId23"/>
    <sheet name="No.7 S" sheetId="25" r:id="rId24"/>
    <sheet name="No.8 P" sheetId="46" r:id="rId25"/>
    <sheet name="No.8 S" sheetId="47" r:id="rId26"/>
    <sheet name="No.9 P" sheetId="48" r:id="rId27"/>
    <sheet name="No.9 S" sheetId="49" r:id="rId28"/>
    <sheet name="No.10 P" sheetId="50" r:id="rId29"/>
    <sheet name="No.10 S" sheetId="51" r:id="rId30"/>
    <sheet name="APT" sheetId="26" r:id="rId31"/>
    <sheet name="PrintOut" sheetId="41" r:id="rId32"/>
  </sheets>
  <functionGroups builtInGroupCount="19"/>
  <definedNames>
    <definedName name="_xlnm.Print_Area" localSheetId="6">TRIM!$A$1:$X$16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0" i="41" l="1"/>
  <c r="D40" i="41"/>
  <c r="E39" i="41"/>
  <c r="D39" i="41"/>
  <c r="E37" i="41"/>
  <c r="D37" i="41"/>
  <c r="E35" i="41"/>
  <c r="D35" i="41"/>
  <c r="E33" i="41"/>
  <c r="D33" i="41"/>
  <c r="E32" i="41"/>
  <c r="D32" i="41"/>
  <c r="E31" i="41"/>
  <c r="D31" i="41"/>
  <c r="E25" i="41"/>
  <c r="D25" i="41"/>
  <c r="E21" i="41"/>
  <c r="D21" i="41"/>
  <c r="G18" i="41"/>
  <c r="E18" i="41"/>
  <c r="G17" i="41"/>
  <c r="E17" i="41"/>
  <c r="G16" i="41"/>
  <c r="F16" i="41"/>
  <c r="E16" i="41"/>
  <c r="D16" i="41"/>
  <c r="C16" i="41"/>
  <c r="G15" i="41"/>
  <c r="F15" i="41"/>
  <c r="E15" i="41"/>
  <c r="D15" i="41"/>
  <c r="C15" i="41"/>
  <c r="I14" i="41"/>
  <c r="G14" i="41"/>
  <c r="F14" i="41"/>
  <c r="E14" i="41"/>
  <c r="D14" i="41"/>
  <c r="C14" i="41"/>
  <c r="I13" i="41"/>
  <c r="G13" i="41"/>
  <c r="F13" i="41"/>
  <c r="E13" i="41"/>
  <c r="D13" i="41"/>
  <c r="C13" i="41"/>
  <c r="G12" i="41"/>
  <c r="F12" i="41"/>
  <c r="E12" i="41"/>
  <c r="D12" i="41"/>
  <c r="C12" i="41"/>
  <c r="G11" i="41"/>
  <c r="F11" i="41"/>
  <c r="E11" i="41"/>
  <c r="D11" i="41"/>
  <c r="C11" i="41"/>
  <c r="G7" i="41"/>
  <c r="C7" i="41"/>
  <c r="G6" i="41"/>
  <c r="B4" i="41"/>
  <c r="G3" i="41"/>
  <c r="F23" i="14"/>
  <c r="F22" i="14"/>
  <c r="C22" i="14"/>
  <c r="E22" i="14" s="1"/>
  <c r="F21" i="14"/>
  <c r="C21" i="14"/>
  <c r="E21" i="14" s="1"/>
  <c r="F20" i="14"/>
  <c r="C20" i="14"/>
  <c r="E20" i="14" s="1"/>
  <c r="F19" i="14"/>
  <c r="C19" i="14"/>
  <c r="E19" i="14" s="1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I4" i="14"/>
  <c r="C11" i="14" s="1"/>
  <c r="E11" i="14" s="1"/>
  <c r="F4" i="14"/>
  <c r="F3" i="14"/>
  <c r="F2" i="14"/>
  <c r="C13" i="27"/>
  <c r="S10" i="27"/>
  <c r="H10" i="27"/>
  <c r="C10" i="27"/>
  <c r="C14" i="27" s="1"/>
  <c r="H9" i="27"/>
  <c r="C9" i="27"/>
  <c r="L4" i="27" s="1"/>
  <c r="W3" i="27" s="1"/>
  <c r="T7" i="27"/>
  <c r="R3" i="27"/>
  <c r="S9" i="27" s="1"/>
  <c r="R2" i="27"/>
  <c r="S8" i="27" s="1"/>
  <c r="E4" i="5"/>
  <c r="D4" i="5"/>
  <c r="C4" i="5"/>
  <c r="E3" i="5"/>
  <c r="D3" i="5"/>
  <c r="C3" i="5"/>
  <c r="E2" i="5"/>
  <c r="D2" i="5"/>
  <c r="C2" i="5"/>
  <c r="B24" i="40"/>
  <c r="G22" i="40"/>
  <c r="E22" i="40"/>
  <c r="P21" i="40"/>
  <c r="G23" i="40" s="1"/>
  <c r="P20" i="40"/>
  <c r="P18" i="40"/>
  <c r="H16" i="40"/>
  <c r="H12" i="40"/>
  <c r="H8" i="40"/>
  <c r="B24" i="39"/>
  <c r="G22" i="39"/>
  <c r="E22" i="39"/>
  <c r="P21" i="39"/>
  <c r="P20" i="39"/>
  <c r="P18" i="39"/>
  <c r="E24" i="39" s="1"/>
  <c r="H16" i="39"/>
  <c r="H12" i="39"/>
  <c r="H8" i="39"/>
  <c r="B24" i="38"/>
  <c r="G22" i="38"/>
  <c r="E22" i="38"/>
  <c r="P21" i="38"/>
  <c r="E23" i="38" s="1"/>
  <c r="P20" i="38"/>
  <c r="P18" i="38"/>
  <c r="E24" i="38" s="1"/>
  <c r="H16" i="38"/>
  <c r="H12" i="38"/>
  <c r="H8" i="38"/>
  <c r="P25" i="1"/>
  <c r="G24" i="1"/>
  <c r="E24" i="1"/>
  <c r="B24" i="1"/>
  <c r="G22" i="1"/>
  <c r="E22" i="1"/>
  <c r="P21" i="1"/>
  <c r="G23" i="1" s="1"/>
  <c r="P20" i="1"/>
  <c r="P18" i="1"/>
  <c r="P22" i="1" s="1"/>
  <c r="H16" i="1"/>
  <c r="H12" i="1"/>
  <c r="H8" i="1"/>
  <c r="I3" i="27" l="1"/>
  <c r="L3" i="27"/>
  <c r="W2" i="27" s="1"/>
  <c r="I4" i="27"/>
  <c r="T3" i="27" s="1"/>
  <c r="T4" i="27"/>
  <c r="W4" i="27"/>
  <c r="C13" i="14"/>
  <c r="E13" i="14" s="1"/>
  <c r="C17" i="14"/>
  <c r="E17" i="14" s="1"/>
  <c r="C14" i="14"/>
  <c r="E14" i="14" s="1"/>
  <c r="C15" i="14"/>
  <c r="E15" i="14" s="1"/>
  <c r="C18" i="14"/>
  <c r="E18" i="14" s="1"/>
  <c r="C16" i="14"/>
  <c r="E16" i="14" s="1"/>
  <c r="C4" i="14"/>
  <c r="E4" i="14" s="1"/>
  <c r="C8" i="14"/>
  <c r="E8" i="14" s="1"/>
  <c r="C12" i="14"/>
  <c r="E12" i="14" s="1"/>
  <c r="C23" i="14"/>
  <c r="E23" i="14" s="1"/>
  <c r="C5" i="14"/>
  <c r="E5" i="14" s="1"/>
  <c r="C9" i="14"/>
  <c r="E9" i="14" s="1"/>
  <c r="C2" i="14"/>
  <c r="E2" i="14" s="1"/>
  <c r="C6" i="14"/>
  <c r="E6" i="14" s="1"/>
  <c r="C10" i="14"/>
  <c r="E10" i="14" s="1"/>
  <c r="C3" i="14"/>
  <c r="E3" i="14" s="1"/>
  <c r="C7" i="14"/>
  <c r="E7" i="14" s="1"/>
  <c r="I12" i="41"/>
  <c r="I11" i="41"/>
  <c r="O4" i="27"/>
  <c r="O3" i="27"/>
  <c r="E24" i="40"/>
  <c r="G24" i="40"/>
  <c r="P22" i="40"/>
  <c r="P22" i="39"/>
  <c r="G24" i="39"/>
  <c r="G23" i="39"/>
  <c r="E23" i="39"/>
  <c r="G23" i="38"/>
  <c r="P22" i="38"/>
  <c r="G24" i="38"/>
  <c r="V23" i="40"/>
  <c r="P25" i="40" s="1"/>
  <c r="U23" i="40"/>
  <c r="E24" i="41" s="1"/>
  <c r="T23" i="40"/>
  <c r="E23" i="41" s="1"/>
  <c r="S23" i="40"/>
  <c r="P23" i="40"/>
  <c r="E23" i="40"/>
  <c r="V23" i="39"/>
  <c r="P25" i="39" s="1"/>
  <c r="U23" i="39"/>
  <c r="T23" i="39"/>
  <c r="S23" i="39"/>
  <c r="P23" i="39"/>
  <c r="V23" i="38"/>
  <c r="P25" i="38" s="1"/>
  <c r="U23" i="38"/>
  <c r="T23" i="38"/>
  <c r="S23" i="38"/>
  <c r="P23" i="38"/>
  <c r="V23" i="1"/>
  <c r="U23" i="1"/>
  <c r="D24" i="41" s="1"/>
  <c r="T23" i="1"/>
  <c r="D23" i="41" s="1"/>
  <c r="S23" i="1"/>
  <c r="P23" i="1"/>
  <c r="E23" i="1"/>
  <c r="T2" i="27"/>
  <c r="T14" i="27" s="1"/>
  <c r="T15" i="27" l="1"/>
  <c r="T16" i="27" s="1"/>
  <c r="E25" i="14"/>
  <c r="C25" i="14"/>
  <c r="E22" i="41"/>
  <c r="D22" i="41"/>
  <c r="P24" i="40"/>
  <c r="P27" i="40" s="1"/>
  <c r="P24" i="39"/>
  <c r="P27" i="39" s="1"/>
  <c r="P24" i="38"/>
  <c r="P27" i="38" s="1"/>
  <c r="P24" i="1"/>
  <c r="P27" i="1" s="1"/>
  <c r="K29" i="1" s="1"/>
  <c r="E41" i="41" l="1"/>
  <c r="K29" i="40"/>
  <c r="O31" i="40" s="1"/>
  <c r="O31" i="1"/>
  <c r="D41" i="41"/>
  <c r="E26" i="41"/>
  <c r="E27" i="41" s="1"/>
  <c r="E28" i="41" s="1"/>
  <c r="E38" i="41" s="1"/>
  <c r="E42" i="41" s="1"/>
  <c r="D26" i="41"/>
  <c r="D27" i="41" s="1"/>
  <c r="D28" i="41" s="1"/>
  <c r="D38" i="41" s="1"/>
  <c r="K29" i="38"/>
  <c r="O31" i="38" s="1"/>
  <c r="D42" i="41" l="1"/>
  <c r="G47" i="41" s="1"/>
  <c r="K29" i="39"/>
  <c r="O31" i="39" s="1"/>
  <c r="A47" i="41" l="1"/>
  <c r="I9" i="27"/>
  <c r="I10" i="27" s="1"/>
  <c r="I14" i="27" l="1"/>
  <c r="I15" i="27"/>
  <c r="I8" i="27"/>
  <c r="I16" i="27" l="1"/>
</calcChain>
</file>

<file path=xl/sharedStrings.xml><?xml version="1.0" encoding="utf-8"?>
<sst xmlns="http://schemas.openxmlformats.org/spreadsheetml/2006/main" count="663" uniqueCount="175">
  <si>
    <r>
      <rPr>
        <b/>
        <sz val="16"/>
        <color rgb="FFFF0000"/>
        <rFont val="Arial"/>
        <family val="2"/>
      </rPr>
      <t>I</t>
    </r>
    <r>
      <rPr>
        <b/>
        <sz val="16"/>
        <color theme="1"/>
        <rFont val="Arial"/>
        <family val="2"/>
      </rPr>
      <t xml:space="preserve">nitial </t>
    </r>
    <r>
      <rPr>
        <b/>
        <sz val="16"/>
        <color rgb="FFFF0000"/>
        <rFont val="Arial"/>
        <family val="2"/>
      </rPr>
      <t>S</t>
    </r>
    <r>
      <rPr>
        <b/>
        <sz val="16"/>
        <color theme="1"/>
        <rFont val="Arial"/>
        <family val="2"/>
      </rPr>
      <t>urvey</t>
    </r>
    <phoneticPr fontId="1" type="noConversion"/>
  </si>
  <si>
    <t>Fuel Oil</t>
    <phoneticPr fontId="1" type="noConversion"/>
  </si>
  <si>
    <t>Diesel &amp; Lube</t>
    <phoneticPr fontId="1" type="noConversion"/>
  </si>
  <si>
    <t>Fresh Water</t>
    <phoneticPr fontId="1" type="noConversion"/>
  </si>
  <si>
    <t>Ballast</t>
    <phoneticPr fontId="1" type="noConversion"/>
  </si>
  <si>
    <t>Others</t>
    <phoneticPr fontId="1" type="noConversion"/>
  </si>
  <si>
    <t>Constant</t>
    <phoneticPr fontId="1" type="noConversion"/>
  </si>
  <si>
    <t>Corrected F</t>
    <phoneticPr fontId="1" type="noConversion"/>
  </si>
  <si>
    <t>Corrected M</t>
    <phoneticPr fontId="1" type="noConversion"/>
  </si>
  <si>
    <t>Corrected A</t>
    <phoneticPr fontId="1" type="noConversion"/>
  </si>
  <si>
    <t>Quarter Mean</t>
    <phoneticPr fontId="1" type="noConversion"/>
  </si>
  <si>
    <t>DISP DM</t>
    <phoneticPr fontId="1" type="noConversion"/>
  </si>
  <si>
    <t>LCF</t>
    <phoneticPr fontId="1" type="noConversion"/>
  </si>
  <si>
    <t>TPC</t>
    <phoneticPr fontId="1" type="noConversion"/>
  </si>
  <si>
    <t>DM/DZ</t>
    <phoneticPr fontId="1" type="noConversion"/>
  </si>
  <si>
    <t>Displacement</t>
    <phoneticPr fontId="1" type="noConversion"/>
  </si>
  <si>
    <t>1st Corr'n</t>
    <phoneticPr fontId="1" type="noConversion"/>
  </si>
  <si>
    <t>2nd Corr'n</t>
    <phoneticPr fontId="1" type="noConversion"/>
  </si>
  <si>
    <t>True Disp</t>
    <phoneticPr fontId="1" type="noConversion"/>
  </si>
  <si>
    <t>Cargo Weight:</t>
    <phoneticPr fontId="1" type="noConversion"/>
  </si>
  <si>
    <t>B/L or Shore Figure:</t>
    <phoneticPr fontId="1" type="noConversion"/>
  </si>
  <si>
    <t>Difference:</t>
  </si>
  <si>
    <t>*</t>
    <phoneticPr fontId="1" type="noConversion"/>
  </si>
  <si>
    <t>Trim by Stern sign: Plus(+)</t>
    <phoneticPr fontId="1" type="noConversion"/>
  </si>
  <si>
    <t>Base of Longitudinal Center: After Perpendicular</t>
    <phoneticPr fontId="1" type="noConversion"/>
  </si>
  <si>
    <r>
      <rPr>
        <b/>
        <sz val="16"/>
        <color rgb="FFFF0000"/>
        <rFont val="Arial"/>
        <family val="2"/>
      </rPr>
      <t>I</t>
    </r>
    <r>
      <rPr>
        <b/>
        <sz val="16"/>
        <color theme="1"/>
        <rFont val="Arial"/>
        <family val="2"/>
      </rPr>
      <t>nter</t>
    </r>
    <r>
      <rPr>
        <b/>
        <sz val="16"/>
        <color rgb="FFFF0000"/>
        <rFont val="Arial"/>
        <family val="2"/>
      </rPr>
      <t>1</t>
    </r>
    <r>
      <rPr>
        <b/>
        <sz val="16"/>
        <color theme="1"/>
        <rFont val="Arial"/>
        <family val="2"/>
      </rPr>
      <t xml:space="preserve"> </t>
    </r>
    <r>
      <rPr>
        <b/>
        <sz val="16"/>
        <color rgb="FFFF0000"/>
        <rFont val="Arial"/>
        <family val="2"/>
      </rPr>
      <t>S</t>
    </r>
    <r>
      <rPr>
        <b/>
        <sz val="16"/>
        <color theme="1"/>
        <rFont val="Arial"/>
        <family val="2"/>
      </rPr>
      <t>urvey</t>
    </r>
    <phoneticPr fontId="1" type="noConversion"/>
  </si>
  <si>
    <r>
      <rPr>
        <b/>
        <sz val="16"/>
        <color rgb="FFFF0000"/>
        <rFont val="Arial"/>
        <family val="2"/>
      </rPr>
      <t>I</t>
    </r>
    <r>
      <rPr>
        <b/>
        <sz val="16"/>
        <color theme="1"/>
        <rFont val="Arial"/>
        <family val="2"/>
      </rPr>
      <t>nter</t>
    </r>
    <r>
      <rPr>
        <b/>
        <sz val="16"/>
        <color rgb="FFFF0000"/>
        <rFont val="Arial"/>
        <family val="2"/>
      </rPr>
      <t>2</t>
    </r>
    <r>
      <rPr>
        <b/>
        <sz val="16"/>
        <color theme="1"/>
        <rFont val="Arial"/>
        <family val="2"/>
      </rPr>
      <t xml:space="preserve"> </t>
    </r>
    <r>
      <rPr>
        <b/>
        <sz val="16"/>
        <color rgb="FFFF0000"/>
        <rFont val="Arial"/>
        <family val="2"/>
      </rPr>
      <t>S</t>
    </r>
    <r>
      <rPr>
        <b/>
        <sz val="16"/>
        <color theme="1"/>
        <rFont val="Arial"/>
        <family val="2"/>
      </rPr>
      <t>urvey</t>
    </r>
    <phoneticPr fontId="1" type="noConversion"/>
  </si>
  <si>
    <r>
      <rPr>
        <b/>
        <sz val="16"/>
        <color rgb="FFFF0000"/>
        <rFont val="Arial"/>
        <family val="2"/>
      </rPr>
      <t>F</t>
    </r>
    <r>
      <rPr>
        <b/>
        <sz val="16"/>
        <color theme="1"/>
        <rFont val="Arial"/>
        <family val="2"/>
      </rPr>
      <t xml:space="preserve">inal </t>
    </r>
    <r>
      <rPr>
        <b/>
        <sz val="16"/>
        <color rgb="FFFF0000"/>
        <rFont val="Arial"/>
        <family val="2"/>
      </rPr>
      <t>S</t>
    </r>
    <r>
      <rPr>
        <b/>
        <sz val="16"/>
        <color theme="1"/>
        <rFont val="Arial"/>
        <family val="2"/>
      </rPr>
      <t>urvey</t>
    </r>
    <phoneticPr fontId="1" type="noConversion"/>
  </si>
  <si>
    <t>Initial</t>
    <phoneticPr fontId="1" type="noConversion"/>
  </si>
  <si>
    <t>Int1</t>
    <phoneticPr fontId="1" type="noConversion"/>
  </si>
  <si>
    <t>Int2</t>
    <phoneticPr fontId="1" type="noConversion"/>
  </si>
  <si>
    <t>Final</t>
    <phoneticPr fontId="1" type="noConversion"/>
  </si>
  <si>
    <t>Light Ship</t>
    <phoneticPr fontId="1" type="noConversion"/>
  </si>
  <si>
    <t>Breadth</t>
    <phoneticPr fontId="1" type="noConversion"/>
  </si>
  <si>
    <t>Keel plate</t>
    <phoneticPr fontId="1" type="noConversion"/>
  </si>
  <si>
    <t>LBP</t>
    <phoneticPr fontId="1" type="noConversion"/>
  </si>
  <si>
    <t>LF</t>
    <phoneticPr fontId="1" type="noConversion"/>
  </si>
  <si>
    <t>Input LF as sign(+), if fore draft mark is aft of FP</t>
    <phoneticPr fontId="1" type="noConversion"/>
  </si>
  <si>
    <t>LM</t>
    <phoneticPr fontId="1" type="noConversion"/>
  </si>
  <si>
    <t>Input LM as sign(+), if midship draft mark is aft of midship</t>
    <phoneticPr fontId="1" type="noConversion"/>
  </si>
  <si>
    <t>LA</t>
    <phoneticPr fontId="1" type="noConversion"/>
  </si>
  <si>
    <t>Input LA as sign(+), if aft draft mark is forward of AP</t>
    <phoneticPr fontId="1" type="noConversion"/>
  </si>
  <si>
    <t>DRAFT</t>
    <phoneticPr fontId="5" type="noConversion"/>
  </si>
  <si>
    <t>DISP</t>
    <phoneticPr fontId="5" type="noConversion"/>
  </si>
  <si>
    <t>TPC</t>
    <phoneticPr fontId="5" type="noConversion"/>
  </si>
  <si>
    <t>MTC</t>
    <phoneticPr fontId="5" type="noConversion"/>
  </si>
  <si>
    <t>LCB</t>
    <phoneticPr fontId="5" type="noConversion"/>
  </si>
  <si>
    <t>LCF</t>
    <phoneticPr fontId="5" type="noConversion"/>
  </si>
  <si>
    <t>LCF: Longitudinal Center of Flotation - Distance from A.P</t>
    <phoneticPr fontId="1" type="noConversion"/>
  </si>
  <si>
    <t>Cargo 
to be loaded</t>
    <phoneticPr fontId="9" type="noConversion"/>
  </si>
  <si>
    <t>CHANG PER 100 MT</t>
  </si>
  <si>
    <t>CALCULATION</t>
  </si>
  <si>
    <t>HOLD</t>
  </si>
  <si>
    <t>F</t>
  </si>
  <si>
    <t>CM</t>
  </si>
  <si>
    <t>A</t>
  </si>
  <si>
    <t>Coef. 1</t>
  </si>
  <si>
    <t>Coef. 2</t>
  </si>
  <si>
    <t>Draft</t>
    <phoneticPr fontId="9" type="noConversion"/>
  </si>
  <si>
    <t>DISTRIBUTION</t>
  </si>
  <si>
    <t>F</t>
    <phoneticPr fontId="9" type="noConversion"/>
  </si>
  <si>
    <t>TOTAL</t>
  </si>
  <si>
    <t>MT</t>
    <phoneticPr fontId="9" type="noConversion"/>
  </si>
  <si>
    <t>A</t>
    <phoneticPr fontId="9" type="noConversion"/>
  </si>
  <si>
    <t>M</t>
    <phoneticPr fontId="9" type="noConversion"/>
  </si>
  <si>
    <t>TRIM</t>
    <phoneticPr fontId="9" type="noConversion"/>
  </si>
  <si>
    <t>Required Trim</t>
    <phoneticPr fontId="9" type="noConversion"/>
  </si>
  <si>
    <t>FINAL DRAFT</t>
  </si>
  <si>
    <t>FINAL DRAFT</t>
    <phoneticPr fontId="9" type="noConversion"/>
  </si>
  <si>
    <t>Trim changing</t>
    <phoneticPr fontId="9" type="noConversion"/>
  </si>
  <si>
    <t>Hold No</t>
    <phoneticPr fontId="9" type="noConversion"/>
  </si>
  <si>
    <t>AP</t>
    <phoneticPr fontId="9" type="noConversion"/>
  </si>
  <si>
    <t>FP</t>
    <phoneticPr fontId="9" type="noConversion"/>
  </si>
  <si>
    <t>Tank</t>
    <phoneticPr fontId="9" type="noConversion"/>
  </si>
  <si>
    <t>Sounding (cm)</t>
    <phoneticPr fontId="9" type="noConversion"/>
  </si>
  <si>
    <t>Volume</t>
    <phoneticPr fontId="9" type="noConversion"/>
  </si>
  <si>
    <t>Volume Corr.</t>
    <phoneticPr fontId="9" type="noConversion"/>
  </si>
  <si>
    <t>Weight</t>
    <phoneticPr fontId="9" type="noConversion"/>
  </si>
  <si>
    <t>DF</t>
    <phoneticPr fontId="9" type="noConversion"/>
  </si>
  <si>
    <t>FPT</t>
    <phoneticPr fontId="9" type="noConversion"/>
  </si>
  <si>
    <t>DA</t>
    <phoneticPr fontId="9" type="noConversion"/>
  </si>
  <si>
    <t>DENSITY</t>
    <phoneticPr fontId="9" type="noConversion"/>
  </si>
  <si>
    <t>APT</t>
    <phoneticPr fontId="9" type="noConversion"/>
  </si>
  <si>
    <t>TOTAL</t>
    <phoneticPr fontId="9" type="noConversion"/>
  </si>
  <si>
    <t>*To modify tank data, click each tank respectively</t>
    <phoneticPr fontId="1" type="noConversion"/>
  </si>
  <si>
    <r>
      <t>更改数据请务必</t>
    </r>
    <r>
      <rPr>
        <sz val="9"/>
        <color indexed="10"/>
        <rFont val="Arial"/>
        <family val="2"/>
      </rPr>
      <t xml:space="preserve"> Trim</t>
    </r>
    <r>
      <rPr>
        <sz val="9"/>
        <color indexed="10"/>
        <rFont val="宋体"/>
        <family val="3"/>
        <charset val="134"/>
      </rPr>
      <t>以</t>
    </r>
    <r>
      <rPr>
        <sz val="9"/>
        <color indexed="10"/>
        <rFont val="Arial"/>
        <family val="2"/>
      </rPr>
      <t>B2</t>
    </r>
    <r>
      <rPr>
        <sz val="9"/>
        <color indexed="10"/>
        <rFont val="宋体"/>
        <family val="3"/>
        <charset val="134"/>
      </rPr>
      <t>为起点降序排列，</t>
    </r>
    <r>
      <rPr>
        <sz val="9"/>
        <color indexed="10"/>
        <rFont val="Arial"/>
        <family val="2"/>
      </rPr>
      <t>Sounding</t>
    </r>
    <r>
      <rPr>
        <sz val="9"/>
        <color indexed="10"/>
        <rFont val="宋体"/>
        <family val="3"/>
        <charset val="134"/>
      </rPr>
      <t>以</t>
    </r>
    <r>
      <rPr>
        <sz val="9"/>
        <color indexed="10"/>
        <rFont val="Arial"/>
        <family val="2"/>
      </rPr>
      <t>A5</t>
    </r>
    <r>
      <rPr>
        <sz val="9"/>
        <color indexed="10"/>
        <rFont val="宋体"/>
        <family val="3"/>
        <charset val="134"/>
      </rPr>
      <t>为起点</t>
    </r>
    <phoneticPr fontId="9" type="noConversion"/>
  </si>
  <si>
    <t>GAUGE</t>
  </si>
  <si>
    <t>cm</t>
  </si>
  <si>
    <t>m3</t>
  </si>
  <si>
    <t>Back</t>
    <phoneticPr fontId="9" type="noConversion"/>
  </si>
  <si>
    <t>Back</t>
  </si>
  <si>
    <t xml:space="preserve"> </t>
  </si>
  <si>
    <t xml:space="preserve"> Draft Survey Report</t>
  </si>
  <si>
    <t xml:space="preserve">VOY.NO : </t>
  </si>
  <si>
    <t xml:space="preserve"> </t>
    <phoneticPr fontId="1" type="noConversion"/>
  </si>
  <si>
    <t xml:space="preserve">L.B.P : </t>
  </si>
  <si>
    <t xml:space="preserve">DATE : </t>
  </si>
  <si>
    <t xml:space="preserve">SEA STATUS: </t>
    <phoneticPr fontId="1" type="noConversion"/>
  </si>
  <si>
    <t xml:space="preserve">P.O.L : </t>
  </si>
  <si>
    <t xml:space="preserve">CARGO : </t>
  </si>
  <si>
    <t xml:space="preserve">P.O.D : </t>
  </si>
  <si>
    <t xml:space="preserve">INITIAL S/G : </t>
  </si>
  <si>
    <t>THICKNESS OF KEEL:</t>
    <phoneticPr fontId="1" type="noConversion"/>
  </si>
  <si>
    <t xml:space="preserve">FINAL S/G : </t>
  </si>
  <si>
    <t>(m)</t>
  </si>
  <si>
    <t>DRAFT AT MARKS</t>
    <phoneticPr fontId="1" type="noConversion"/>
  </si>
  <si>
    <t>AVERAGE</t>
  </si>
  <si>
    <t>DRAFT</t>
  </si>
  <si>
    <t>C.DRAFT</t>
  </si>
  <si>
    <t>SHIP CONDITION</t>
  </si>
  <si>
    <t>(PORT)</t>
  </si>
  <si>
    <t>(STBD)</t>
  </si>
  <si>
    <t>CORRECT</t>
  </si>
  <si>
    <t>FORE</t>
  </si>
  <si>
    <t>INITIAL</t>
  </si>
  <si>
    <t>(Df+Da)/2 :</t>
    <phoneticPr fontId="1" type="noConversion"/>
  </si>
  <si>
    <t>FINAL</t>
  </si>
  <si>
    <t>MID</t>
  </si>
  <si>
    <t>Mid. Df :</t>
  </si>
  <si>
    <t>AFT</t>
  </si>
  <si>
    <t>TRIM</t>
  </si>
  <si>
    <t>Apparent</t>
  </si>
  <si>
    <t>Actual</t>
  </si>
  <si>
    <t xml:space="preserve"> INITIAL</t>
    <phoneticPr fontId="1" type="noConversion"/>
  </si>
  <si>
    <t xml:space="preserve">FINAL </t>
    <phoneticPr fontId="1" type="noConversion"/>
  </si>
  <si>
    <t>Quarter Mean</t>
  </si>
  <si>
    <t>((Df+Da)+(6*Dm))/8-Thickness of Keel Plate(m)</t>
    <phoneticPr fontId="1" type="noConversion"/>
  </si>
  <si>
    <t>From Hydro Table</t>
  </si>
  <si>
    <t>Displacement(Mt)</t>
  </si>
  <si>
    <t>L.C.F(m)</t>
  </si>
  <si>
    <t>T.P.C(Mt/cm)</t>
  </si>
  <si>
    <t>M.T.C(Mt-m)</t>
  </si>
  <si>
    <t>Sea S/G Correction</t>
  </si>
  <si>
    <t>(Density-1.025)*Corr.Disp/1.025</t>
    <phoneticPr fontId="1" type="noConversion"/>
  </si>
  <si>
    <t>Total Correction</t>
  </si>
  <si>
    <t>Actual Displacement</t>
  </si>
  <si>
    <t>Total Deduction of Calculation</t>
  </si>
  <si>
    <t>Ballast Water………………………….</t>
    <phoneticPr fontId="1" type="noConversion"/>
  </si>
  <si>
    <t>(Mt)</t>
  </si>
  <si>
    <t>Fuel Oil……………………………………</t>
    <phoneticPr fontId="1" type="noConversion"/>
  </si>
  <si>
    <t>Diesel Oil…………………………………</t>
    <phoneticPr fontId="1" type="noConversion"/>
  </si>
  <si>
    <t>Lub. Oil……………………………………</t>
    <phoneticPr fontId="1" type="noConversion"/>
  </si>
  <si>
    <t>Fresh Water……………………………</t>
    <phoneticPr fontId="1" type="noConversion"/>
  </si>
  <si>
    <t>ETC…………………………………………</t>
    <phoneticPr fontId="1" type="noConversion"/>
  </si>
  <si>
    <t>Total</t>
    <phoneticPr fontId="1" type="noConversion"/>
  </si>
  <si>
    <t>Actual Displacement………………</t>
    <phoneticPr fontId="1" type="noConversion"/>
  </si>
  <si>
    <t>Deduction Total……………………..</t>
    <phoneticPr fontId="1" type="noConversion"/>
  </si>
  <si>
    <t>LightWeight…………………………….</t>
    <phoneticPr fontId="1" type="noConversion"/>
  </si>
  <si>
    <t>DWT Constants……………………..</t>
    <phoneticPr fontId="1" type="noConversion"/>
  </si>
  <si>
    <t>Cargo Weight</t>
    <phoneticPr fontId="1" type="noConversion"/>
  </si>
  <si>
    <t>From the above figures obtained at initial and final surveys it is estimated that the amount of cargo</t>
  </si>
  <si>
    <t>loaded/discharged to be as follows:</t>
    <phoneticPr fontId="1" type="noConversion"/>
  </si>
  <si>
    <t>Surveyor</t>
  </si>
  <si>
    <t xml:space="preserve"> Chief Officer</t>
    <phoneticPr fontId="1" type="noConversion"/>
  </si>
  <si>
    <t>Trimming Table (CM)</t>
    <phoneticPr fontId="9" type="noConversion"/>
  </si>
  <si>
    <t>No.1 S</t>
    <phoneticPr fontId="1" type="noConversion"/>
  </si>
  <si>
    <t>No.2 P</t>
    <phoneticPr fontId="1" type="noConversion"/>
  </si>
  <si>
    <t>No.2 S</t>
    <phoneticPr fontId="1" type="noConversion"/>
  </si>
  <si>
    <t>No.3 P</t>
    <phoneticPr fontId="1" type="noConversion"/>
  </si>
  <si>
    <t>No.3 S</t>
    <phoneticPr fontId="1" type="noConversion"/>
  </si>
  <si>
    <t>No.4 P</t>
    <phoneticPr fontId="1" type="noConversion"/>
  </si>
  <si>
    <t>No.4 S</t>
    <phoneticPr fontId="1" type="noConversion"/>
  </si>
  <si>
    <t>No.5 P</t>
    <phoneticPr fontId="1" type="noConversion"/>
  </si>
  <si>
    <t>No.5 S</t>
    <phoneticPr fontId="1" type="noConversion"/>
  </si>
  <si>
    <t>No.6 P</t>
    <phoneticPr fontId="1" type="noConversion"/>
  </si>
  <si>
    <t>No.6 S</t>
    <phoneticPr fontId="1" type="noConversion"/>
  </si>
  <si>
    <t>No.7 P</t>
    <phoneticPr fontId="1" type="noConversion"/>
  </si>
  <si>
    <t>No.7 S</t>
    <phoneticPr fontId="1" type="noConversion"/>
  </si>
  <si>
    <t>No.8 P</t>
    <phoneticPr fontId="1" type="noConversion"/>
  </si>
  <si>
    <t>No.8 S</t>
    <phoneticPr fontId="1" type="noConversion"/>
  </si>
  <si>
    <t>No.9 P</t>
    <phoneticPr fontId="1" type="noConversion"/>
  </si>
  <si>
    <t>No.9 S</t>
    <phoneticPr fontId="1" type="noConversion"/>
  </si>
  <si>
    <t>No.10 P</t>
    <phoneticPr fontId="1" type="noConversion"/>
  </si>
  <si>
    <t>No.10 S</t>
    <phoneticPr fontId="1" type="noConversion"/>
  </si>
  <si>
    <t>No.1 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</si>
</sst>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.000_);[Red]\(0.000\)"/>
    <numFmt numFmtId="177" formatCode="0.0_);[Red]\(0.0\)"/>
    <numFmt numFmtId="178" formatCode="0.0000000000000_);[Red]\(0.0000000000000\)"/>
    <numFmt numFmtId="179" formatCode="0.00_ "/>
    <numFmt numFmtId="180" formatCode="0.000_ "/>
    <numFmt numFmtId="181" formatCode="0.0_ "/>
    <numFmt numFmtId="182" formatCode="0.0"/>
    <numFmt numFmtId="183" formatCode="0_ "/>
    <numFmt numFmtId="184" formatCode="&quot;Hold No.&quot;\ 0"/>
    <numFmt numFmtId="185" formatCode="0.000_ ;[Red]\-0.000\ "/>
    <numFmt numFmtId="186" formatCode="[$-409]d\-mmm\-yyyy;@"/>
  </numFmts>
  <fonts count="4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"/>
      <family val="2"/>
    </font>
    <font>
      <sz val="11"/>
      <color theme="1"/>
      <name val="Tahoma"/>
      <family val="2"/>
      <charset val="134"/>
    </font>
    <font>
      <sz val="11"/>
      <color theme="1"/>
      <name val="Tahoma"/>
      <family val="2"/>
    </font>
    <font>
      <sz val="9"/>
      <name val="Tahoma"/>
      <family val="2"/>
      <charset val="134"/>
    </font>
    <font>
      <sz val="10"/>
      <name val="Arial"/>
      <family val="2"/>
    </font>
    <font>
      <sz val="12"/>
      <name val="宋体"/>
      <family val="3"/>
      <charset val="134"/>
    </font>
    <font>
      <sz val="11"/>
      <color theme="1"/>
      <name val="Verdana"/>
      <family val="2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9"/>
      <color indexed="8"/>
      <name val="Arial"/>
      <family val="2"/>
    </font>
    <font>
      <sz val="9"/>
      <name val="Arial"/>
      <family val="2"/>
    </font>
    <font>
      <sz val="9"/>
      <color indexed="10"/>
      <name val="宋体"/>
      <family val="3"/>
      <charset val="134"/>
    </font>
    <font>
      <sz val="9"/>
      <color indexed="10"/>
      <name val="Arial"/>
      <family val="2"/>
    </font>
    <font>
      <sz val="9"/>
      <color rgb="FFFF0000"/>
      <name val="Arial"/>
      <family val="2"/>
    </font>
    <font>
      <b/>
      <sz val="10"/>
      <color theme="1"/>
      <name val="Verdana"/>
      <family val="2"/>
    </font>
    <font>
      <sz val="12"/>
      <color theme="1"/>
      <name val="Verdana"/>
      <family val="2"/>
    </font>
    <font>
      <sz val="10"/>
      <color theme="1"/>
      <name val="Verdana"/>
      <family val="2"/>
    </font>
    <font>
      <u/>
      <sz val="12"/>
      <color theme="1"/>
      <name val="Verdana"/>
      <family val="2"/>
    </font>
    <font>
      <sz val="11"/>
      <color theme="1"/>
      <name val="宋体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.5"/>
      <color theme="1"/>
      <name val="Verdana"/>
      <family val="2"/>
    </font>
    <font>
      <b/>
      <sz val="11"/>
      <color theme="1"/>
      <name val="Verdana"/>
      <family val="2"/>
    </font>
    <font>
      <sz val="8"/>
      <color theme="1"/>
      <name val="Verdana"/>
      <family val="2"/>
    </font>
    <font>
      <b/>
      <sz val="16"/>
      <color theme="1"/>
      <name val="Arial"/>
      <family val="2"/>
    </font>
    <font>
      <b/>
      <sz val="16"/>
      <color rgb="FFFF0000"/>
      <name val="Arial"/>
      <family val="2"/>
    </font>
    <font>
      <sz val="15"/>
      <color theme="1"/>
      <name val="Arial"/>
      <family val="2"/>
    </font>
    <font>
      <i/>
      <sz val="15"/>
      <color rgb="FF808080"/>
      <name val="Arial Black"/>
      <family val="2"/>
    </font>
    <font>
      <sz val="15"/>
      <color theme="0"/>
      <name val="Arial"/>
      <family val="2"/>
    </font>
    <font>
      <sz val="15"/>
      <color theme="1"/>
      <name val="宋体"/>
      <family val="3"/>
      <charset val="134"/>
    </font>
    <font>
      <sz val="12"/>
      <color theme="0"/>
      <name val="Verdana"/>
      <family val="2"/>
    </font>
    <font>
      <sz val="10.5"/>
      <name val="Verdana"/>
      <family val="2"/>
    </font>
    <font>
      <sz val="10.5"/>
      <color theme="1"/>
      <name val="Verdana"/>
      <family val="2"/>
    </font>
    <font>
      <b/>
      <sz val="10.5"/>
      <name val="Verdana"/>
      <family val="2"/>
    </font>
    <font>
      <sz val="11"/>
      <color rgb="FF000000"/>
      <name val="等线"/>
      <family val="3"/>
      <charset val="134"/>
    </font>
    <font>
      <sz val="16"/>
      <color theme="1"/>
      <name val="Verdana"/>
      <family val="2"/>
    </font>
    <font>
      <u/>
      <sz val="11"/>
      <color theme="1"/>
      <name val="Verdana"/>
      <family val="2"/>
    </font>
    <font>
      <u/>
      <sz val="10"/>
      <color theme="1"/>
      <name val="Verdana"/>
      <family val="2"/>
    </font>
    <font>
      <sz val="15"/>
      <color rgb="FFFFFFFF"/>
      <name val="Arial"/>
      <family val="2"/>
    </font>
    <font>
      <sz val="8"/>
      <color theme="0" tint="-0.249977111117893"/>
      <name val="Arial"/>
      <family val="2"/>
    </font>
    <font>
      <sz val="8"/>
      <color rgb="FFFFFFFF"/>
      <name val="Arial"/>
      <family val="2"/>
    </font>
    <font>
      <sz val="8"/>
      <color theme="0"/>
      <name val="Arial"/>
      <family val="2"/>
    </font>
    <font>
      <sz val="12"/>
      <color rgb="FFFF0000"/>
      <name val="Verdana"/>
      <family val="2"/>
    </font>
    <font>
      <b/>
      <sz val="10"/>
      <color rgb="FF002060"/>
      <name val="Verdan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/>
      <diagonal/>
    </border>
    <border>
      <left style="thin">
        <color theme="3" tint="-0.499984740745262"/>
      </left>
      <right style="thin">
        <color theme="1"/>
      </right>
      <top style="thin">
        <color theme="3" tint="-0.499984740745262"/>
      </top>
      <bottom style="thin">
        <color theme="3" tint="-0.499984740745262"/>
      </bottom>
      <diagonal/>
    </border>
    <border>
      <left/>
      <right/>
      <top/>
      <bottom style="medium">
        <color indexed="64"/>
      </bottom>
      <diagonal/>
    </border>
    <border>
      <left style="thin">
        <color theme="3" tint="-0.499984740745262"/>
      </left>
      <right style="thin">
        <color theme="4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4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/>
      <bottom style="thin">
        <color theme="4" tint="-0.499984740745262"/>
      </bottom>
      <diagonal/>
    </border>
  </borders>
  <cellStyleXfs count="9">
    <xf numFmtId="0" fontId="0" fillId="0" borderId="0">
      <alignment vertical="center"/>
    </xf>
    <xf numFmtId="0" fontId="3" fillId="0" borderId="0"/>
    <xf numFmtId="0" fontId="6" fillId="0" borderId="0"/>
    <xf numFmtId="0" fontId="4" fillId="0" borderId="0">
      <alignment vertical="center"/>
    </xf>
    <xf numFmtId="0" fontId="7" fillId="0" borderId="0"/>
    <xf numFmtId="0" fontId="7" fillId="0" borderId="0"/>
    <xf numFmtId="0" fontId="7" fillId="0" borderId="0"/>
    <xf numFmtId="0" fontId="10" fillId="0" borderId="0" applyNumberFormat="0" applyFill="0" applyBorder="0" applyAlignment="0" applyProtection="0"/>
    <xf numFmtId="0" fontId="20" fillId="0" borderId="0">
      <alignment vertical="center"/>
    </xf>
  </cellStyleXfs>
  <cellXfs count="250">
    <xf numFmtId="0" fontId="0" fillId="0" borderId="0" xfId="0">
      <alignment vertical="center"/>
    </xf>
    <xf numFmtId="0" fontId="3" fillId="0" borderId="0" xfId="1"/>
    <xf numFmtId="0" fontId="4" fillId="0" borderId="1" xfId="1" applyFont="1" applyBorder="1"/>
    <xf numFmtId="176" fontId="4" fillId="0" borderId="1" xfId="1" applyNumberFormat="1" applyFont="1" applyBorder="1"/>
    <xf numFmtId="177" fontId="3" fillId="0" borderId="0" xfId="1" applyNumberFormat="1"/>
    <xf numFmtId="178" fontId="3" fillId="0" borderId="0" xfId="1" applyNumberFormat="1"/>
    <xf numFmtId="0" fontId="11" fillId="0" borderId="0" xfId="4" applyFont="1" applyAlignment="1">
      <alignment horizontal="center" vertical="center"/>
    </xf>
    <xf numFmtId="0" fontId="12" fillId="0" borderId="0" xfId="4" applyFont="1" applyAlignment="1">
      <alignment horizontal="center" vertical="center"/>
    </xf>
    <xf numFmtId="179" fontId="12" fillId="0" borderId="0" xfId="4" applyNumberFormat="1" applyFont="1" applyAlignment="1">
      <alignment horizontal="center" vertical="center"/>
    </xf>
    <xf numFmtId="0" fontId="15" fillId="0" borderId="0" xfId="4" applyFont="1" applyAlignment="1">
      <alignment horizontal="center" vertical="center"/>
    </xf>
    <xf numFmtId="0" fontId="7" fillId="0" borderId="0" xfId="4"/>
    <xf numFmtId="179" fontId="12" fillId="3" borderId="0" xfId="4" applyNumberFormat="1" applyFont="1" applyFill="1" applyAlignment="1">
      <alignment horizontal="center" vertical="center"/>
    </xf>
    <xf numFmtId="179" fontId="11" fillId="0" borderId="0" xfId="4" applyNumberFormat="1" applyFont="1" applyAlignment="1">
      <alignment horizontal="center" vertical="center"/>
    </xf>
    <xf numFmtId="179" fontId="7" fillId="0" borderId="0" xfId="4" applyNumberFormat="1"/>
    <xf numFmtId="0" fontId="11" fillId="0" borderId="8" xfId="4" applyFont="1" applyBorder="1" applyAlignment="1">
      <alignment horizontal="center" vertical="center"/>
    </xf>
    <xf numFmtId="0" fontId="12" fillId="0" borderId="8" xfId="4" applyFont="1" applyBorder="1" applyAlignment="1">
      <alignment horizontal="center" vertical="center"/>
    </xf>
    <xf numFmtId="0" fontId="10" fillId="0" borderId="0" xfId="7"/>
    <xf numFmtId="0" fontId="12" fillId="0" borderId="0" xfId="4" applyFont="1"/>
    <xf numFmtId="0" fontId="12" fillId="3" borderId="0" xfId="4" applyFont="1" applyFill="1" applyAlignment="1">
      <alignment horizontal="center" vertical="center"/>
    </xf>
    <xf numFmtId="0" fontId="12" fillId="0" borderId="8" xfId="4" applyFont="1" applyBorder="1"/>
    <xf numFmtId="0" fontId="10" fillId="0" borderId="0" xfId="7" applyAlignment="1">
      <alignment horizontal="center" vertical="center"/>
    </xf>
    <xf numFmtId="0" fontId="16" fillId="0" borderId="12" xfId="4" applyFont="1" applyBorder="1"/>
    <xf numFmtId="0" fontId="16" fillId="0" borderId="13" xfId="4" applyFont="1" applyBorder="1"/>
    <xf numFmtId="0" fontId="17" fillId="0" borderId="0" xfId="4" applyFont="1"/>
    <xf numFmtId="0" fontId="16" fillId="0" borderId="16" xfId="4" applyFont="1" applyBorder="1"/>
    <xf numFmtId="179" fontId="18" fillId="0" borderId="18" xfId="4" applyNumberFormat="1" applyFont="1" applyBorder="1"/>
    <xf numFmtId="179" fontId="18" fillId="0" borderId="17" xfId="4" applyNumberFormat="1" applyFont="1" applyBorder="1" applyProtection="1">
      <protection locked="0"/>
    </xf>
    <xf numFmtId="179" fontId="18" fillId="0" borderId="14" xfId="4" applyNumberFormat="1" applyFont="1" applyBorder="1"/>
    <xf numFmtId="180" fontId="18" fillId="0" borderId="19" xfId="4" applyNumberFormat="1" applyFont="1" applyBorder="1"/>
    <xf numFmtId="0" fontId="19" fillId="0" borderId="0" xfId="7" applyNumberFormat="1" applyFont="1" applyFill="1" applyBorder="1" applyProtection="1"/>
    <xf numFmtId="0" fontId="17" fillId="0" borderId="20" xfId="4" applyFont="1" applyBorder="1"/>
    <xf numFmtId="0" fontId="17" fillId="0" borderId="12" xfId="4" applyFont="1" applyBorder="1"/>
    <xf numFmtId="179" fontId="18" fillId="0" borderId="12" xfId="4" applyNumberFormat="1" applyFont="1" applyBorder="1"/>
    <xf numFmtId="182" fontId="18" fillId="3" borderId="21" xfId="4" applyNumberFormat="1" applyFont="1" applyFill="1" applyBorder="1" applyProtection="1">
      <protection locked="0"/>
    </xf>
    <xf numFmtId="0" fontId="20" fillId="0" borderId="0" xfId="8">
      <alignment vertical="center"/>
    </xf>
    <xf numFmtId="0" fontId="6" fillId="0" borderId="1" xfId="8" applyFont="1" applyBorder="1" applyAlignment="1">
      <alignment horizontal="center" vertical="center"/>
    </xf>
    <xf numFmtId="0" fontId="20" fillId="0" borderId="1" xfId="8" applyBorder="1">
      <alignment vertical="center"/>
    </xf>
    <xf numFmtId="179" fontId="23" fillId="0" borderId="1" xfId="0" applyNumberFormat="1" applyFont="1" applyBorder="1" applyAlignment="1">
      <alignment horizontal="center" vertical="center"/>
    </xf>
    <xf numFmtId="181" fontId="24" fillId="0" borderId="1" xfId="0" applyNumberFormat="1" applyFont="1" applyBorder="1" applyAlignment="1">
      <alignment horizontal="center" vertical="center"/>
    </xf>
    <xf numFmtId="0" fontId="20" fillId="0" borderId="1" xfId="8" applyBorder="1" applyAlignment="1">
      <alignment horizontal="center" vertical="center"/>
    </xf>
    <xf numFmtId="181" fontId="6" fillId="0" borderId="1" xfId="0" applyNumberFormat="1" applyFont="1" applyBorder="1" applyAlignment="1">
      <alignment horizontal="center" vertical="center"/>
    </xf>
    <xf numFmtId="181" fontId="21" fillId="0" borderId="1" xfId="8" applyNumberFormat="1" applyFont="1" applyBorder="1" applyAlignment="1">
      <alignment horizontal="center" vertical="center"/>
    </xf>
    <xf numFmtId="0" fontId="20" fillId="0" borderId="0" xfId="8" quotePrefix="1">
      <alignment vertical="center"/>
    </xf>
    <xf numFmtId="0" fontId="6" fillId="0" borderId="0" xfId="8" applyFont="1" applyAlignment="1">
      <alignment horizontal="center" vertical="center"/>
    </xf>
    <xf numFmtId="0" fontId="6" fillId="0" borderId="0" xfId="8" applyFont="1">
      <alignment vertical="center"/>
    </xf>
    <xf numFmtId="0" fontId="8" fillId="0" borderId="0" xfId="8" applyFont="1">
      <alignment vertical="center"/>
    </xf>
    <xf numFmtId="0" fontId="8" fillId="0" borderId="3" xfId="8" applyFont="1" applyBorder="1">
      <alignment vertical="center"/>
    </xf>
    <xf numFmtId="0" fontId="8" fillId="0" borderId="4" xfId="8" applyFont="1" applyBorder="1">
      <alignment vertical="center"/>
    </xf>
    <xf numFmtId="0" fontId="8" fillId="0" borderId="8" xfId="8" applyFont="1" applyBorder="1">
      <alignment vertical="center"/>
    </xf>
    <xf numFmtId="0" fontId="8" fillId="0" borderId="9" xfId="8" applyFont="1" applyBorder="1">
      <alignment vertical="center"/>
    </xf>
    <xf numFmtId="0" fontId="16" fillId="0" borderId="12" xfId="8" applyFont="1" applyBorder="1" applyAlignment="1">
      <alignment horizontal="center" vertical="center"/>
    </xf>
    <xf numFmtId="0" fontId="18" fillId="0" borderId="12" xfId="8" applyFont="1" applyBorder="1" applyAlignment="1">
      <alignment horizontal="center" vertical="center"/>
    </xf>
    <xf numFmtId="179" fontId="18" fillId="0" borderId="12" xfId="8" applyNumberFormat="1" applyFont="1" applyBorder="1" applyAlignment="1">
      <alignment horizontal="center" vertical="center"/>
    </xf>
    <xf numFmtId="0" fontId="16" fillId="0" borderId="16" xfId="8" applyFont="1" applyBorder="1" applyAlignment="1">
      <alignment horizontal="center" vertical="center"/>
    </xf>
    <xf numFmtId="0" fontId="18" fillId="0" borderId="14" xfId="8" applyFont="1" applyBorder="1" applyAlignment="1">
      <alignment horizontal="center" vertical="center"/>
    </xf>
    <xf numFmtId="0" fontId="8" fillId="0" borderId="25" xfId="8" applyFont="1" applyBorder="1" applyAlignment="1">
      <alignment horizontal="center" vertical="center"/>
    </xf>
    <xf numFmtId="179" fontId="18" fillId="0" borderId="1" xfId="8" applyNumberFormat="1" applyFont="1" applyBorder="1" applyAlignment="1">
      <alignment horizontal="center" vertical="center"/>
    </xf>
    <xf numFmtId="0" fontId="18" fillId="0" borderId="15" xfId="8" applyFont="1" applyBorder="1" applyAlignment="1">
      <alignment horizontal="center" vertical="center"/>
    </xf>
    <xf numFmtId="0" fontId="18" fillId="0" borderId="16" xfId="8" applyFont="1" applyBorder="1" applyAlignment="1">
      <alignment horizontal="center" vertical="center"/>
    </xf>
    <xf numFmtId="0" fontId="8" fillId="0" borderId="0" xfId="8" applyFont="1" applyAlignment="1">
      <alignment horizontal="center" vertical="center"/>
    </xf>
    <xf numFmtId="183" fontId="8" fillId="0" borderId="0" xfId="8" applyNumberFormat="1" applyFont="1" applyAlignment="1">
      <alignment horizontal="center" vertical="center"/>
    </xf>
    <xf numFmtId="0" fontId="18" fillId="3" borderId="17" xfId="8" applyFont="1" applyFill="1" applyBorder="1" applyAlignment="1" applyProtection="1">
      <alignment horizontal="center" vertical="center"/>
      <protection locked="0"/>
    </xf>
    <xf numFmtId="0" fontId="20" fillId="3" borderId="0" xfId="8" applyFill="1">
      <alignment vertical="center"/>
    </xf>
    <xf numFmtId="0" fontId="18" fillId="0" borderId="0" xfId="4" applyFont="1"/>
    <xf numFmtId="180" fontId="18" fillId="3" borderId="17" xfId="4" applyNumberFormat="1" applyFont="1" applyFill="1" applyBorder="1" applyProtection="1">
      <protection locked="0"/>
    </xf>
    <xf numFmtId="0" fontId="30" fillId="0" borderId="0" xfId="0" applyFont="1">
      <alignment vertical="center"/>
    </xf>
    <xf numFmtId="0" fontId="30" fillId="0" borderId="2" xfId="0" applyFont="1" applyBorder="1">
      <alignment vertical="center"/>
    </xf>
    <xf numFmtId="0" fontId="30" fillId="0" borderId="3" xfId="0" applyFont="1" applyBorder="1">
      <alignment vertical="center"/>
    </xf>
    <xf numFmtId="0" fontId="30" fillId="0" borderId="4" xfId="0" applyFont="1" applyBorder="1">
      <alignment vertical="center"/>
    </xf>
    <xf numFmtId="0" fontId="30" fillId="0" borderId="5" xfId="0" applyFont="1" applyBorder="1">
      <alignment vertical="center"/>
    </xf>
    <xf numFmtId="0" fontId="30" fillId="0" borderId="6" xfId="0" applyFont="1" applyBorder="1">
      <alignment vertical="center"/>
    </xf>
    <xf numFmtId="0" fontId="31" fillId="0" borderId="5" xfId="0" applyFont="1" applyBorder="1" applyAlignment="1">
      <alignment horizontal="left" vertical="center"/>
    </xf>
    <xf numFmtId="180" fontId="30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180" fontId="30" fillId="0" borderId="0" xfId="0" applyNumberFormat="1" applyFont="1">
      <alignment vertical="center"/>
    </xf>
    <xf numFmtId="0" fontId="32" fillId="0" borderId="5" xfId="0" applyFont="1" applyBorder="1">
      <alignment vertical="center"/>
    </xf>
    <xf numFmtId="0" fontId="33" fillId="0" borderId="0" xfId="0" applyFont="1">
      <alignment vertical="center"/>
    </xf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9" xfId="0" applyFont="1" applyBorder="1">
      <alignment vertical="center"/>
    </xf>
    <xf numFmtId="180" fontId="30" fillId="0" borderId="8" xfId="0" applyNumberFormat="1" applyFont="1" applyBorder="1" applyAlignment="1">
      <alignment horizontal="right" vertical="center"/>
    </xf>
    <xf numFmtId="0" fontId="33" fillId="0" borderId="27" xfId="0" applyFont="1" applyBorder="1">
      <alignment vertical="center"/>
    </xf>
    <xf numFmtId="0" fontId="30" fillId="0" borderId="34" xfId="0" applyFont="1" applyBorder="1">
      <alignment vertical="center"/>
    </xf>
    <xf numFmtId="0" fontId="30" fillId="0" borderId="28" xfId="0" applyFont="1" applyBorder="1">
      <alignment vertical="center"/>
    </xf>
    <xf numFmtId="0" fontId="30" fillId="0" borderId="28" xfId="0" applyFont="1" applyBorder="1" applyAlignment="1">
      <alignment horizontal="right" vertical="center"/>
    </xf>
    <xf numFmtId="0" fontId="30" fillId="0" borderId="29" xfId="0" applyFont="1" applyBorder="1">
      <alignment vertical="center"/>
    </xf>
    <xf numFmtId="0" fontId="30" fillId="0" borderId="30" xfId="0" applyFont="1" applyBorder="1">
      <alignment vertical="center"/>
    </xf>
    <xf numFmtId="0" fontId="30" fillId="0" borderId="31" xfId="0" applyFont="1" applyBorder="1">
      <alignment vertical="center"/>
    </xf>
    <xf numFmtId="0" fontId="30" fillId="0" borderId="35" xfId="0" applyFont="1" applyBorder="1">
      <alignment vertical="center"/>
    </xf>
    <xf numFmtId="0" fontId="30" fillId="0" borderId="32" xfId="0" applyFont="1" applyBorder="1">
      <alignment vertical="center"/>
    </xf>
    <xf numFmtId="0" fontId="2" fillId="0" borderId="0" xfId="0" applyFont="1">
      <alignment vertical="center"/>
    </xf>
    <xf numFmtId="0" fontId="30" fillId="0" borderId="0" xfId="0" applyFont="1" applyAlignment="1">
      <alignment horizontal="right" vertical="center"/>
    </xf>
    <xf numFmtId="176" fontId="4" fillId="0" borderId="1" xfId="1" applyNumberFormat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4" fillId="0" borderId="0" xfId="4" applyFont="1"/>
    <xf numFmtId="0" fontId="35" fillId="4" borderId="1" xfId="0" applyFont="1" applyFill="1" applyBorder="1">
      <alignment vertical="center"/>
    </xf>
    <xf numFmtId="0" fontId="25" fillId="4" borderId="1" xfId="0" applyFont="1" applyFill="1" applyBorder="1" applyAlignment="1">
      <alignment horizontal="center" vertical="center"/>
    </xf>
    <xf numFmtId="0" fontId="36" fillId="0" borderId="0" xfId="0" applyFont="1">
      <alignment vertical="center"/>
    </xf>
    <xf numFmtId="0" fontId="37" fillId="5" borderId="1" xfId="0" applyFont="1" applyFill="1" applyBorder="1" applyAlignment="1">
      <alignment horizontal="left" vertical="center"/>
    </xf>
    <xf numFmtId="179" fontId="36" fillId="5" borderId="1" xfId="0" applyNumberFormat="1" applyFont="1" applyFill="1" applyBorder="1" applyAlignment="1">
      <alignment horizontal="center" vertical="center"/>
    </xf>
    <xf numFmtId="0" fontId="37" fillId="4" borderId="1" xfId="0" applyFont="1" applyFill="1" applyBorder="1" applyAlignment="1">
      <alignment horizontal="left" vertical="center"/>
    </xf>
    <xf numFmtId="179" fontId="36" fillId="4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" fillId="0" borderId="0" xfId="1" applyAlignment="1">
      <alignment horizontal="right"/>
    </xf>
    <xf numFmtId="0" fontId="38" fillId="0" borderId="1" xfId="0" applyFont="1" applyBorder="1" applyAlignment="1">
      <alignment wrapText="1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8" fillId="0" borderId="8" xfId="0" applyFont="1" applyBorder="1">
      <alignment vertical="center"/>
    </xf>
    <xf numFmtId="0" fontId="18" fillId="0" borderId="10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>
      <alignment vertical="center"/>
    </xf>
    <xf numFmtId="0" fontId="18" fillId="0" borderId="6" xfId="0" applyFont="1" applyBorder="1" applyAlignment="1">
      <alignment horizontal="center" vertical="center"/>
    </xf>
    <xf numFmtId="0" fontId="18" fillId="0" borderId="1" xfId="0" applyFont="1" applyBorder="1" applyAlignment="1">
      <alignment horizontal="right" vertical="center"/>
    </xf>
    <xf numFmtId="0" fontId="18" fillId="0" borderId="6" xfId="0" applyFont="1" applyBorder="1">
      <alignment vertical="center"/>
    </xf>
    <xf numFmtId="0" fontId="18" fillId="0" borderId="7" xfId="0" applyFont="1" applyBorder="1">
      <alignment vertical="center"/>
    </xf>
    <xf numFmtId="0" fontId="18" fillId="0" borderId="9" xfId="0" applyFont="1" applyBorder="1">
      <alignment vertical="center"/>
    </xf>
    <xf numFmtId="0" fontId="40" fillId="0" borderId="0" xfId="0" applyFont="1" applyAlignment="1">
      <alignment horizontal="center" vertical="center"/>
    </xf>
    <xf numFmtId="0" fontId="18" fillId="0" borderId="36" xfId="0" applyFont="1" applyBorder="1">
      <alignment vertical="center"/>
    </xf>
    <xf numFmtId="0" fontId="18" fillId="0" borderId="37" xfId="0" applyFont="1" applyBorder="1">
      <alignment vertical="center"/>
    </xf>
    <xf numFmtId="0" fontId="18" fillId="0" borderId="25" xfId="0" applyFont="1" applyBorder="1">
      <alignment vertical="center"/>
    </xf>
    <xf numFmtId="0" fontId="18" fillId="0" borderId="0" xfId="0" applyFont="1">
      <alignment vertical="center"/>
    </xf>
    <xf numFmtId="0" fontId="18" fillId="0" borderId="0" xfId="0" applyFont="1" applyAlignment="1">
      <alignment horizontal="left" vertical="center"/>
    </xf>
    <xf numFmtId="180" fontId="18" fillId="0" borderId="36" xfId="0" applyNumberFormat="1" applyFont="1" applyBorder="1" applyAlignment="1">
      <alignment horizontal="center" vertical="center"/>
    </xf>
    <xf numFmtId="180" fontId="18" fillId="0" borderId="25" xfId="0" applyNumberFormat="1" applyFont="1" applyBorder="1" applyAlignment="1">
      <alignment horizontal="center" vertical="center"/>
    </xf>
    <xf numFmtId="180" fontId="18" fillId="0" borderId="11" xfId="0" applyNumberFormat="1" applyFont="1" applyBorder="1" applyAlignment="1">
      <alignment horizontal="center" vertical="center"/>
    </xf>
    <xf numFmtId="180" fontId="18" fillId="0" borderId="7" xfId="0" applyNumberFormat="1" applyFont="1" applyBorder="1" applyAlignment="1">
      <alignment horizontal="center" vertical="center"/>
    </xf>
    <xf numFmtId="180" fontId="18" fillId="0" borderId="1" xfId="0" applyNumberFormat="1" applyFont="1" applyBorder="1" applyAlignment="1">
      <alignment horizontal="center" vertical="center"/>
    </xf>
    <xf numFmtId="180" fontId="18" fillId="0" borderId="4" xfId="0" applyNumberFormat="1" applyFont="1" applyBorder="1" applyAlignment="1">
      <alignment horizontal="center" vertical="center"/>
    </xf>
    <xf numFmtId="180" fontId="18" fillId="0" borderId="6" xfId="0" applyNumberFormat="1" applyFont="1" applyBorder="1" applyAlignment="1">
      <alignment horizontal="center" vertical="center"/>
    </xf>
    <xf numFmtId="180" fontId="18" fillId="0" borderId="10" xfId="0" applyNumberFormat="1" applyFont="1" applyBorder="1">
      <alignment vertical="center"/>
    </xf>
    <xf numFmtId="180" fontId="18" fillId="0" borderId="1" xfId="0" applyNumberFormat="1" applyFont="1" applyBorder="1">
      <alignment vertical="center"/>
    </xf>
    <xf numFmtId="180" fontId="18" fillId="0" borderId="38" xfId="0" applyNumberFormat="1" applyFont="1" applyBorder="1">
      <alignment vertical="center"/>
    </xf>
    <xf numFmtId="180" fontId="18" fillId="0" borderId="2" xfId="0" applyNumberFormat="1" applyFont="1" applyBorder="1">
      <alignment vertical="center"/>
    </xf>
    <xf numFmtId="180" fontId="18" fillId="0" borderId="5" xfId="0" applyNumberFormat="1" applyFont="1" applyBorder="1">
      <alignment vertical="center"/>
    </xf>
    <xf numFmtId="180" fontId="18" fillId="0" borderId="7" xfId="0" applyNumberFormat="1" applyFont="1" applyBorder="1">
      <alignment vertical="center"/>
    </xf>
    <xf numFmtId="180" fontId="18" fillId="0" borderId="11" xfId="0" applyNumberFormat="1" applyFont="1" applyBorder="1">
      <alignment vertical="center"/>
    </xf>
    <xf numFmtId="176" fontId="18" fillId="0" borderId="0" xfId="0" applyNumberFormat="1" applyFont="1" applyAlignment="1">
      <alignment horizontal="center" vertical="center"/>
    </xf>
    <xf numFmtId="176" fontId="41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left" vertical="center"/>
    </xf>
    <xf numFmtId="181" fontId="40" fillId="0" borderId="0" xfId="0" applyNumberFormat="1" applyFont="1" applyAlignment="1">
      <alignment horizontal="left" vertical="center"/>
    </xf>
    <xf numFmtId="0" fontId="42" fillId="0" borderId="0" xfId="0" applyFont="1">
      <alignment vertical="center"/>
    </xf>
    <xf numFmtId="180" fontId="36" fillId="4" borderId="1" xfId="0" applyNumberFormat="1" applyFont="1" applyFill="1" applyBorder="1" applyAlignment="1">
      <alignment horizontal="center" vertical="center"/>
    </xf>
    <xf numFmtId="180" fontId="38" fillId="0" borderId="1" xfId="0" applyNumberFormat="1" applyFont="1" applyBorder="1" applyAlignment="1">
      <alignment wrapText="1"/>
    </xf>
    <xf numFmtId="0" fontId="16" fillId="0" borderId="39" xfId="4" applyFont="1" applyBorder="1"/>
    <xf numFmtId="179" fontId="18" fillId="0" borderId="40" xfId="4" applyNumberFormat="1" applyFont="1" applyBorder="1"/>
    <xf numFmtId="0" fontId="16" fillId="0" borderId="1" xfId="4" applyFont="1" applyBorder="1"/>
    <xf numFmtId="0" fontId="46" fillId="0" borderId="0" xfId="4" applyFont="1"/>
    <xf numFmtId="0" fontId="47" fillId="0" borderId="16" xfId="7" applyFont="1" applyFill="1" applyBorder="1" applyProtection="1"/>
    <xf numFmtId="0" fontId="47" fillId="0" borderId="16" xfId="7" quotePrefix="1" applyFont="1" applyFill="1" applyBorder="1" applyProtection="1"/>
    <xf numFmtId="0" fontId="30" fillId="0" borderId="28" xfId="0" applyFont="1" applyBorder="1" applyAlignment="1">
      <alignment horizontal="left" vertical="center"/>
    </xf>
    <xf numFmtId="0" fontId="28" fillId="0" borderId="3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80" fontId="30" fillId="2" borderId="10" xfId="0" applyNumberFormat="1" applyFont="1" applyFill="1" applyBorder="1" applyAlignment="1" applyProtection="1">
      <alignment horizontal="right" vertical="center"/>
      <protection locked="0"/>
    </xf>
    <xf numFmtId="180" fontId="30" fillId="2" borderId="11" xfId="0" applyNumberFormat="1" applyFont="1" applyFill="1" applyBorder="1" applyAlignment="1" applyProtection="1">
      <alignment horizontal="right" vertical="center"/>
      <protection locked="0"/>
    </xf>
    <xf numFmtId="0" fontId="30" fillId="2" borderId="1" xfId="0" applyFont="1" applyFill="1" applyBorder="1" applyAlignment="1" applyProtection="1">
      <alignment horizontal="center" vertical="center"/>
      <protection locked="0"/>
    </xf>
    <xf numFmtId="180" fontId="30" fillId="2" borderId="1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8" xfId="0" applyFont="1" applyBorder="1" applyAlignment="1">
      <alignment horizontal="center" vertical="center"/>
    </xf>
    <xf numFmtId="0" fontId="30" fillId="2" borderId="2" xfId="0" applyFont="1" applyFill="1" applyBorder="1" applyAlignment="1" applyProtection="1">
      <alignment horizontal="center" vertical="center"/>
      <protection locked="0"/>
    </xf>
    <xf numFmtId="0" fontId="30" fillId="2" borderId="4" xfId="0" applyFont="1" applyFill="1" applyBorder="1" applyAlignment="1" applyProtection="1">
      <alignment horizontal="center" vertical="center"/>
      <protection locked="0"/>
    </xf>
    <xf numFmtId="0" fontId="30" fillId="2" borderId="7" xfId="0" applyFont="1" applyFill="1" applyBorder="1" applyAlignment="1" applyProtection="1">
      <alignment horizontal="center" vertical="center"/>
      <protection locked="0"/>
    </xf>
    <xf numFmtId="0" fontId="30" fillId="2" borderId="9" xfId="0" applyFont="1" applyFill="1" applyBorder="1" applyAlignment="1" applyProtection="1">
      <alignment horizontal="center" vertical="center"/>
      <protection locked="0"/>
    </xf>
    <xf numFmtId="179" fontId="30" fillId="0" borderId="0" xfId="0" applyNumberFormat="1" applyFont="1" applyAlignment="1">
      <alignment horizontal="center" vertical="center"/>
    </xf>
    <xf numFmtId="180" fontId="30" fillId="0" borderId="3" xfId="0" applyNumberFormat="1" applyFont="1" applyBorder="1" applyAlignment="1">
      <alignment horizontal="right" vertical="center"/>
    </xf>
    <xf numFmtId="180" fontId="30" fillId="0" borderId="0" xfId="0" applyNumberFormat="1" applyFont="1" applyAlignment="1">
      <alignment horizontal="right" vertical="center"/>
    </xf>
    <xf numFmtId="181" fontId="30" fillId="0" borderId="8" xfId="0" applyNumberFormat="1" applyFont="1" applyBorder="1" applyAlignment="1">
      <alignment horizontal="center" vertical="center"/>
    </xf>
    <xf numFmtId="0" fontId="30" fillId="2" borderId="33" xfId="0" applyFont="1" applyFill="1" applyBorder="1" applyAlignment="1" applyProtection="1">
      <alignment horizontal="center" vertical="center"/>
      <protection locked="0"/>
    </xf>
    <xf numFmtId="180" fontId="30" fillId="0" borderId="22" xfId="0" applyNumberFormat="1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185" fontId="30" fillId="0" borderId="33" xfId="0" applyNumberFormat="1" applyFont="1" applyBorder="1" applyAlignment="1">
      <alignment horizontal="center" vertical="center"/>
    </xf>
    <xf numFmtId="0" fontId="30" fillId="0" borderId="3" xfId="0" applyFont="1" applyBorder="1">
      <alignment vertical="center"/>
    </xf>
    <xf numFmtId="0" fontId="30" fillId="0" borderId="0" xfId="0" applyFont="1">
      <alignment vertical="center"/>
    </xf>
    <xf numFmtId="0" fontId="44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45" fillId="0" borderId="0" xfId="0" applyFont="1" applyAlignment="1">
      <alignment horizontal="right" vertical="center"/>
    </xf>
    <xf numFmtId="0" fontId="16" fillId="0" borderId="12" xfId="8" applyFont="1" applyBorder="1" applyAlignment="1">
      <alignment horizontal="center" vertical="center" wrapText="1"/>
    </xf>
    <xf numFmtId="0" fontId="16" fillId="0" borderId="16" xfId="8" applyFont="1" applyBorder="1" applyAlignment="1">
      <alignment horizontal="center" vertical="center"/>
    </xf>
    <xf numFmtId="0" fontId="16" fillId="0" borderId="12" xfId="8" applyFont="1" applyBorder="1" applyAlignment="1">
      <alignment horizontal="center" vertical="center"/>
    </xf>
    <xf numFmtId="0" fontId="18" fillId="3" borderId="23" xfId="8" applyFont="1" applyFill="1" applyBorder="1" applyAlignment="1" applyProtection="1">
      <alignment horizontal="center" vertical="center"/>
      <protection locked="0"/>
    </xf>
    <xf numFmtId="0" fontId="18" fillId="3" borderId="24" xfId="8" applyFont="1" applyFill="1" applyBorder="1" applyAlignment="1" applyProtection="1">
      <alignment horizontal="center" vertical="center"/>
      <protection locked="0"/>
    </xf>
    <xf numFmtId="0" fontId="25" fillId="0" borderId="12" xfId="8" applyFont="1" applyBorder="1" applyAlignment="1">
      <alignment horizontal="center" vertical="center"/>
    </xf>
    <xf numFmtId="0" fontId="25" fillId="0" borderId="15" xfId="8" applyFont="1" applyBorder="1" applyAlignment="1">
      <alignment horizontal="center" vertical="center"/>
    </xf>
    <xf numFmtId="0" fontId="26" fillId="0" borderId="12" xfId="8" applyFont="1" applyBorder="1" applyAlignment="1">
      <alignment horizontal="center" vertical="center"/>
    </xf>
    <xf numFmtId="0" fontId="26" fillId="0" borderId="15" xfId="8" applyFont="1" applyBorder="1" applyAlignment="1">
      <alignment horizontal="center" vertical="center"/>
    </xf>
    <xf numFmtId="179" fontId="18" fillId="3" borderId="23" xfId="8" applyNumberFormat="1" applyFont="1" applyFill="1" applyBorder="1" applyAlignment="1" applyProtection="1">
      <alignment horizontal="center" vertical="center"/>
      <protection locked="0"/>
    </xf>
    <xf numFmtId="179" fontId="18" fillId="3" borderId="24" xfId="8" applyNumberFormat="1" applyFont="1" applyFill="1" applyBorder="1" applyAlignment="1" applyProtection="1">
      <alignment horizontal="center" vertical="center"/>
      <protection locked="0"/>
    </xf>
    <xf numFmtId="183" fontId="16" fillId="0" borderId="15" xfId="8" applyNumberFormat="1" applyFont="1" applyBorder="1" applyAlignment="1">
      <alignment horizontal="center" vertical="center"/>
    </xf>
    <xf numFmtId="0" fontId="18" fillId="0" borderId="12" xfId="8" applyFont="1" applyBorder="1" applyAlignment="1">
      <alignment horizontal="center" vertical="center"/>
    </xf>
    <xf numFmtId="183" fontId="16" fillId="0" borderId="12" xfId="8" applyNumberFormat="1" applyFont="1" applyBorder="1" applyAlignment="1">
      <alignment horizontal="center" vertical="center"/>
    </xf>
    <xf numFmtId="183" fontId="18" fillId="3" borderId="23" xfId="8" applyNumberFormat="1" applyFont="1" applyFill="1" applyBorder="1" applyAlignment="1" applyProtection="1">
      <alignment horizontal="center" vertical="center"/>
      <protection locked="0"/>
    </xf>
    <xf numFmtId="183" fontId="18" fillId="3" borderId="26" xfId="8" applyNumberFormat="1" applyFont="1" applyFill="1" applyBorder="1" applyAlignment="1" applyProtection="1">
      <alignment horizontal="center" vertical="center"/>
      <protection locked="0"/>
    </xf>
    <xf numFmtId="183" fontId="18" fillId="3" borderId="24" xfId="8" applyNumberFormat="1" applyFont="1" applyFill="1" applyBorder="1" applyAlignment="1" applyProtection="1">
      <alignment horizontal="center" vertical="center"/>
      <protection locked="0"/>
    </xf>
    <xf numFmtId="0" fontId="18" fillId="0" borderId="14" xfId="8" applyFont="1" applyBorder="1" applyAlignment="1">
      <alignment horizontal="center" vertical="center"/>
    </xf>
    <xf numFmtId="179" fontId="18" fillId="0" borderId="19" xfId="8" applyNumberFormat="1" applyFont="1" applyBorder="1" applyAlignment="1">
      <alignment horizontal="center" vertical="center"/>
    </xf>
    <xf numFmtId="183" fontId="18" fillId="0" borderId="12" xfId="8" applyNumberFormat="1" applyFont="1" applyBorder="1" applyAlignment="1">
      <alignment horizontal="center" vertical="center"/>
    </xf>
    <xf numFmtId="179" fontId="18" fillId="0" borderId="12" xfId="8" applyNumberFormat="1" applyFont="1" applyBorder="1" applyAlignment="1">
      <alignment horizontal="center" vertical="center"/>
    </xf>
    <xf numFmtId="0" fontId="18" fillId="0" borderId="19" xfId="8" applyFont="1" applyBorder="1" applyAlignment="1">
      <alignment horizontal="center" vertical="center"/>
    </xf>
    <xf numFmtId="0" fontId="18" fillId="0" borderId="0" xfId="8" applyFont="1" applyAlignment="1" applyProtection="1">
      <alignment horizontal="right" vertical="center"/>
      <protection locked="0"/>
    </xf>
    <xf numFmtId="0" fontId="27" fillId="0" borderId="0" xfId="8" applyFont="1" applyAlignment="1" applyProtection="1">
      <alignment horizontal="center" vertical="center"/>
      <protection locked="0"/>
    </xf>
    <xf numFmtId="184" fontId="22" fillId="0" borderId="1" xfId="8" applyNumberFormat="1" applyFont="1" applyBorder="1" applyAlignment="1">
      <alignment horizontal="center" vertical="center"/>
    </xf>
    <xf numFmtId="0" fontId="21" fillId="0" borderId="8" xfId="8" applyFont="1" applyBorder="1" applyAlignment="1">
      <alignment horizontal="center" vertical="center"/>
    </xf>
    <xf numFmtId="0" fontId="21" fillId="0" borderId="1" xfId="8" applyFont="1" applyBorder="1" applyAlignment="1">
      <alignment horizontal="center" vertical="center"/>
    </xf>
    <xf numFmtId="0" fontId="6" fillId="0" borderId="1" xfId="8" applyFont="1" applyBorder="1" applyAlignment="1">
      <alignment horizontal="center" vertical="center"/>
    </xf>
    <xf numFmtId="0" fontId="13" fillId="0" borderId="0" xfId="4" applyFont="1" applyAlignment="1">
      <alignment horizontal="center" vertical="center"/>
    </xf>
    <xf numFmtId="0" fontId="14" fillId="0" borderId="0" xfId="4" applyFont="1" applyAlignment="1">
      <alignment horizontal="center" vertical="center"/>
    </xf>
    <xf numFmtId="0" fontId="15" fillId="0" borderId="0" xfId="4" applyFont="1" applyAlignment="1">
      <alignment horizontal="center" vertical="center"/>
    </xf>
    <xf numFmtId="0" fontId="18" fillId="0" borderId="0" xfId="0" applyFont="1">
      <alignment vertical="center"/>
    </xf>
    <xf numFmtId="0" fontId="0" fillId="0" borderId="0" xfId="0">
      <alignment vertical="center"/>
    </xf>
    <xf numFmtId="0" fontId="18" fillId="0" borderId="0" xfId="0" applyFont="1" applyAlignment="1">
      <alignment horizontal="left" vertical="center"/>
    </xf>
    <xf numFmtId="0" fontId="18" fillId="0" borderId="0" xfId="0" applyFont="1" applyAlignment="1" applyProtection="1">
      <alignment horizontal="left" vertical="center"/>
      <protection locked="0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86" fontId="18" fillId="0" borderId="0" xfId="0" applyNumberFormat="1" applyFont="1" applyAlignment="1" applyProtection="1">
      <alignment horizontal="left" vertical="center"/>
      <protection locked="0"/>
    </xf>
    <xf numFmtId="0" fontId="18" fillId="0" borderId="36" xfId="0" applyFont="1" applyBorder="1" applyAlignment="1">
      <alignment horizontal="right" vertical="center"/>
    </xf>
    <xf numFmtId="0" fontId="18" fillId="0" borderId="25" xfId="0" applyFont="1" applyBorder="1" applyAlignment="1">
      <alignment horizontal="right" vertical="center"/>
    </xf>
    <xf numFmtId="0" fontId="18" fillId="0" borderId="2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18" fillId="0" borderId="25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18" fillId="0" borderId="4" xfId="0" applyFont="1" applyBorder="1" applyAlignment="1">
      <alignment horizontal="center" vertical="top"/>
    </xf>
    <xf numFmtId="0" fontId="18" fillId="0" borderId="5" xfId="0" applyFont="1" applyBorder="1" applyAlignment="1">
      <alignment horizontal="center" vertical="top"/>
    </xf>
    <xf numFmtId="0" fontId="18" fillId="0" borderId="0" xfId="0" applyFont="1" applyAlignment="1">
      <alignment horizontal="center" vertical="top"/>
    </xf>
    <xf numFmtId="0" fontId="18" fillId="0" borderId="6" xfId="0" applyFont="1" applyBorder="1" applyAlignment="1">
      <alignment horizontal="center" vertical="top"/>
    </xf>
    <xf numFmtId="0" fontId="18" fillId="0" borderId="7" xfId="0" applyFont="1" applyBorder="1" applyAlignment="1">
      <alignment horizontal="center" vertical="top"/>
    </xf>
    <xf numFmtId="0" fontId="18" fillId="0" borderId="8" xfId="0" applyFont="1" applyBorder="1" applyAlignment="1">
      <alignment horizontal="center" vertical="top"/>
    </xf>
    <xf numFmtId="0" fontId="18" fillId="0" borderId="9" xfId="0" applyFont="1" applyBorder="1" applyAlignment="1">
      <alignment horizontal="center" vertical="top"/>
    </xf>
    <xf numFmtId="0" fontId="8" fillId="0" borderId="0" xfId="0" applyFont="1" applyAlignment="1">
      <alignment horizontal="right" vertical="center"/>
    </xf>
  </cellXfs>
  <cellStyles count="9">
    <cellStyle name="Normal_Draft Surveying" xfId="2" xr:uid="{00000000-0005-0000-0000-000000000000}"/>
    <cellStyle name="常规" xfId="0" builtinId="0"/>
    <cellStyle name="常规 2" xfId="1" xr:uid="{00000000-0005-0000-0000-000002000000}"/>
    <cellStyle name="常规 2 2" xfId="8" xr:uid="{00000000-0005-0000-0000-000003000000}"/>
    <cellStyle name="常规 3" xfId="3" xr:uid="{00000000-0005-0000-0000-000004000000}"/>
    <cellStyle name="常规 5" xfId="4" xr:uid="{00000000-0005-0000-0000-000005000000}"/>
    <cellStyle name="常规 6" xfId="5" xr:uid="{00000000-0005-0000-0000-000006000000}"/>
    <cellStyle name="常规 7" xfId="6" xr:uid="{00000000-0005-0000-0000-000007000000}"/>
    <cellStyle name="超链接" xfId="7" builtinId="8"/>
  </cellStyles>
  <dxfs count="16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theme="0"/>
      </font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mruColors>
      <color rgb="FFFFFFCC"/>
      <color rgb="FF009900"/>
      <color rgb="FFFFFF99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jpe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3.jpe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3.jpe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76971</xdr:colOff>
      <xdr:row>0</xdr:row>
      <xdr:rowOff>14124</xdr:rowOff>
    </xdr:from>
    <xdr:to>
      <xdr:col>3</xdr:col>
      <xdr:colOff>86591</xdr:colOff>
      <xdr:row>3</xdr:row>
      <xdr:rowOff>21896</xdr:rowOff>
    </xdr:to>
    <xdr:pic>
      <xdr:nvPicPr>
        <xdr:cNvPr id="1044" name="图片 22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27123" y="14124"/>
          <a:ext cx="548407" cy="5273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356174</xdr:colOff>
      <xdr:row>5</xdr:row>
      <xdr:rowOff>48721</xdr:rowOff>
    </xdr:from>
    <xdr:to>
      <xdr:col>7</xdr:col>
      <xdr:colOff>339992</xdr:colOff>
      <xdr:row>17</xdr:row>
      <xdr:rowOff>74084</xdr:rowOff>
    </xdr:to>
    <xdr:pic macro="[0]!fontColor">
      <xdr:nvPicPr>
        <xdr:cNvPr id="5" name="图片 4" descr="1.jp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53295" y="828039"/>
          <a:ext cx="792000" cy="1584000"/>
        </a:xfrm>
        <a:prstGeom prst="rect">
          <a:avLst/>
        </a:prstGeom>
      </xdr:spPr>
    </xdr:pic>
    <xdr:clientData/>
  </xdr:twoCellAnchor>
  <xdr:twoCellAnchor>
    <xdr:from>
      <xdr:col>2</xdr:col>
      <xdr:colOff>241935</xdr:colOff>
      <xdr:row>25</xdr:row>
      <xdr:rowOff>25400</xdr:rowOff>
    </xdr:from>
    <xdr:to>
      <xdr:col>3</xdr:col>
      <xdr:colOff>670560</xdr:colOff>
      <xdr:row>26</xdr:row>
      <xdr:rowOff>25400</xdr:rowOff>
    </xdr:to>
    <xdr:sp macro="[0]!Initial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676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>
                  <a:lumMod val="6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Initial</a:t>
          </a:r>
          <a:endParaRPr lang="zh-CN" altLang="en-US" sz="1200">
            <a:solidFill>
              <a:schemeClr val="bg1">
                <a:lumMod val="65000"/>
              </a:schemeClr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108585</xdr:colOff>
      <xdr:row>25</xdr:row>
      <xdr:rowOff>25400</xdr:rowOff>
    </xdr:from>
    <xdr:to>
      <xdr:col>5</xdr:col>
      <xdr:colOff>670560</xdr:colOff>
      <xdr:row>26</xdr:row>
      <xdr:rowOff>25400</xdr:rowOff>
    </xdr:to>
    <xdr:sp macro="[0]!IntOne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5638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Int1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108585</xdr:colOff>
      <xdr:row>25</xdr:row>
      <xdr:rowOff>25400</xdr:rowOff>
    </xdr:from>
    <xdr:to>
      <xdr:col>7</xdr:col>
      <xdr:colOff>670560</xdr:colOff>
      <xdr:row>26</xdr:row>
      <xdr:rowOff>25400</xdr:rowOff>
    </xdr:to>
    <xdr:sp macro="[0]!IntTwo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36601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Int2</a:t>
          </a:r>
          <a:endParaRPr lang="zh-CN" altLang="en-US" sz="120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8</xdr:col>
      <xdr:colOff>108585</xdr:colOff>
      <xdr:row>25</xdr:row>
      <xdr:rowOff>25400</xdr:rowOff>
    </xdr:from>
    <xdr:to>
      <xdr:col>9</xdr:col>
      <xdr:colOff>670560</xdr:colOff>
      <xdr:row>26</xdr:row>
      <xdr:rowOff>25400</xdr:rowOff>
    </xdr:to>
    <xdr:sp macro="[0]!Final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17563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Final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</xdr:row>
      <xdr:rowOff>25400</xdr:rowOff>
    </xdr:from>
    <xdr:to>
      <xdr:col>18</xdr:col>
      <xdr:colOff>870585</xdr:colOff>
      <xdr:row>4</xdr:row>
      <xdr:rowOff>25400</xdr:rowOff>
    </xdr:to>
    <xdr:sp macro="[0]!Initial_Data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833360" y="2825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5</xdr:row>
      <xdr:rowOff>25400</xdr:rowOff>
    </xdr:from>
    <xdr:to>
      <xdr:col>18</xdr:col>
      <xdr:colOff>870585</xdr:colOff>
      <xdr:row>8</xdr:row>
      <xdr:rowOff>25400</xdr:rowOff>
    </xdr:to>
    <xdr:sp macro="[0]!HYDROS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833360" y="79692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HYDROS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9</xdr:row>
      <xdr:rowOff>25400</xdr:rowOff>
    </xdr:from>
    <xdr:to>
      <xdr:col>18</xdr:col>
      <xdr:colOff>870585</xdr:colOff>
      <xdr:row>12</xdr:row>
      <xdr:rowOff>25400</xdr:rowOff>
    </xdr:to>
    <xdr:sp macro="[0]!_xludf.TRIM" textlink="">
      <xdr:nvSpPr>
        <xdr:cNvPr id="11" name="矩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833360" y="13112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TRIM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13</xdr:row>
      <xdr:rowOff>25400</xdr:rowOff>
    </xdr:from>
    <xdr:to>
      <xdr:col>18</xdr:col>
      <xdr:colOff>870585</xdr:colOff>
      <xdr:row>16</xdr:row>
      <xdr:rowOff>44450</xdr:rowOff>
    </xdr:to>
    <xdr:sp macro="[0]!SOUNDING" textlink="">
      <xdr:nvSpPr>
        <xdr:cNvPr id="12" name="矩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833360" y="182562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SOUNDING</a:t>
          </a:r>
        </a:p>
        <a:p>
          <a:pPr algn="ctr"/>
          <a:r>
            <a:rPr lang="en-US" altLang="zh-CN" sz="1200"/>
            <a:t>TABLE</a:t>
          </a:r>
          <a:endParaRPr lang="zh-CN" altLang="en-US" sz="1200"/>
        </a:p>
      </xdr:txBody>
    </xdr:sp>
    <xdr:clientData/>
  </xdr:twoCellAnchor>
  <xdr:twoCellAnchor>
    <xdr:from>
      <xdr:col>14</xdr:col>
      <xdr:colOff>165735</xdr:colOff>
      <xdr:row>28</xdr:row>
      <xdr:rowOff>25400</xdr:rowOff>
    </xdr:from>
    <xdr:to>
      <xdr:col>15</xdr:col>
      <xdr:colOff>1175385</xdr:colOff>
      <xdr:row>29</xdr:row>
      <xdr:rowOff>25400</xdr:rowOff>
    </xdr:to>
    <xdr:sp macro="[0]!AdjustBW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099810" y="4749800"/>
          <a:ext cx="1190625" cy="2571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/>
            <a:t>Adjust B.W</a:t>
          </a:r>
          <a:endParaRPr lang="zh-CN" alt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</xdr:row>
          <xdr:rowOff>9525</xdr:rowOff>
        </xdr:from>
        <xdr:to>
          <xdr:col>8</xdr:col>
          <xdr:colOff>57150</xdr:colOff>
          <xdr:row>8</xdr:row>
          <xdr:rowOff>9525</xdr:rowOff>
        </xdr:to>
        <xdr:sp macro="" textlink="">
          <xdr:nvSpPr>
            <xdr:cNvPr id="26625" name="Label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9525</xdr:rowOff>
        </xdr:from>
        <xdr:to>
          <xdr:col>8</xdr:col>
          <xdr:colOff>57150</xdr:colOff>
          <xdr:row>12</xdr:row>
          <xdr:rowOff>9525</xdr:rowOff>
        </xdr:to>
        <xdr:sp macro="" textlink="">
          <xdr:nvSpPr>
            <xdr:cNvPr id="26626" name="Label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0</xdr:rowOff>
        </xdr:from>
        <xdr:to>
          <xdr:col>8</xdr:col>
          <xdr:colOff>57150</xdr:colOff>
          <xdr:row>15</xdr:row>
          <xdr:rowOff>180975</xdr:rowOff>
        </xdr:to>
        <xdr:sp macro="" textlink="">
          <xdr:nvSpPr>
            <xdr:cNvPr id="26627" name="Label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0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232410</xdr:colOff>
      <xdr:row>17</xdr:row>
      <xdr:rowOff>38100</xdr:rowOff>
    </xdr:from>
    <xdr:to>
      <xdr:col>18</xdr:col>
      <xdr:colOff>870585</xdr:colOff>
      <xdr:row>19</xdr:row>
      <xdr:rowOff>247650</xdr:rowOff>
    </xdr:to>
    <xdr:sp macro="[0]!Sheet1.Constant_calculation" textlink="">
      <xdr:nvSpPr>
        <xdr:cNvPr id="2" name="Constant calcula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3360" y="235267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Constant Calculation</a:t>
          </a:r>
        </a:p>
      </xdr:txBody>
    </xdr:sp>
    <xdr:clientData/>
  </xdr:twoCellAnchor>
  <xdr:twoCellAnchor editAs="oneCell">
    <xdr:from>
      <xdr:col>20</xdr:col>
      <xdr:colOff>0</xdr:colOff>
      <xdr:row>26</xdr:row>
      <xdr:rowOff>0</xdr:rowOff>
    </xdr:from>
    <xdr:to>
      <xdr:col>21</xdr:col>
      <xdr:colOff>167640</xdr:colOff>
      <xdr:row>29</xdr:row>
      <xdr:rowOff>83820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29750" y="4210050"/>
          <a:ext cx="862965" cy="85534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76971</xdr:colOff>
      <xdr:row>0</xdr:row>
      <xdr:rowOff>14124</xdr:rowOff>
    </xdr:from>
    <xdr:to>
      <xdr:col>3</xdr:col>
      <xdr:colOff>86591</xdr:colOff>
      <xdr:row>3</xdr:row>
      <xdr:rowOff>21896</xdr:rowOff>
    </xdr:to>
    <xdr:pic>
      <xdr:nvPicPr>
        <xdr:cNvPr id="3" name="图片 2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24621" y="14124"/>
          <a:ext cx="543020" cy="5221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356174</xdr:colOff>
      <xdr:row>5</xdr:row>
      <xdr:rowOff>48721</xdr:rowOff>
    </xdr:from>
    <xdr:to>
      <xdr:col>7</xdr:col>
      <xdr:colOff>339992</xdr:colOff>
      <xdr:row>17</xdr:row>
      <xdr:rowOff>74084</xdr:rowOff>
    </xdr:to>
    <xdr:pic macro="[0]!fontColor">
      <xdr:nvPicPr>
        <xdr:cNvPr id="7" name="图片 6" descr="1.jp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53295" y="828039"/>
          <a:ext cx="792000" cy="1584000"/>
        </a:xfrm>
        <a:prstGeom prst="rect">
          <a:avLst/>
        </a:prstGeom>
      </xdr:spPr>
    </xdr:pic>
    <xdr:clientData/>
  </xdr:twoCellAnchor>
  <xdr:twoCellAnchor>
    <xdr:from>
      <xdr:col>2</xdr:col>
      <xdr:colOff>241935</xdr:colOff>
      <xdr:row>25</xdr:row>
      <xdr:rowOff>25400</xdr:rowOff>
    </xdr:from>
    <xdr:to>
      <xdr:col>3</xdr:col>
      <xdr:colOff>670560</xdr:colOff>
      <xdr:row>26</xdr:row>
      <xdr:rowOff>25400</xdr:rowOff>
    </xdr:to>
    <xdr:sp macro="[0]!Initial" textlink="">
      <xdr:nvSpPr>
        <xdr:cNvPr id="45" name="矩形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4676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Initial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108585</xdr:colOff>
      <xdr:row>25</xdr:row>
      <xdr:rowOff>25400</xdr:rowOff>
    </xdr:from>
    <xdr:to>
      <xdr:col>5</xdr:col>
      <xdr:colOff>670560</xdr:colOff>
      <xdr:row>26</xdr:row>
      <xdr:rowOff>25400</xdr:rowOff>
    </xdr:to>
    <xdr:sp macro="[0]!IntOne" textlink="">
      <xdr:nvSpPr>
        <xdr:cNvPr id="46" name="矩形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55638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>
                  <a:lumMod val="6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Int1</a:t>
          </a:r>
          <a:endParaRPr lang="zh-CN" altLang="en-US" sz="1200">
            <a:solidFill>
              <a:schemeClr val="bg1">
                <a:lumMod val="65000"/>
              </a:schemeClr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108585</xdr:colOff>
      <xdr:row>25</xdr:row>
      <xdr:rowOff>25400</xdr:rowOff>
    </xdr:from>
    <xdr:to>
      <xdr:col>7</xdr:col>
      <xdr:colOff>670560</xdr:colOff>
      <xdr:row>26</xdr:row>
      <xdr:rowOff>25400</xdr:rowOff>
    </xdr:to>
    <xdr:sp macro="[0]!IntTwo" textlink="">
      <xdr:nvSpPr>
        <xdr:cNvPr id="47" name="矩形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236601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Int2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8</xdr:col>
      <xdr:colOff>108585</xdr:colOff>
      <xdr:row>25</xdr:row>
      <xdr:rowOff>25400</xdr:rowOff>
    </xdr:from>
    <xdr:to>
      <xdr:col>9</xdr:col>
      <xdr:colOff>670560</xdr:colOff>
      <xdr:row>26</xdr:row>
      <xdr:rowOff>25400</xdr:rowOff>
    </xdr:to>
    <xdr:sp macro="[0]!Final" textlink="">
      <xdr:nvSpPr>
        <xdr:cNvPr id="48" name="矩形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317563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Final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</xdr:row>
      <xdr:rowOff>25400</xdr:rowOff>
    </xdr:from>
    <xdr:to>
      <xdr:col>18</xdr:col>
      <xdr:colOff>870585</xdr:colOff>
      <xdr:row>4</xdr:row>
      <xdr:rowOff>25400</xdr:rowOff>
    </xdr:to>
    <xdr:sp macro="[0]!IntOne_Data" textlink="">
      <xdr:nvSpPr>
        <xdr:cNvPr id="49" name="矩形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7833360" y="2825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5</xdr:row>
      <xdr:rowOff>25400</xdr:rowOff>
    </xdr:from>
    <xdr:to>
      <xdr:col>18</xdr:col>
      <xdr:colOff>870585</xdr:colOff>
      <xdr:row>8</xdr:row>
      <xdr:rowOff>25400</xdr:rowOff>
    </xdr:to>
    <xdr:sp macro="[0]!HYDROS" textlink="">
      <xdr:nvSpPr>
        <xdr:cNvPr id="50" name="矩形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7833360" y="79692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HYDROS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9</xdr:row>
      <xdr:rowOff>25400</xdr:rowOff>
    </xdr:from>
    <xdr:to>
      <xdr:col>18</xdr:col>
      <xdr:colOff>870585</xdr:colOff>
      <xdr:row>12</xdr:row>
      <xdr:rowOff>25400</xdr:rowOff>
    </xdr:to>
    <xdr:sp macro="[0]!_xludf.TRIM" textlink="">
      <xdr:nvSpPr>
        <xdr:cNvPr id="51" name="矩形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7833360" y="13112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TRIM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13</xdr:row>
      <xdr:rowOff>25400</xdr:rowOff>
    </xdr:from>
    <xdr:to>
      <xdr:col>18</xdr:col>
      <xdr:colOff>870585</xdr:colOff>
      <xdr:row>16</xdr:row>
      <xdr:rowOff>44450</xdr:rowOff>
    </xdr:to>
    <xdr:sp macro="[0]!SOUNDING" textlink="">
      <xdr:nvSpPr>
        <xdr:cNvPr id="52" name="矩形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7833360" y="182562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SOUNDING</a:t>
          </a:r>
        </a:p>
        <a:p>
          <a:pPr algn="ctr"/>
          <a:r>
            <a:rPr lang="en-US" altLang="zh-CN" sz="1200"/>
            <a:t>TABLE</a:t>
          </a:r>
          <a:endParaRPr lang="zh-CN" altLang="en-US" sz="1200"/>
        </a:p>
      </xdr:txBody>
    </xdr:sp>
    <xdr:clientData/>
  </xdr:twoCellAnchor>
  <xdr:twoCellAnchor>
    <xdr:from>
      <xdr:col>14</xdr:col>
      <xdr:colOff>165735</xdr:colOff>
      <xdr:row>28</xdr:row>
      <xdr:rowOff>25400</xdr:rowOff>
    </xdr:from>
    <xdr:to>
      <xdr:col>15</xdr:col>
      <xdr:colOff>1175385</xdr:colOff>
      <xdr:row>29</xdr:row>
      <xdr:rowOff>25400</xdr:rowOff>
    </xdr:to>
    <xdr:sp macro="[0]!AdjustBW" textlink="">
      <xdr:nvSpPr>
        <xdr:cNvPr id="53" name="矩形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099810" y="4749800"/>
          <a:ext cx="1190625" cy="2571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/>
            <a:t>Adjust B.W</a:t>
          </a:r>
          <a:endParaRPr lang="zh-CN" alt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</xdr:row>
          <xdr:rowOff>9525</xdr:rowOff>
        </xdr:from>
        <xdr:to>
          <xdr:col>8</xdr:col>
          <xdr:colOff>57150</xdr:colOff>
          <xdr:row>8</xdr:row>
          <xdr:rowOff>9525</xdr:rowOff>
        </xdr:to>
        <xdr:sp macro="" textlink="">
          <xdr:nvSpPr>
            <xdr:cNvPr id="31745" name="Label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9525</xdr:rowOff>
        </xdr:from>
        <xdr:to>
          <xdr:col>8</xdr:col>
          <xdr:colOff>57150</xdr:colOff>
          <xdr:row>12</xdr:row>
          <xdr:rowOff>9525</xdr:rowOff>
        </xdr:to>
        <xdr:sp macro="" textlink="">
          <xdr:nvSpPr>
            <xdr:cNvPr id="31746" name="Label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0</xdr:rowOff>
        </xdr:from>
        <xdr:to>
          <xdr:col>8</xdr:col>
          <xdr:colOff>57150</xdr:colOff>
          <xdr:row>15</xdr:row>
          <xdr:rowOff>180975</xdr:rowOff>
        </xdr:to>
        <xdr:sp macro="" textlink="">
          <xdr:nvSpPr>
            <xdr:cNvPr id="31747" name="Label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1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232410</xdr:colOff>
      <xdr:row>17</xdr:row>
      <xdr:rowOff>38100</xdr:rowOff>
    </xdr:from>
    <xdr:to>
      <xdr:col>18</xdr:col>
      <xdr:colOff>870585</xdr:colOff>
      <xdr:row>19</xdr:row>
      <xdr:rowOff>247650</xdr:rowOff>
    </xdr:to>
    <xdr:sp macro="[0]!Sheet2.Constant_calculati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833360" y="235267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Constant Calculation</a:t>
          </a:r>
          <a:endParaRPr lang="zh-CN" altLang="en-US" sz="1200"/>
        </a:p>
      </xdr:txBody>
    </xdr:sp>
    <xdr:clientData/>
  </xdr:twoCellAnchor>
  <xdr:twoCellAnchor editAs="oneCell">
    <xdr:from>
      <xdr:col>20</xdr:col>
      <xdr:colOff>0</xdr:colOff>
      <xdr:row>26</xdr:row>
      <xdr:rowOff>0</xdr:rowOff>
    </xdr:from>
    <xdr:to>
      <xdr:col>21</xdr:col>
      <xdr:colOff>167640</xdr:colOff>
      <xdr:row>29</xdr:row>
      <xdr:rowOff>83820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29750" y="4210050"/>
          <a:ext cx="862965" cy="8553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76971</xdr:colOff>
      <xdr:row>0</xdr:row>
      <xdr:rowOff>14124</xdr:rowOff>
    </xdr:from>
    <xdr:to>
      <xdr:col>3</xdr:col>
      <xdr:colOff>86591</xdr:colOff>
      <xdr:row>3</xdr:row>
      <xdr:rowOff>21896</xdr:rowOff>
    </xdr:to>
    <xdr:pic>
      <xdr:nvPicPr>
        <xdr:cNvPr id="3" name="图片 2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24621" y="14124"/>
          <a:ext cx="543020" cy="5221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356174</xdr:colOff>
      <xdr:row>5</xdr:row>
      <xdr:rowOff>48721</xdr:rowOff>
    </xdr:from>
    <xdr:to>
      <xdr:col>7</xdr:col>
      <xdr:colOff>339992</xdr:colOff>
      <xdr:row>17</xdr:row>
      <xdr:rowOff>74084</xdr:rowOff>
    </xdr:to>
    <xdr:pic macro="[0]!fontColor">
      <xdr:nvPicPr>
        <xdr:cNvPr id="7" name="图片 6" descr="1.jp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53295" y="828039"/>
          <a:ext cx="792000" cy="1584000"/>
        </a:xfrm>
        <a:prstGeom prst="rect">
          <a:avLst/>
        </a:prstGeom>
      </xdr:spPr>
    </xdr:pic>
    <xdr:clientData/>
  </xdr:twoCellAnchor>
  <xdr:twoCellAnchor>
    <xdr:from>
      <xdr:col>2</xdr:col>
      <xdr:colOff>241935</xdr:colOff>
      <xdr:row>25</xdr:row>
      <xdr:rowOff>25400</xdr:rowOff>
    </xdr:from>
    <xdr:to>
      <xdr:col>3</xdr:col>
      <xdr:colOff>670560</xdr:colOff>
      <xdr:row>26</xdr:row>
      <xdr:rowOff>25400</xdr:rowOff>
    </xdr:to>
    <xdr:sp macro="[0]!Initial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4676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Initial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108585</xdr:colOff>
      <xdr:row>25</xdr:row>
      <xdr:rowOff>25400</xdr:rowOff>
    </xdr:from>
    <xdr:to>
      <xdr:col>5</xdr:col>
      <xdr:colOff>670560</xdr:colOff>
      <xdr:row>26</xdr:row>
      <xdr:rowOff>25400</xdr:rowOff>
    </xdr:to>
    <xdr:sp macro="[0]!IntOne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55638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Int1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108585</xdr:colOff>
      <xdr:row>25</xdr:row>
      <xdr:rowOff>25400</xdr:rowOff>
    </xdr:from>
    <xdr:to>
      <xdr:col>7</xdr:col>
      <xdr:colOff>670560</xdr:colOff>
      <xdr:row>26</xdr:row>
      <xdr:rowOff>25400</xdr:rowOff>
    </xdr:to>
    <xdr:sp macro="[0]!IntTwo" textlink="">
      <xdr:nvSpPr>
        <xdr:cNvPr id="15" name="矩形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36601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>
                  <a:lumMod val="6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Int2</a:t>
          </a:r>
          <a:endParaRPr lang="zh-CN" altLang="en-US" sz="1200">
            <a:solidFill>
              <a:schemeClr val="bg1">
                <a:lumMod val="65000"/>
              </a:schemeClr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8</xdr:col>
      <xdr:colOff>108585</xdr:colOff>
      <xdr:row>25</xdr:row>
      <xdr:rowOff>25400</xdr:rowOff>
    </xdr:from>
    <xdr:to>
      <xdr:col>9</xdr:col>
      <xdr:colOff>670560</xdr:colOff>
      <xdr:row>26</xdr:row>
      <xdr:rowOff>25400</xdr:rowOff>
    </xdr:to>
    <xdr:sp macro="[0]!Final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317563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Final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</xdr:row>
      <xdr:rowOff>25400</xdr:rowOff>
    </xdr:from>
    <xdr:to>
      <xdr:col>18</xdr:col>
      <xdr:colOff>870585</xdr:colOff>
      <xdr:row>4</xdr:row>
      <xdr:rowOff>25400</xdr:rowOff>
    </xdr:to>
    <xdr:sp macro="[0]!IntTwo_Data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7833360" y="2825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5</xdr:row>
      <xdr:rowOff>25400</xdr:rowOff>
    </xdr:from>
    <xdr:to>
      <xdr:col>18</xdr:col>
      <xdr:colOff>870585</xdr:colOff>
      <xdr:row>8</xdr:row>
      <xdr:rowOff>25400</xdr:rowOff>
    </xdr:to>
    <xdr:sp macro="[0]!HYDROS" textlink="">
      <xdr:nvSpPr>
        <xdr:cNvPr id="18" name="矩形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7833360" y="79692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HYDROS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9</xdr:row>
      <xdr:rowOff>25400</xdr:rowOff>
    </xdr:from>
    <xdr:to>
      <xdr:col>18</xdr:col>
      <xdr:colOff>870585</xdr:colOff>
      <xdr:row>12</xdr:row>
      <xdr:rowOff>25400</xdr:rowOff>
    </xdr:to>
    <xdr:sp macro="[0]!_xludf.TRIM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833360" y="13112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TRIM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13</xdr:row>
      <xdr:rowOff>25400</xdr:rowOff>
    </xdr:from>
    <xdr:to>
      <xdr:col>18</xdr:col>
      <xdr:colOff>870585</xdr:colOff>
      <xdr:row>16</xdr:row>
      <xdr:rowOff>44450</xdr:rowOff>
    </xdr:to>
    <xdr:sp macro="[0]!SOUNDING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7833360" y="182562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SOUNDING</a:t>
          </a:r>
        </a:p>
        <a:p>
          <a:pPr algn="ctr"/>
          <a:r>
            <a:rPr lang="en-US" altLang="zh-CN" sz="1200"/>
            <a:t>TABLE</a:t>
          </a:r>
          <a:endParaRPr lang="zh-CN" altLang="en-US" sz="1200"/>
        </a:p>
      </xdr:txBody>
    </xdr:sp>
    <xdr:clientData/>
  </xdr:twoCellAnchor>
  <xdr:twoCellAnchor>
    <xdr:from>
      <xdr:col>14</xdr:col>
      <xdr:colOff>165735</xdr:colOff>
      <xdr:row>28</xdr:row>
      <xdr:rowOff>25400</xdr:rowOff>
    </xdr:from>
    <xdr:to>
      <xdr:col>15</xdr:col>
      <xdr:colOff>1175385</xdr:colOff>
      <xdr:row>29</xdr:row>
      <xdr:rowOff>25400</xdr:rowOff>
    </xdr:to>
    <xdr:sp macro="[0]!AdjustBW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099810" y="4749800"/>
          <a:ext cx="1190625" cy="2571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/>
            <a:t>Adjust B.W</a:t>
          </a:r>
          <a:endParaRPr lang="zh-CN" alt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</xdr:row>
          <xdr:rowOff>9525</xdr:rowOff>
        </xdr:from>
        <xdr:to>
          <xdr:col>8</xdr:col>
          <xdr:colOff>57150</xdr:colOff>
          <xdr:row>8</xdr:row>
          <xdr:rowOff>9525</xdr:rowOff>
        </xdr:to>
        <xdr:sp macro="" textlink="">
          <xdr:nvSpPr>
            <xdr:cNvPr id="30721" name="Label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9525</xdr:rowOff>
        </xdr:from>
        <xdr:to>
          <xdr:col>8</xdr:col>
          <xdr:colOff>57150</xdr:colOff>
          <xdr:row>12</xdr:row>
          <xdr:rowOff>9525</xdr:rowOff>
        </xdr:to>
        <xdr:sp macro="" textlink="">
          <xdr:nvSpPr>
            <xdr:cNvPr id="30722" name="Label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2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0</xdr:rowOff>
        </xdr:from>
        <xdr:to>
          <xdr:col>8</xdr:col>
          <xdr:colOff>57150</xdr:colOff>
          <xdr:row>15</xdr:row>
          <xdr:rowOff>180975</xdr:rowOff>
        </xdr:to>
        <xdr:sp macro="" textlink="">
          <xdr:nvSpPr>
            <xdr:cNvPr id="30723" name="Label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2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232410</xdr:colOff>
      <xdr:row>17</xdr:row>
      <xdr:rowOff>38100</xdr:rowOff>
    </xdr:from>
    <xdr:to>
      <xdr:col>18</xdr:col>
      <xdr:colOff>870585</xdr:colOff>
      <xdr:row>19</xdr:row>
      <xdr:rowOff>247650</xdr:rowOff>
    </xdr:to>
    <xdr:sp macro="[0]!Sheet3.Constant_calculati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33360" y="235267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Constant Calculation</a:t>
          </a:r>
          <a:endParaRPr lang="zh-CN" altLang="en-US" sz="1200"/>
        </a:p>
      </xdr:txBody>
    </xdr:sp>
    <xdr:clientData/>
  </xdr:twoCellAnchor>
  <xdr:twoCellAnchor editAs="oneCell">
    <xdr:from>
      <xdr:col>20</xdr:col>
      <xdr:colOff>0</xdr:colOff>
      <xdr:row>26</xdr:row>
      <xdr:rowOff>0</xdr:rowOff>
    </xdr:from>
    <xdr:to>
      <xdr:col>21</xdr:col>
      <xdr:colOff>167640</xdr:colOff>
      <xdr:row>29</xdr:row>
      <xdr:rowOff>83820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29750" y="4210050"/>
          <a:ext cx="862965" cy="85534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76971</xdr:colOff>
      <xdr:row>0</xdr:row>
      <xdr:rowOff>14124</xdr:rowOff>
    </xdr:from>
    <xdr:to>
      <xdr:col>3</xdr:col>
      <xdr:colOff>86591</xdr:colOff>
      <xdr:row>3</xdr:row>
      <xdr:rowOff>21896</xdr:rowOff>
    </xdr:to>
    <xdr:pic>
      <xdr:nvPicPr>
        <xdr:cNvPr id="3" name="图片 2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324621" y="14124"/>
          <a:ext cx="543020" cy="52212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356174</xdr:colOff>
      <xdr:row>5</xdr:row>
      <xdr:rowOff>48721</xdr:rowOff>
    </xdr:from>
    <xdr:to>
      <xdr:col>7</xdr:col>
      <xdr:colOff>339992</xdr:colOff>
      <xdr:row>17</xdr:row>
      <xdr:rowOff>74084</xdr:rowOff>
    </xdr:to>
    <xdr:pic macro="[0]!fontColor">
      <xdr:nvPicPr>
        <xdr:cNvPr id="7" name="图片 6" descr="1.jp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53295" y="828039"/>
          <a:ext cx="792000" cy="1584000"/>
        </a:xfrm>
        <a:prstGeom prst="rect">
          <a:avLst/>
        </a:prstGeom>
      </xdr:spPr>
    </xdr:pic>
    <xdr:clientData/>
  </xdr:twoCellAnchor>
  <xdr:twoCellAnchor>
    <xdr:from>
      <xdr:col>2</xdr:col>
      <xdr:colOff>241935</xdr:colOff>
      <xdr:row>25</xdr:row>
      <xdr:rowOff>25400</xdr:rowOff>
    </xdr:from>
    <xdr:to>
      <xdr:col>3</xdr:col>
      <xdr:colOff>670560</xdr:colOff>
      <xdr:row>26</xdr:row>
      <xdr:rowOff>25400</xdr:rowOff>
    </xdr:to>
    <xdr:sp macro="[0]!Initial" textlink="">
      <xdr:nvSpPr>
        <xdr:cNvPr id="13" name="矩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4676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Initial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108585</xdr:colOff>
      <xdr:row>25</xdr:row>
      <xdr:rowOff>25400</xdr:rowOff>
    </xdr:from>
    <xdr:to>
      <xdr:col>5</xdr:col>
      <xdr:colOff>670560</xdr:colOff>
      <xdr:row>26</xdr:row>
      <xdr:rowOff>25400</xdr:rowOff>
    </xdr:to>
    <xdr:sp macro="[0]!IntOne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55638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Int1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108585</xdr:colOff>
      <xdr:row>25</xdr:row>
      <xdr:rowOff>25400</xdr:rowOff>
    </xdr:from>
    <xdr:to>
      <xdr:col>7</xdr:col>
      <xdr:colOff>670560</xdr:colOff>
      <xdr:row>26</xdr:row>
      <xdr:rowOff>25400</xdr:rowOff>
    </xdr:to>
    <xdr:sp macro="[0]!IntTwo" textlink="">
      <xdr:nvSpPr>
        <xdr:cNvPr id="15" name="矩形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366010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Int2</a:t>
          </a:r>
          <a:endParaRPr lang="zh-CN" altLang="en-US" sz="120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8</xdr:col>
      <xdr:colOff>108585</xdr:colOff>
      <xdr:row>25</xdr:row>
      <xdr:rowOff>25400</xdr:rowOff>
    </xdr:from>
    <xdr:to>
      <xdr:col>9</xdr:col>
      <xdr:colOff>670560</xdr:colOff>
      <xdr:row>26</xdr:row>
      <xdr:rowOff>25400</xdr:rowOff>
    </xdr:to>
    <xdr:sp macro="[0]!Final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175635" y="3987800"/>
          <a:ext cx="685800" cy="2476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>
              <a:solidFill>
                <a:schemeClr val="bg1">
                  <a:lumMod val="6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Final</a:t>
          </a:r>
          <a:endParaRPr lang="zh-CN" altLang="en-US" sz="1200">
            <a:solidFill>
              <a:schemeClr val="bg1">
                <a:lumMod val="65000"/>
              </a:schemeClr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</xdr:row>
      <xdr:rowOff>25400</xdr:rowOff>
    </xdr:from>
    <xdr:to>
      <xdr:col>18</xdr:col>
      <xdr:colOff>870585</xdr:colOff>
      <xdr:row>4</xdr:row>
      <xdr:rowOff>25400</xdr:rowOff>
    </xdr:to>
    <xdr:sp macro="[0]!Final_Data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7833360" y="2825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DATA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5</xdr:row>
      <xdr:rowOff>25400</xdr:rowOff>
    </xdr:from>
    <xdr:to>
      <xdr:col>18</xdr:col>
      <xdr:colOff>870585</xdr:colOff>
      <xdr:row>8</xdr:row>
      <xdr:rowOff>25400</xdr:rowOff>
    </xdr:to>
    <xdr:sp macro="[0]!HYDROS" textlink="">
      <xdr:nvSpPr>
        <xdr:cNvPr id="18" name="矩形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7833360" y="79692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HYDROS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9</xdr:row>
      <xdr:rowOff>25400</xdr:rowOff>
    </xdr:from>
    <xdr:to>
      <xdr:col>18</xdr:col>
      <xdr:colOff>870585</xdr:colOff>
      <xdr:row>12</xdr:row>
      <xdr:rowOff>25400</xdr:rowOff>
    </xdr:to>
    <xdr:sp macro="[0]!_xludf.TRIM" textlink="">
      <xdr:nvSpPr>
        <xdr:cNvPr id="19" name="矩形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7833360" y="1311275"/>
          <a:ext cx="885825" cy="4476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TRIM</a:t>
          </a:r>
          <a:endParaRPr lang="zh-CN" altLang="en-US" sz="120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17</xdr:col>
      <xdr:colOff>232410</xdr:colOff>
      <xdr:row>13</xdr:row>
      <xdr:rowOff>25400</xdr:rowOff>
    </xdr:from>
    <xdr:to>
      <xdr:col>18</xdr:col>
      <xdr:colOff>870585</xdr:colOff>
      <xdr:row>16</xdr:row>
      <xdr:rowOff>44450</xdr:rowOff>
    </xdr:to>
    <xdr:sp macro="[0]!SOUNDING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833360" y="182562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SOUNDING</a:t>
          </a:r>
        </a:p>
        <a:p>
          <a:pPr algn="ctr"/>
          <a:r>
            <a:rPr lang="en-US" altLang="zh-CN" sz="1200"/>
            <a:t>TABLE</a:t>
          </a:r>
          <a:endParaRPr lang="zh-CN" altLang="en-US" sz="1200"/>
        </a:p>
      </xdr:txBody>
    </xdr:sp>
    <xdr:clientData/>
  </xdr:twoCellAnchor>
  <xdr:twoCellAnchor>
    <xdr:from>
      <xdr:col>14</xdr:col>
      <xdr:colOff>165735</xdr:colOff>
      <xdr:row>28</xdr:row>
      <xdr:rowOff>25400</xdr:rowOff>
    </xdr:from>
    <xdr:to>
      <xdr:col>15</xdr:col>
      <xdr:colOff>1175385</xdr:colOff>
      <xdr:row>29</xdr:row>
      <xdr:rowOff>25400</xdr:rowOff>
    </xdr:to>
    <xdr:sp macro="[0]!AdjustBW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6099810" y="4749800"/>
          <a:ext cx="1190625" cy="25717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200"/>
            <a:t>Adjust B.W</a:t>
          </a:r>
          <a:endParaRPr lang="zh-CN" altLang="en-US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7</xdr:row>
          <xdr:rowOff>9525</xdr:rowOff>
        </xdr:from>
        <xdr:to>
          <xdr:col>8</xdr:col>
          <xdr:colOff>57150</xdr:colOff>
          <xdr:row>8</xdr:row>
          <xdr:rowOff>9525</xdr:rowOff>
        </xdr:to>
        <xdr:sp macro="" textlink="">
          <xdr:nvSpPr>
            <xdr:cNvPr id="29697" name="Label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</xdr:row>
          <xdr:rowOff>9525</xdr:rowOff>
        </xdr:from>
        <xdr:to>
          <xdr:col>8</xdr:col>
          <xdr:colOff>57150</xdr:colOff>
          <xdr:row>12</xdr:row>
          <xdr:rowOff>9525</xdr:rowOff>
        </xdr:to>
        <xdr:sp macro="" textlink="">
          <xdr:nvSpPr>
            <xdr:cNvPr id="29698" name="Label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15</xdr:row>
          <xdr:rowOff>0</xdr:rowOff>
        </xdr:from>
        <xdr:to>
          <xdr:col>8</xdr:col>
          <xdr:colOff>57150</xdr:colOff>
          <xdr:row>15</xdr:row>
          <xdr:rowOff>180975</xdr:rowOff>
        </xdr:to>
        <xdr:sp macro="" textlink="">
          <xdr:nvSpPr>
            <xdr:cNvPr id="29699" name="Label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3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232410</xdr:colOff>
      <xdr:row>17</xdr:row>
      <xdr:rowOff>38100</xdr:rowOff>
    </xdr:from>
    <xdr:to>
      <xdr:col>18</xdr:col>
      <xdr:colOff>870585</xdr:colOff>
      <xdr:row>19</xdr:row>
      <xdr:rowOff>247650</xdr:rowOff>
    </xdr:to>
    <xdr:sp macro="[0]!Sheet4.Constant_calculatio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33360" y="2352675"/>
          <a:ext cx="885825" cy="466725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200"/>
            <a:t>Constant Calculation</a:t>
          </a:r>
          <a:endParaRPr lang="zh-CN" altLang="en-US" sz="1200"/>
        </a:p>
      </xdr:txBody>
    </xdr:sp>
    <xdr:clientData/>
  </xdr:twoCellAnchor>
  <xdr:twoCellAnchor editAs="oneCell">
    <xdr:from>
      <xdr:col>20</xdr:col>
      <xdr:colOff>0</xdr:colOff>
      <xdr:row>26</xdr:row>
      <xdr:rowOff>0</xdr:rowOff>
    </xdr:from>
    <xdr:to>
      <xdr:col>21</xdr:col>
      <xdr:colOff>167640</xdr:colOff>
      <xdr:row>29</xdr:row>
      <xdr:rowOff>83820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29750" y="4210050"/>
          <a:ext cx="862965" cy="85534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673100</xdr:colOff>
      <xdr:row>0</xdr:row>
      <xdr:rowOff>31750</xdr:rowOff>
    </xdr:from>
    <xdr:to>
      <xdr:col>9</xdr:col>
      <xdr:colOff>673100</xdr:colOff>
      <xdr:row>1</xdr:row>
      <xdr:rowOff>31750</xdr:rowOff>
    </xdr:to>
    <xdr:sp macro="[0]!DataBackTo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244975" y="31750"/>
          <a:ext cx="685800" cy="2857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</a:t>
          </a:r>
          <a:endParaRPr lang="zh-CN" altLang="en-US" sz="120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244475</xdr:colOff>
      <xdr:row>0</xdr:row>
      <xdr:rowOff>31750</xdr:rowOff>
    </xdr:from>
    <xdr:to>
      <xdr:col>7</xdr:col>
      <xdr:colOff>673100</xdr:colOff>
      <xdr:row>1</xdr:row>
      <xdr:rowOff>31750</xdr:rowOff>
    </xdr:to>
    <xdr:sp macro="[0]!DataBackTo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35500" y="31750"/>
          <a:ext cx="685800" cy="30480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</a:t>
          </a:r>
          <a:endParaRPr lang="zh-CN" altLang="en-US" sz="120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673100</xdr:colOff>
      <xdr:row>0</xdr:row>
      <xdr:rowOff>31750</xdr:rowOff>
    </xdr:from>
    <xdr:to>
      <xdr:col>25</xdr:col>
      <xdr:colOff>673100</xdr:colOff>
      <xdr:row>2</xdr:row>
      <xdr:rowOff>31750</xdr:rowOff>
    </xdr:to>
    <xdr:sp macro="[0]!DataBackTo" textlink="">
      <xdr:nvSpPr>
        <xdr:cNvPr id="4" name="矩形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1722100" y="31750"/>
          <a:ext cx="685800" cy="3619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10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</a:t>
          </a:r>
          <a:endParaRPr lang="zh-CN" altLang="en-US" sz="105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24</xdr:col>
      <xdr:colOff>673100</xdr:colOff>
      <xdr:row>3</xdr:row>
      <xdr:rowOff>31750</xdr:rowOff>
    </xdr:from>
    <xdr:to>
      <xdr:col>25</xdr:col>
      <xdr:colOff>673100</xdr:colOff>
      <xdr:row>5</xdr:row>
      <xdr:rowOff>31750</xdr:rowOff>
    </xdr:to>
    <xdr:sp macro="[0]!TrimData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1722100" y="574675"/>
          <a:ext cx="685800" cy="36195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TRIM</a:t>
          </a:r>
          <a:r>
            <a:rPr lang="en-US" altLang="zh-CN" sz="8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</a:t>
          </a:r>
          <a:endParaRPr lang="zh-CN" altLang="en-US" sz="900">
            <a:solidFill>
              <a:schemeClr val="bg1"/>
            </a:solidFill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676275</xdr:colOff>
          <xdr:row>1</xdr:row>
          <xdr:rowOff>28575</xdr:rowOff>
        </xdr:from>
        <xdr:to>
          <xdr:col>20</xdr:col>
          <xdr:colOff>676275</xdr:colOff>
          <xdr:row>3</xdr:row>
          <xdr:rowOff>28575</xdr:rowOff>
        </xdr:to>
        <xdr:sp macro="" textlink="">
          <xdr:nvSpPr>
            <xdr:cNvPr id="24577" name="Label2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673100</xdr:colOff>
      <xdr:row>5</xdr:row>
      <xdr:rowOff>31750</xdr:rowOff>
    </xdr:from>
    <xdr:to>
      <xdr:col>7</xdr:col>
      <xdr:colOff>720725</xdr:colOff>
      <xdr:row>6</xdr:row>
      <xdr:rowOff>31750</xdr:rowOff>
    </xdr:to>
    <xdr:sp macro="[0]!DataBackTo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759575" y="1174750"/>
          <a:ext cx="733425" cy="22860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5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</a:t>
          </a:r>
          <a:endParaRPr lang="zh-CN" altLang="en-US" sz="105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673100</xdr:colOff>
      <xdr:row>7</xdr:row>
      <xdr:rowOff>31750</xdr:rowOff>
    </xdr:from>
    <xdr:to>
      <xdr:col>7</xdr:col>
      <xdr:colOff>720725</xdr:colOff>
      <xdr:row>8</xdr:row>
      <xdr:rowOff>31750</xdr:rowOff>
    </xdr:to>
    <xdr:sp macro="[0]!TRANSFER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6759575" y="1631950"/>
          <a:ext cx="733425" cy="22860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5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TRANSFER</a:t>
          </a:r>
          <a:endParaRPr lang="zh-CN" altLang="en-US" sz="1050">
            <a:latin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292" name="ScrollBar1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8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9</xdr:col>
      <xdr:colOff>63500</xdr:colOff>
      <xdr:row>0</xdr:row>
      <xdr:rowOff>6350</xdr:rowOff>
    </xdr:from>
    <xdr:to>
      <xdr:col>10</xdr:col>
      <xdr:colOff>63500</xdr:colOff>
      <xdr:row>3</xdr:row>
      <xdr:rowOff>6350</xdr:rowOff>
    </xdr:to>
    <xdr:sp macro="[0]!ballast_tank_rename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8302625" y="6350"/>
          <a:ext cx="1095375" cy="685800"/>
        </a:xfrm>
        <a:prstGeom prst="rect">
          <a:avLst/>
        </a:prstGeom>
        <a:ln w="3175">
          <a:solidFill>
            <a:schemeClr val="tx1"/>
          </a:soli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05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Ballast</a:t>
          </a:r>
          <a:r>
            <a:rPr lang="en-US" altLang="zh-CN" sz="105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altLang="zh-CN" sz="105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Tank</a:t>
          </a:r>
        </a:p>
        <a:p>
          <a:pPr algn="ctr"/>
          <a:r>
            <a:rPr lang="en-US" altLang="zh-CN" sz="105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Setting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152400</xdr:rowOff>
    </xdr:from>
    <xdr:to>
      <xdr:col>8</xdr:col>
      <xdr:colOff>476250</xdr:colOff>
      <xdr:row>2</xdr:row>
      <xdr:rowOff>19050</xdr:rowOff>
    </xdr:to>
    <xdr:sp macro="[0]!DataBackTo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743700" y="152400"/>
          <a:ext cx="476250" cy="295275"/>
        </a:xfrm>
        <a:prstGeom prst="rect">
          <a:avLst/>
        </a:prstGeom>
        <a:solidFill>
          <a:schemeClr val="accent1"/>
        </a:solidFill>
        <a:ln w="6350"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zh-CN" sz="1600" b="1">
              <a:latin typeface="Verdana" pitchFamily="34" charset="0"/>
              <a:ea typeface="Verdana" pitchFamily="34" charset="0"/>
            </a:rPr>
            <a:t>&lt;</a:t>
          </a:r>
          <a:endParaRPr lang="zh-CN" altLang="en-US" sz="1100" b="1">
            <a:latin typeface="Verdana" pitchFamily="34" charset="0"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Relationship Id="rId9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8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34998626667073579"/>
  </sheetPr>
  <dimension ref="B1:V33"/>
  <sheetViews>
    <sheetView showGridLines="0" showRowColHeaders="0" tabSelected="1" zoomScale="125" zoomScaleNormal="125" workbookViewId="0">
      <selection activeCell="P12" sqref="P12:P13"/>
    </sheetView>
  </sheetViews>
  <sheetFormatPr defaultColWidth="9" defaultRowHeight="15" customHeight="1" x14ac:dyDescent="0.15"/>
  <cols>
    <col min="1" max="1" width="3.25" style="65" customWidth="1"/>
    <col min="2" max="3" width="3.375" style="65" customWidth="1"/>
    <col min="4" max="4" width="9" style="65" customWidth="1"/>
    <col min="5" max="5" width="1.625" style="65" customWidth="1"/>
    <col min="6" max="6" width="9" style="65" customWidth="1"/>
    <col min="7" max="7" width="1.625" style="65" customWidth="1"/>
    <col min="8" max="8" width="9" style="65" customWidth="1"/>
    <col min="9" max="9" width="1.625" style="65" customWidth="1"/>
    <col min="10" max="10" width="9" style="65" customWidth="1"/>
    <col min="11" max="12" width="3.375" style="65" customWidth="1"/>
    <col min="13" max="13" width="3.125" style="65" customWidth="1"/>
    <col min="14" max="14" width="17.125" style="65" customWidth="1"/>
    <col min="15" max="15" width="2.375" style="65" customWidth="1"/>
    <col min="16" max="16" width="15.625" style="65" customWidth="1"/>
    <col min="17" max="17" width="3.875" style="65" customWidth="1"/>
    <col min="18" max="18" width="3.25" style="65" customWidth="1"/>
    <col min="19" max="19" width="11.625" style="65" customWidth="1"/>
    <col min="20" max="22" width="9.125" style="65" bestFit="1" customWidth="1"/>
    <col min="23" max="16384" width="9" style="65"/>
  </cols>
  <sheetData>
    <row r="1" spans="2:17" ht="20.65" customHeight="1" x14ac:dyDescent="0.15"/>
    <row r="2" spans="2:17" ht="15.4" customHeight="1" x14ac:dyDescent="0.15">
      <c r="B2" s="66"/>
      <c r="C2" s="67"/>
      <c r="D2" s="67"/>
      <c r="E2" s="155" t="s">
        <v>0</v>
      </c>
      <c r="F2" s="155"/>
      <c r="G2" s="155"/>
      <c r="H2" s="155"/>
      <c r="I2" s="67"/>
      <c r="J2" s="67"/>
      <c r="K2" s="67"/>
      <c r="L2" s="68"/>
      <c r="M2" s="66"/>
      <c r="N2" s="67"/>
      <c r="O2" s="67"/>
      <c r="P2" s="67"/>
      <c r="Q2" s="68"/>
    </row>
    <row r="3" spans="2:17" ht="5.45" customHeight="1" x14ac:dyDescent="0.15">
      <c r="B3" s="69"/>
      <c r="E3" s="156"/>
      <c r="F3" s="156"/>
      <c r="G3" s="156"/>
      <c r="H3" s="156"/>
      <c r="L3" s="70"/>
      <c r="M3" s="69"/>
      <c r="Q3" s="70"/>
    </row>
    <row r="4" spans="2:17" ht="15.4" customHeight="1" x14ac:dyDescent="0.15">
      <c r="B4" s="71"/>
      <c r="E4" s="156"/>
      <c r="F4" s="156"/>
      <c r="G4" s="156"/>
      <c r="H4" s="156"/>
      <c r="L4" s="70"/>
      <c r="M4" s="69"/>
      <c r="Q4" s="70"/>
    </row>
    <row r="5" spans="2:17" ht="5.45" customHeight="1" x14ac:dyDescent="0.15">
      <c r="B5" s="69"/>
      <c r="L5" s="70"/>
      <c r="M5" s="69"/>
      <c r="Q5" s="70"/>
    </row>
    <row r="6" spans="2:17" ht="15.4" customHeight="1" x14ac:dyDescent="0.15">
      <c r="B6" s="69"/>
      <c r="L6" s="70"/>
      <c r="M6" s="69"/>
      <c r="N6" s="181" t="s">
        <v>1</v>
      </c>
      <c r="P6" s="157">
        <v>460</v>
      </c>
      <c r="Q6" s="70"/>
    </row>
    <row r="7" spans="2:17" ht="5.45" customHeight="1" x14ac:dyDescent="0.15">
      <c r="B7" s="69"/>
      <c r="L7" s="70"/>
      <c r="M7" s="69"/>
      <c r="N7" s="181"/>
      <c r="P7" s="158"/>
      <c r="Q7" s="70"/>
    </row>
    <row r="8" spans="2:17" ht="15.4" customHeight="1" x14ac:dyDescent="0.15">
      <c r="B8" s="69"/>
      <c r="C8" s="159">
        <v>9.6</v>
      </c>
      <c r="D8" s="159"/>
      <c r="H8" s="182">
        <f>DATA!B6</f>
        <v>11.88</v>
      </c>
      <c r="J8" s="164">
        <v>9.9</v>
      </c>
      <c r="K8" s="165"/>
      <c r="L8" s="70"/>
      <c r="M8" s="69"/>
      <c r="N8" s="181" t="s">
        <v>2</v>
      </c>
      <c r="P8" s="157">
        <v>114</v>
      </c>
      <c r="Q8" s="70"/>
    </row>
    <row r="9" spans="2:17" ht="5.45" customHeight="1" x14ac:dyDescent="0.15">
      <c r="B9" s="69"/>
      <c r="C9" s="159"/>
      <c r="D9" s="159"/>
      <c r="H9" s="182"/>
      <c r="J9" s="166"/>
      <c r="K9" s="167"/>
      <c r="L9" s="70"/>
      <c r="M9" s="69"/>
      <c r="N9" s="181"/>
      <c r="P9" s="158"/>
      <c r="Q9" s="70"/>
    </row>
    <row r="10" spans="2:17" ht="15.4" customHeight="1" x14ac:dyDescent="0.15">
      <c r="B10" s="69"/>
      <c r="H10" s="145"/>
      <c r="L10" s="70"/>
      <c r="M10" s="69"/>
      <c r="N10" s="181" t="s">
        <v>3</v>
      </c>
      <c r="P10" s="157">
        <v>295</v>
      </c>
      <c r="Q10" s="70"/>
    </row>
    <row r="11" spans="2:17" ht="5.45" customHeight="1" x14ac:dyDescent="0.15">
      <c r="B11" s="69"/>
      <c r="H11" s="145"/>
      <c r="L11" s="70"/>
      <c r="M11" s="69"/>
      <c r="N11" s="181"/>
      <c r="P11" s="158"/>
      <c r="Q11" s="70"/>
    </row>
    <row r="12" spans="2:17" ht="15.4" customHeight="1" x14ac:dyDescent="0.15">
      <c r="B12" s="69"/>
      <c r="C12" s="159">
        <v>10.48</v>
      </c>
      <c r="D12" s="159"/>
      <c r="H12" s="182">
        <f>DATA!B7</f>
        <v>1.2</v>
      </c>
      <c r="J12" s="159">
        <v>10.78</v>
      </c>
      <c r="K12" s="159"/>
      <c r="L12" s="70"/>
      <c r="M12" s="69"/>
      <c r="N12" s="181" t="s">
        <v>4</v>
      </c>
      <c r="P12" s="157">
        <v>6000</v>
      </c>
      <c r="Q12" s="70"/>
    </row>
    <row r="13" spans="2:17" ht="5.45" customHeight="1" x14ac:dyDescent="0.15">
      <c r="B13" s="69"/>
      <c r="C13" s="159"/>
      <c r="D13" s="159"/>
      <c r="H13" s="182"/>
      <c r="J13" s="159"/>
      <c r="K13" s="159"/>
      <c r="L13" s="70"/>
      <c r="M13" s="69"/>
      <c r="N13" s="181"/>
      <c r="P13" s="158"/>
      <c r="Q13" s="70"/>
    </row>
    <row r="14" spans="2:17" ht="15.4" customHeight="1" x14ac:dyDescent="0.15">
      <c r="B14" s="69"/>
      <c r="H14" s="145"/>
      <c r="L14" s="70"/>
      <c r="M14" s="69"/>
      <c r="N14" s="181" t="s">
        <v>5</v>
      </c>
      <c r="P14" s="157"/>
      <c r="Q14" s="70"/>
    </row>
    <row r="15" spans="2:17" ht="5.45" customHeight="1" x14ac:dyDescent="0.15">
      <c r="B15" s="69"/>
      <c r="H15" s="145"/>
      <c r="L15" s="70"/>
      <c r="M15" s="69"/>
      <c r="N15" s="181"/>
      <c r="P15" s="158"/>
      <c r="Q15" s="70"/>
    </row>
    <row r="16" spans="2:17" ht="15.4" customHeight="1" x14ac:dyDescent="0.15">
      <c r="B16" s="69"/>
      <c r="C16" s="159">
        <v>11.2</v>
      </c>
      <c r="D16" s="159"/>
      <c r="H16" s="182">
        <f>DATA!B8</f>
        <v>12.76</v>
      </c>
      <c r="J16" s="159">
        <v>11.42</v>
      </c>
      <c r="K16" s="159"/>
      <c r="L16" s="70"/>
      <c r="M16" s="177"/>
      <c r="N16" s="161" t="s">
        <v>6</v>
      </c>
      <c r="O16" s="163"/>
      <c r="P16" s="160">
        <v>600</v>
      </c>
      <c r="Q16" s="175"/>
    </row>
    <row r="17" spans="2:22" ht="5.45" customHeight="1" x14ac:dyDescent="0.15">
      <c r="B17" s="69"/>
      <c r="C17" s="159"/>
      <c r="D17" s="159"/>
      <c r="H17" s="183"/>
      <c r="J17" s="159"/>
      <c r="K17" s="159"/>
      <c r="L17" s="70"/>
      <c r="M17" s="178"/>
      <c r="N17" s="162"/>
      <c r="O17" s="163"/>
      <c r="P17" s="160"/>
      <c r="Q17" s="176"/>
    </row>
    <row r="18" spans="2:22" ht="15.4" customHeight="1" x14ac:dyDescent="0.15">
      <c r="B18" s="69"/>
      <c r="H18" s="184"/>
      <c r="L18" s="70"/>
      <c r="M18" s="69"/>
      <c r="N18" s="180" t="s">
        <v>7</v>
      </c>
      <c r="P18" s="169">
        <f>(C8+J8)/2-B24*DATA!B6/(DATA!B5-DATA!B6-DATA!B8)-DATA!B4</f>
        <v>9.6357327491785316</v>
      </c>
      <c r="Q18" s="70"/>
    </row>
    <row r="19" spans="2:22" ht="5.45" customHeight="1" x14ac:dyDescent="0.15">
      <c r="B19" s="69"/>
      <c r="H19" s="184"/>
      <c r="L19" s="70"/>
      <c r="M19" s="69"/>
      <c r="N19" s="181"/>
      <c r="P19" s="170"/>
      <c r="Q19" s="70"/>
    </row>
    <row r="20" spans="2:22" ht="20.65" customHeight="1" x14ac:dyDescent="0.15">
      <c r="B20" s="69"/>
      <c r="L20" s="70"/>
      <c r="M20" s="69"/>
      <c r="N20" s="65" t="s">
        <v>8</v>
      </c>
      <c r="P20" s="72">
        <f>(C12+J12)/2-B24*DATA!B7/(DATA!B5-DATA!B6-DATA!B8)-DATA!B4</f>
        <v>10.598680075674597</v>
      </c>
      <c r="Q20" s="70"/>
    </row>
    <row r="21" spans="2:22" ht="20.65" customHeight="1" x14ac:dyDescent="0.15">
      <c r="B21" s="69"/>
      <c r="F21" s="159">
        <v>1.0209999999999999</v>
      </c>
      <c r="G21" s="159"/>
      <c r="H21" s="159"/>
      <c r="L21" s="70"/>
      <c r="M21" s="69"/>
      <c r="N21" s="65" t="s">
        <v>9</v>
      </c>
      <c r="P21" s="72">
        <f>(C16+J16)/2+B24*DATA!B8/(DATA!B5-DATA!B6-DATA!B8)-DATA!B4</f>
        <v>11.387101861993427</v>
      </c>
      <c r="Q21" s="70"/>
    </row>
    <row r="22" spans="2:22" ht="20.65" customHeight="1" x14ac:dyDescent="0.15">
      <c r="B22" s="69"/>
      <c r="E22" s="168">
        <f>ABS(DEGREES(SIN((C12-J12)/DATA!B3)))</f>
        <v>0.53281110071691795</v>
      </c>
      <c r="F22" s="168"/>
      <c r="G22" s="161" t="str">
        <f>IF(DEGREES(SIN((C12-J12)/DATA!B3))&lt;0,"deg list to starboad",IF(DEGREES(SIN((C12-J12)/DATA!B3))&gt;0,"deg list to port",""))</f>
        <v>deg list to starboad</v>
      </c>
      <c r="H22" s="161"/>
      <c r="I22" s="161"/>
      <c r="J22" s="161"/>
      <c r="K22" s="161"/>
      <c r="L22" s="70"/>
      <c r="M22" s="69"/>
      <c r="N22" s="65" t="s">
        <v>10</v>
      </c>
      <c r="P22" s="72">
        <f>(P18+6*P20+P21)/8</f>
        <v>10.576864383152444</v>
      </c>
      <c r="Q22" s="70"/>
      <c r="S22" s="73" t="s">
        <v>11</v>
      </c>
      <c r="T22" s="73" t="s">
        <v>12</v>
      </c>
      <c r="U22" s="73" t="s">
        <v>13</v>
      </c>
      <c r="V22" s="73" t="s">
        <v>14</v>
      </c>
    </row>
    <row r="23" spans="2:22" ht="20.65" customHeight="1" x14ac:dyDescent="0.15">
      <c r="B23" s="69"/>
      <c r="D23" s="74"/>
      <c r="E23" s="168">
        <f>ABS(P21-P18)</f>
        <v>1.7513691128148956</v>
      </c>
      <c r="F23" s="168"/>
      <c r="G23" s="161" t="str">
        <f>IF((P21-P18)&gt;0,"m by the stern",IF((P21-P18)=0,"m even keel","m by the head"))</f>
        <v>m by the stern</v>
      </c>
      <c r="H23" s="161"/>
      <c r="I23" s="161"/>
      <c r="J23" s="161"/>
      <c r="L23" s="70"/>
      <c r="M23" s="69"/>
      <c r="N23" s="65" t="s">
        <v>15</v>
      </c>
      <c r="P23" s="72">
        <f ca="1">TREND(OFFSET(HYDROS!A1,MATCH(P22,HYDROS!A2:A500),1,2),OFFSET(HYDROS!A1,MATCH(P22,HYDROS!A2:A500),,2),P22)</f>
        <v>67209.378986159514</v>
      </c>
      <c r="Q23" s="70"/>
      <c r="S23" s="73">
        <f ca="1">TREND(OFFSET(HYDROS!A1,MATCH(P22,HYDROS!A2:A500),1,2),OFFSET(HYDROS!A1,MATCH(P22,HYDROS!A2:A500),,2),P22)</f>
        <v>67209.378986159514</v>
      </c>
      <c r="T23" s="73">
        <f ca="1">TREND(OFFSET(HYDROS!A1,MATCH(P22,HYDROS!A2:A500),5,2),OFFSET(HYDROS!A1,MATCH(P22,HYDROS!A2:A500),,2),P22)</f>
        <v>109.4317474798367</v>
      </c>
      <c r="U23" s="73">
        <f ca="1">TREND(OFFSET(HYDROS!A1,MATCH(P22,HYDROS!A2:A500),2,2),OFFSET(HYDROS!A1,MATCH(P22,HYDROS!A2:A500),,2),P22)</f>
        <v>70.400000000000006</v>
      </c>
      <c r="V23" s="73">
        <f>LOOKUP(,0/FREQUENCY(0,((P22+0.5)-HYDROS!A2:A500)^2),HYDROS!D2:D500)-LOOKUP(,0/FREQUENCY(0,((P22-0.5)-HYDROS!A2:A500)^2),HYDROS!D2:D500)</f>
        <v>40.5</v>
      </c>
    </row>
    <row r="24" spans="2:22" ht="20.65" customHeight="1" x14ac:dyDescent="0.15">
      <c r="B24" s="75">
        <f>((C16+J16)-(C8+J8))/2</f>
        <v>1.5599999999999987</v>
      </c>
      <c r="E24" s="171">
        <f>ABS(((P18+P21)/2-P20)*100)</f>
        <v>8.7262770088617714</v>
      </c>
      <c r="F24" s="171"/>
      <c r="G24" s="162" t="str">
        <f>IF(((P18+P21)/2-P20)&gt;0,"cms HOG","cms SAG")</f>
        <v>cms SAG</v>
      </c>
      <c r="H24" s="162"/>
      <c r="I24" s="162"/>
      <c r="L24" s="70"/>
      <c r="M24" s="69"/>
      <c r="N24" s="65" t="s">
        <v>16</v>
      </c>
      <c r="P24" s="72">
        <f ca="1">(DATA!B5/2-T23)*(P21-P18)*U23*100/(DATA!B5)</f>
        <v>181.43172596555516</v>
      </c>
      <c r="Q24" s="70"/>
      <c r="U24" s="76"/>
    </row>
    <row r="25" spans="2:22" ht="8.4499999999999993" customHeight="1" x14ac:dyDescent="0.15"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8"/>
      <c r="M25" s="69"/>
      <c r="N25" s="161" t="s">
        <v>17</v>
      </c>
      <c r="P25" s="170">
        <f>50*(P21-P18)*(P21-P18)*V23/(DATA!B5)</f>
        <v>27.544434070408517</v>
      </c>
      <c r="Q25" s="70"/>
    </row>
    <row r="26" spans="2:22" ht="19.7" customHeight="1" x14ac:dyDescent="0.15">
      <c r="B26" s="69"/>
      <c r="L26" s="70"/>
      <c r="M26" s="69"/>
      <c r="N26" s="161"/>
      <c r="P26" s="170"/>
      <c r="Q26" s="70"/>
    </row>
    <row r="27" spans="2:22" ht="20.65" customHeight="1" x14ac:dyDescent="0.15">
      <c r="B27" s="77"/>
      <c r="C27" s="78"/>
      <c r="D27" s="78"/>
      <c r="E27" s="78"/>
      <c r="F27" s="78"/>
      <c r="G27" s="78"/>
      <c r="H27" s="78"/>
      <c r="I27" s="78"/>
      <c r="J27" s="78"/>
      <c r="K27" s="78"/>
      <c r="L27" s="79"/>
      <c r="M27" s="77"/>
      <c r="N27" s="78" t="s">
        <v>18</v>
      </c>
      <c r="O27" s="78"/>
      <c r="P27" s="80">
        <f ca="1">F21*(P23+P24+P25)/1.025</f>
        <v>67155.259126112753</v>
      </c>
      <c r="Q27" s="79"/>
    </row>
    <row r="28" spans="2:22" ht="20.65" customHeight="1" x14ac:dyDescent="0.15"/>
    <row r="29" spans="2:22" ht="20.65" customHeight="1" thickBot="1" x14ac:dyDescent="0.2">
      <c r="H29" s="65" t="s">
        <v>19</v>
      </c>
      <c r="K29" s="173">
        <f ca="1">P27-SUM(P6:P17)-DATA!B2</f>
        <v>45991.059126112756</v>
      </c>
      <c r="L29" s="174"/>
      <c r="M29" s="174"/>
      <c r="N29" s="174"/>
    </row>
    <row r="30" spans="2:22" ht="20.65" customHeight="1" thickBot="1" x14ac:dyDescent="0.2"/>
    <row r="31" spans="2:22" ht="20.65" customHeight="1" thickTop="1" thickBot="1" x14ac:dyDescent="0.2">
      <c r="B31" s="81"/>
      <c r="C31" s="154" t="s">
        <v>20</v>
      </c>
      <c r="D31" s="154"/>
      <c r="E31" s="154"/>
      <c r="F31" s="154"/>
      <c r="G31" s="154"/>
      <c r="H31" s="172">
        <v>70417</v>
      </c>
      <c r="I31" s="172"/>
      <c r="J31" s="172"/>
      <c r="K31" s="172"/>
      <c r="L31" s="82"/>
      <c r="M31" s="83"/>
      <c r="N31" s="84" t="s">
        <v>21</v>
      </c>
      <c r="O31" s="179">
        <f ca="1">K29-H31</f>
        <v>-24425.940873887244</v>
      </c>
      <c r="P31" s="179"/>
      <c r="Q31" s="85"/>
      <c r="T31" s="91" t="s">
        <v>22</v>
      </c>
      <c r="U31" s="90" t="s">
        <v>23</v>
      </c>
    </row>
    <row r="32" spans="2:22" ht="20.65" customHeight="1" thickBot="1" x14ac:dyDescent="0.2">
      <c r="B32" s="86"/>
      <c r="C32" s="87"/>
      <c r="D32" s="87"/>
      <c r="E32" s="87"/>
      <c r="F32" s="87"/>
      <c r="G32" s="87"/>
      <c r="H32" s="87"/>
      <c r="I32" s="87"/>
      <c r="J32" s="87"/>
      <c r="K32" s="87"/>
      <c r="L32" s="88"/>
      <c r="M32" s="87"/>
      <c r="N32" s="87"/>
      <c r="O32" s="87"/>
      <c r="P32" s="87"/>
      <c r="Q32" s="89"/>
      <c r="U32" s="90" t="s">
        <v>24</v>
      </c>
    </row>
    <row r="33" ht="15" customHeight="1" thickTop="1" x14ac:dyDescent="0.15"/>
  </sheetData>
  <sheetProtection algorithmName="SHA-512" hashValue="/Xjnr3oDDKHr96sxdVK7o6Jkd2BOn5TUulv1bgQwWkJKtvx2jbRxpX6oJTPJsstHFHB/qftKlKdP8ksUQ5pdKA==" saltValue="tmwDZjZaebDTosLLuHxFXQ==" spinCount="100000" sheet="1" objects="1" scenarios="1" selectLockedCells="1"/>
  <mergeCells count="41">
    <mergeCell ref="N6:N7"/>
    <mergeCell ref="N8:N9"/>
    <mergeCell ref="N10:N11"/>
    <mergeCell ref="N12:N13"/>
    <mergeCell ref="N14:N15"/>
    <mergeCell ref="H31:K31"/>
    <mergeCell ref="P8:P9"/>
    <mergeCell ref="K29:N29"/>
    <mergeCell ref="Q16:Q17"/>
    <mergeCell ref="M16:M17"/>
    <mergeCell ref="O31:P31"/>
    <mergeCell ref="N18:N19"/>
    <mergeCell ref="H8:H9"/>
    <mergeCell ref="H12:H13"/>
    <mergeCell ref="H16:H17"/>
    <mergeCell ref="H18:H19"/>
    <mergeCell ref="E22:F22"/>
    <mergeCell ref="P18:P19"/>
    <mergeCell ref="P25:P26"/>
    <mergeCell ref="N25:N26"/>
    <mergeCell ref="G23:J23"/>
    <mergeCell ref="G24:I24"/>
    <mergeCell ref="F21:H21"/>
    <mergeCell ref="E24:F24"/>
    <mergeCell ref="G22:K22"/>
    <mergeCell ref="C31:G31"/>
    <mergeCell ref="E2:H4"/>
    <mergeCell ref="P6:P7"/>
    <mergeCell ref="C12:D13"/>
    <mergeCell ref="J12:K13"/>
    <mergeCell ref="C16:D17"/>
    <mergeCell ref="J16:K17"/>
    <mergeCell ref="P10:P11"/>
    <mergeCell ref="P12:P13"/>
    <mergeCell ref="P14:P15"/>
    <mergeCell ref="P16:P17"/>
    <mergeCell ref="N16:N17"/>
    <mergeCell ref="O16:O17"/>
    <mergeCell ref="C8:D9"/>
    <mergeCell ref="J8:K9"/>
    <mergeCell ref="E23:F23"/>
  </mergeCells>
  <phoneticPr fontId="1" type="noConversion"/>
  <conditionalFormatting sqref="P6:P17">
    <cfRule type="containsBlanks" dxfId="15" priority="9">
      <formula>LEN(TRIM(P6))=0</formula>
    </cfRule>
  </conditionalFormatting>
  <conditionalFormatting sqref="E22:F22">
    <cfRule type="cellIs" dxfId="14" priority="3" operator="equal">
      <formula>0</formula>
    </cfRule>
  </conditionalFormatting>
  <conditionalFormatting sqref="H31:K31">
    <cfRule type="containsBlanks" dxfId="13" priority="8">
      <formula>LEN(TRIM(H31))=0</formula>
    </cfRule>
  </conditionalFormatting>
  <conditionalFormatting sqref="C8:D9 C12:D13 C16:D17 F21:H21 J16:K17 J12:K13 J8:K9">
    <cfRule type="containsBlanks" dxfId="12" priority="1">
      <formula>LEN(TRIM(C8))=0</formula>
    </cfRule>
  </conditionalFormatting>
  <pageMargins left="0.7" right="0.7" top="0.75" bottom="0.75" header="0.3" footer="0.3"/>
  <pageSetup paperSize="9" orientation="landscape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6627" r:id="rId4" name="Label3">
          <controlPr defaultSize="0" autoLine="0" r:id="rId5">
            <anchor moveWithCells="1">
              <from>
                <xdr:col>7</xdr:col>
                <xdr:colOff>342900</xdr:colOff>
                <xdr:row>15</xdr:row>
                <xdr:rowOff>0</xdr:rowOff>
              </from>
              <to>
                <xdr:col>8</xdr:col>
                <xdr:colOff>57150</xdr:colOff>
                <xdr:row>15</xdr:row>
                <xdr:rowOff>180975</xdr:rowOff>
              </to>
            </anchor>
          </controlPr>
        </control>
      </mc:Choice>
      <mc:Fallback>
        <control shapeId="26627" r:id="rId4" name="Label3"/>
      </mc:Fallback>
    </mc:AlternateContent>
    <mc:AlternateContent xmlns:mc="http://schemas.openxmlformats.org/markup-compatibility/2006">
      <mc:Choice Requires="x14">
        <control shapeId="26626" r:id="rId6" name="Label2">
          <controlPr defaultSize="0" autoLine="0" r:id="rId7">
            <anchor moveWithCells="1">
              <from>
                <xdr:col>7</xdr:col>
                <xdr:colOff>342900</xdr:colOff>
                <xdr:row>11</xdr:row>
                <xdr:rowOff>9525</xdr:rowOff>
              </from>
              <to>
                <xdr:col>8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26626" r:id="rId6" name="Label2"/>
      </mc:Fallback>
    </mc:AlternateContent>
    <mc:AlternateContent xmlns:mc="http://schemas.openxmlformats.org/markup-compatibility/2006">
      <mc:Choice Requires="x14">
        <control shapeId="26625" r:id="rId8" name="Label1">
          <controlPr defaultSize="0" autoLine="0" r:id="rId9">
            <anchor moveWithCells="1">
              <from>
                <xdr:col>7</xdr:col>
                <xdr:colOff>342900</xdr:colOff>
                <xdr:row>7</xdr:row>
                <xdr:rowOff>9525</xdr:rowOff>
              </from>
              <to>
                <xdr:col>8</xdr:col>
                <xdr:colOff>57150</xdr:colOff>
                <xdr:row>8</xdr:row>
                <xdr:rowOff>9525</xdr:rowOff>
              </to>
            </anchor>
          </controlPr>
        </control>
      </mc:Choice>
      <mc:Fallback>
        <control shapeId="26625" r:id="rId8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34998626667073579"/>
  </sheetPr>
  <dimension ref="B1:V33"/>
  <sheetViews>
    <sheetView showGridLines="0" showRowColHeaders="0" zoomScale="125" zoomScaleNormal="125" workbookViewId="0">
      <selection activeCell="H31" sqref="H31:K31"/>
    </sheetView>
  </sheetViews>
  <sheetFormatPr defaultColWidth="9" defaultRowHeight="15" customHeight="1" x14ac:dyDescent="0.15"/>
  <cols>
    <col min="1" max="1" width="3.25" style="65" customWidth="1"/>
    <col min="2" max="3" width="3.375" style="65" customWidth="1"/>
    <col min="4" max="4" width="9" style="65" customWidth="1"/>
    <col min="5" max="5" width="1.625" style="65" customWidth="1"/>
    <col min="6" max="6" width="9" style="65" customWidth="1"/>
    <col min="7" max="7" width="1.625" style="65" customWidth="1"/>
    <col min="8" max="8" width="9" style="65" customWidth="1"/>
    <col min="9" max="9" width="1.625" style="65" customWidth="1"/>
    <col min="10" max="10" width="9" style="65" customWidth="1"/>
    <col min="11" max="12" width="3.375" style="65" customWidth="1"/>
    <col min="13" max="13" width="3.125" style="65" customWidth="1"/>
    <col min="14" max="14" width="17.125" style="65" customWidth="1"/>
    <col min="15" max="15" width="2.375" style="65" customWidth="1"/>
    <col min="16" max="16" width="15.625" style="65" customWidth="1"/>
    <col min="17" max="17" width="3.875" style="65" customWidth="1"/>
    <col min="18" max="18" width="3.25" style="65" customWidth="1"/>
    <col min="19" max="19" width="11.625" style="65" customWidth="1"/>
    <col min="20" max="22" width="9.125" style="65" bestFit="1" customWidth="1"/>
    <col min="23" max="16384" width="9" style="65"/>
  </cols>
  <sheetData>
    <row r="1" spans="2:17" ht="20.65" customHeight="1" x14ac:dyDescent="0.15"/>
    <row r="2" spans="2:17" ht="15.4" customHeight="1" x14ac:dyDescent="0.15">
      <c r="B2" s="66"/>
      <c r="C2" s="67"/>
      <c r="D2" s="67"/>
      <c r="E2" s="155" t="s">
        <v>25</v>
      </c>
      <c r="F2" s="155"/>
      <c r="G2" s="155"/>
      <c r="H2" s="155"/>
      <c r="I2" s="67"/>
      <c r="J2" s="67"/>
      <c r="K2" s="67"/>
      <c r="L2" s="68"/>
      <c r="M2" s="66"/>
      <c r="N2" s="67"/>
      <c r="O2" s="67"/>
      <c r="P2" s="67"/>
      <c r="Q2" s="68"/>
    </row>
    <row r="3" spans="2:17" ht="5.45" customHeight="1" x14ac:dyDescent="0.15">
      <c r="B3" s="69"/>
      <c r="E3" s="156"/>
      <c r="F3" s="156"/>
      <c r="G3" s="156"/>
      <c r="H3" s="156"/>
      <c r="L3" s="70"/>
      <c r="M3" s="69"/>
      <c r="Q3" s="70"/>
    </row>
    <row r="4" spans="2:17" ht="15.4" customHeight="1" x14ac:dyDescent="0.15">
      <c r="B4" s="71"/>
      <c r="E4" s="156"/>
      <c r="F4" s="156"/>
      <c r="G4" s="156"/>
      <c r="H4" s="156"/>
      <c r="L4" s="70"/>
      <c r="M4" s="69"/>
      <c r="Q4" s="70"/>
    </row>
    <row r="5" spans="2:17" ht="5.45" customHeight="1" x14ac:dyDescent="0.15">
      <c r="B5" s="69"/>
      <c r="L5" s="70"/>
      <c r="M5" s="69"/>
      <c r="Q5" s="70"/>
    </row>
    <row r="6" spans="2:17" ht="15.4" customHeight="1" x14ac:dyDescent="0.15">
      <c r="B6" s="69"/>
      <c r="L6" s="70"/>
      <c r="M6" s="69"/>
      <c r="N6" s="161" t="s">
        <v>1</v>
      </c>
      <c r="P6" s="157">
        <v>950</v>
      </c>
      <c r="Q6" s="70"/>
    </row>
    <row r="7" spans="2:17" ht="5.45" customHeight="1" x14ac:dyDescent="0.15">
      <c r="B7" s="69"/>
      <c r="L7" s="70"/>
      <c r="M7" s="69"/>
      <c r="N7" s="161"/>
      <c r="P7" s="158"/>
      <c r="Q7" s="70"/>
    </row>
    <row r="8" spans="2:17" ht="15.4" customHeight="1" x14ac:dyDescent="0.15">
      <c r="B8" s="69"/>
      <c r="C8" s="159">
        <v>7.61</v>
      </c>
      <c r="D8" s="159"/>
      <c r="H8" s="185">
        <f>DATA!C6</f>
        <v>11.88</v>
      </c>
      <c r="J8" s="164">
        <v>7.8</v>
      </c>
      <c r="K8" s="165"/>
      <c r="L8" s="70"/>
      <c r="M8" s="69"/>
      <c r="N8" s="161" t="s">
        <v>2</v>
      </c>
      <c r="P8" s="157">
        <v>120</v>
      </c>
      <c r="Q8" s="70"/>
    </row>
    <row r="9" spans="2:17" ht="5.45" customHeight="1" x14ac:dyDescent="0.15">
      <c r="B9" s="69"/>
      <c r="C9" s="159"/>
      <c r="D9" s="159"/>
      <c r="H9" s="185"/>
      <c r="J9" s="166"/>
      <c r="K9" s="167"/>
      <c r="L9" s="70"/>
      <c r="M9" s="69"/>
      <c r="N9" s="161"/>
      <c r="P9" s="158"/>
      <c r="Q9" s="70"/>
    </row>
    <row r="10" spans="2:17" ht="15.4" customHeight="1" x14ac:dyDescent="0.15">
      <c r="B10" s="69"/>
      <c r="H10" s="73"/>
      <c r="L10" s="70"/>
      <c r="M10" s="69"/>
      <c r="N10" s="161" t="s">
        <v>3</v>
      </c>
      <c r="P10" s="157">
        <v>305</v>
      </c>
      <c r="Q10" s="70"/>
    </row>
    <row r="11" spans="2:17" ht="5.45" customHeight="1" x14ac:dyDescent="0.15">
      <c r="B11" s="69"/>
      <c r="H11" s="73"/>
      <c r="L11" s="70"/>
      <c r="M11" s="69"/>
      <c r="N11" s="161"/>
      <c r="P11" s="158"/>
      <c r="Q11" s="70"/>
    </row>
    <row r="12" spans="2:17" ht="15.4" customHeight="1" x14ac:dyDescent="0.15">
      <c r="B12" s="69"/>
      <c r="C12" s="159">
        <v>8.3699999999999992</v>
      </c>
      <c r="D12" s="159"/>
      <c r="H12" s="185">
        <f>DATA!C7</f>
        <v>1.2</v>
      </c>
      <c r="J12" s="159">
        <v>8.6</v>
      </c>
      <c r="K12" s="159"/>
      <c r="L12" s="70"/>
      <c r="M12" s="69"/>
      <c r="N12" s="161" t="s">
        <v>4</v>
      </c>
      <c r="P12" s="157">
        <v>9429.6889064137304</v>
      </c>
      <c r="Q12" s="70"/>
    </row>
    <row r="13" spans="2:17" ht="5.45" customHeight="1" x14ac:dyDescent="0.15">
      <c r="B13" s="69"/>
      <c r="C13" s="159"/>
      <c r="D13" s="159"/>
      <c r="H13" s="185"/>
      <c r="J13" s="159"/>
      <c r="K13" s="159"/>
      <c r="L13" s="70"/>
      <c r="M13" s="69"/>
      <c r="N13" s="161"/>
      <c r="P13" s="158"/>
      <c r="Q13" s="70"/>
    </row>
    <row r="14" spans="2:17" ht="15.4" customHeight="1" x14ac:dyDescent="0.15">
      <c r="B14" s="69"/>
      <c r="H14" s="73"/>
      <c r="L14" s="70"/>
      <c r="M14" s="69"/>
      <c r="N14" s="161" t="s">
        <v>5</v>
      </c>
      <c r="P14" s="157"/>
      <c r="Q14" s="70"/>
    </row>
    <row r="15" spans="2:17" ht="5.45" customHeight="1" x14ac:dyDescent="0.15">
      <c r="B15" s="69"/>
      <c r="H15" s="73"/>
      <c r="L15" s="70"/>
      <c r="M15" s="69"/>
      <c r="N15" s="161"/>
      <c r="P15" s="158"/>
      <c r="Q15" s="70"/>
    </row>
    <row r="16" spans="2:17" ht="15.4" customHeight="1" x14ac:dyDescent="0.15">
      <c r="B16" s="69"/>
      <c r="C16" s="159">
        <v>8.92</v>
      </c>
      <c r="D16" s="159"/>
      <c r="H16" s="185">
        <f>DATA!C8</f>
        <v>-1.5920000000000001</v>
      </c>
      <c r="J16" s="159">
        <v>9.1199999999999992</v>
      </c>
      <c r="K16" s="159"/>
      <c r="L16" s="70"/>
      <c r="M16" s="177"/>
      <c r="N16" s="161" t="s">
        <v>6</v>
      </c>
      <c r="O16" s="163"/>
      <c r="P16" s="160"/>
      <c r="Q16" s="175"/>
    </row>
    <row r="17" spans="2:22" ht="5.45" customHeight="1" x14ac:dyDescent="0.15">
      <c r="B17" s="69"/>
      <c r="C17" s="159"/>
      <c r="D17" s="159"/>
      <c r="H17" s="185"/>
      <c r="J17" s="159"/>
      <c r="K17" s="159"/>
      <c r="L17" s="70"/>
      <c r="M17" s="178"/>
      <c r="N17" s="162"/>
      <c r="O17" s="163"/>
      <c r="P17" s="160"/>
      <c r="Q17" s="176"/>
    </row>
    <row r="18" spans="2:22" ht="15.4" customHeight="1" x14ac:dyDescent="0.15">
      <c r="B18" s="69"/>
      <c r="L18" s="70"/>
      <c r="M18" s="69"/>
      <c r="N18" s="180" t="s">
        <v>7</v>
      </c>
      <c r="P18" s="169">
        <f>(C8+J8)/2-B24*DATA!C6/(DATA!C5-DATA!C6-DATA!C8)-DATA!C4</f>
        <v>7.6104101815883869</v>
      </c>
      <c r="Q18" s="70"/>
    </row>
    <row r="19" spans="2:22" ht="5.45" customHeight="1" x14ac:dyDescent="0.15">
      <c r="B19" s="69"/>
      <c r="L19" s="70"/>
      <c r="M19" s="69"/>
      <c r="N19" s="181"/>
      <c r="P19" s="170"/>
      <c r="Q19" s="70"/>
    </row>
    <row r="20" spans="2:22" ht="20.65" customHeight="1" x14ac:dyDescent="0.15">
      <c r="B20" s="69"/>
      <c r="L20" s="70"/>
      <c r="M20" s="69"/>
      <c r="N20" s="65" t="s">
        <v>8</v>
      </c>
      <c r="P20" s="72">
        <f>(C12+J12)/2-B24*DATA!C7/(DATA!C5-DATA!C6-DATA!C8)-DATA!C4</f>
        <v>8.4556676951099377</v>
      </c>
      <c r="Q20" s="70"/>
    </row>
    <row r="21" spans="2:22" ht="20.65" customHeight="1" x14ac:dyDescent="0.15">
      <c r="B21" s="69"/>
      <c r="F21" s="159">
        <v>1.0229999999999999</v>
      </c>
      <c r="G21" s="159"/>
      <c r="H21" s="159"/>
      <c r="L21" s="70"/>
      <c r="M21" s="69"/>
      <c r="N21" s="65" t="s">
        <v>9</v>
      </c>
      <c r="P21" s="72">
        <f>(C16+J16)/2+B24*DATA!C8/(DATA!C5-DATA!C6-DATA!C8)-DATA!C4</f>
        <v>8.9882724755125167</v>
      </c>
      <c r="Q21" s="70"/>
    </row>
    <row r="22" spans="2:22" ht="20.65" customHeight="1" x14ac:dyDescent="0.15">
      <c r="B22" s="69"/>
      <c r="E22" s="168">
        <f>ABS(DEGREES(SIN((C12-J12)/DATA!C3)))</f>
        <v>0.4084909375903259</v>
      </c>
      <c r="F22" s="168"/>
      <c r="G22" s="161" t="str">
        <f>IF(DEGREES(SIN((C12-J12)/DATA!C3))&lt;0,"deg list to starboad",IF(DEGREES(SIN((C12-J12)/DATA!C3))&gt;0,"deg list to port",""))</f>
        <v>deg list to starboad</v>
      </c>
      <c r="H22" s="161"/>
      <c r="I22" s="161"/>
      <c r="J22" s="161"/>
      <c r="K22" s="161"/>
      <c r="L22" s="70"/>
      <c r="M22" s="69"/>
      <c r="N22" s="65" t="s">
        <v>10</v>
      </c>
      <c r="P22" s="72">
        <f>(P18+6*P20+P21)/8</f>
        <v>8.4165861034700669</v>
      </c>
      <c r="Q22" s="70"/>
      <c r="S22" s="73" t="s">
        <v>11</v>
      </c>
      <c r="T22" s="73" t="s">
        <v>12</v>
      </c>
      <c r="U22" s="73" t="s">
        <v>13</v>
      </c>
      <c r="V22" s="73" t="s">
        <v>14</v>
      </c>
    </row>
    <row r="23" spans="2:22" ht="20.65" customHeight="1" x14ac:dyDescent="0.15">
      <c r="B23" s="69"/>
      <c r="D23" s="74"/>
      <c r="E23" s="168">
        <f>ABS(P21-P18)</f>
        <v>1.3778622939241298</v>
      </c>
      <c r="F23" s="168"/>
      <c r="G23" s="161" t="str">
        <f>IF((P21-P18)&gt;0,"m by the stern",IF((P21-P18)=0,"m even keel","m by the head"))</f>
        <v>m by the stern</v>
      </c>
      <c r="H23" s="161"/>
      <c r="I23" s="161"/>
      <c r="J23" s="161"/>
      <c r="L23" s="70"/>
      <c r="M23" s="69"/>
      <c r="N23" s="65" t="s">
        <v>15</v>
      </c>
      <c r="P23" s="72">
        <f ca="1">TREND(OFFSET(HYDROS!A1,MATCH(P22,HYDROS!A2:A500),1,2),OFFSET(HYDROS!A1,MATCH(P22,HYDROS!A2:A500),,2),P22)</f>
        <v>52297.323026216007</v>
      </c>
      <c r="Q23" s="70"/>
      <c r="S23" s="73">
        <f ca="1">TREND(OFFSET(HYDROS!A1,MATCH(P22,HYDROS!A2:A500),1,2),OFFSET(HYDROS!A1,MATCH(P22,HYDROS!A2:A500),,2),P22)</f>
        <v>52297.323026216007</v>
      </c>
      <c r="T23" s="73">
        <f ca="1">TREND(OFFSET(HYDROS!A1,MATCH(P22,HYDROS!A2:A500),5,2),OFFSET(HYDROS!A1,MATCH(P22,HYDROS!A2:A500),,2),P22)</f>
        <v>113.5614622344479</v>
      </c>
      <c r="U23" s="73">
        <f ca="1">TREND(OFFSET(HYDROS!A1,MATCH(P22,HYDROS!A2:A500),2,2),OFFSET(HYDROS!A1,MATCH(P22,HYDROS!A2:A500),,2),P22)</f>
        <v>67.5</v>
      </c>
      <c r="V23" s="73">
        <f>LOOKUP(,0/FREQUENCY(0,((P22+0.5)-HYDROS!A2:A500)^2),HYDROS!D2:D500)-LOOKUP(,0/FREQUENCY(0,((P22-0.5)-HYDROS!A2:A500)^2),HYDROS!D2:D500)</f>
        <v>63.700000000000045</v>
      </c>
    </row>
    <row r="24" spans="2:22" ht="20.65" customHeight="1" x14ac:dyDescent="0.15">
      <c r="B24" s="75">
        <f>((C16+J16)-(C8+J8))/2</f>
        <v>1.3149999999999995</v>
      </c>
      <c r="E24" s="171">
        <f>ABS(((P18+P21)/2-P20)*100)</f>
        <v>15.632636655948673</v>
      </c>
      <c r="F24" s="171"/>
      <c r="G24" s="162" t="str">
        <f>IF(((P18+P21)/2-P20)&gt;0,"cms HOG","cms SAG")</f>
        <v>cms SAG</v>
      </c>
      <c r="H24" s="162"/>
      <c r="I24" s="162"/>
      <c r="L24" s="70"/>
      <c r="M24" s="69"/>
      <c r="N24" s="65" t="s">
        <v>16</v>
      </c>
      <c r="P24" s="72">
        <f ca="1">(DATA!C5/2-T23)*(P21-P18)*U23*100/(DATA!C5)</f>
        <v>-33.468122867303784</v>
      </c>
      <c r="Q24" s="70"/>
      <c r="U24" s="76"/>
    </row>
    <row r="25" spans="2:22" ht="8.4499999999999993" customHeight="1" x14ac:dyDescent="0.15"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8"/>
      <c r="M25" s="69"/>
      <c r="N25" s="161" t="s">
        <v>17</v>
      </c>
      <c r="P25" s="170">
        <f>50*(P21-P18)*(P21-P18)*V23/(DATA!C5)</f>
        <v>26.81479749774681</v>
      </c>
      <c r="Q25" s="70"/>
    </row>
    <row r="26" spans="2:22" ht="19.7" customHeight="1" x14ac:dyDescent="0.15">
      <c r="B26" s="69"/>
      <c r="L26" s="70"/>
      <c r="M26" s="69"/>
      <c r="N26" s="161"/>
      <c r="P26" s="170"/>
      <c r="Q26" s="70"/>
    </row>
    <row r="27" spans="2:22" ht="20.65" customHeight="1" x14ac:dyDescent="0.15">
      <c r="B27" s="77"/>
      <c r="C27" s="78"/>
      <c r="D27" s="78"/>
      <c r="E27" s="78"/>
      <c r="F27" s="78"/>
      <c r="G27" s="78"/>
      <c r="H27" s="78"/>
      <c r="I27" s="78"/>
      <c r="J27" s="78"/>
      <c r="K27" s="78"/>
      <c r="L27" s="79"/>
      <c r="M27" s="77"/>
      <c r="N27" s="78" t="s">
        <v>18</v>
      </c>
      <c r="O27" s="78"/>
      <c r="P27" s="80">
        <f ca="1">F21*(P23+P24+P25)/1.025</f>
        <v>52188.639125820409</v>
      </c>
      <c r="Q27" s="79"/>
    </row>
    <row r="28" spans="2:22" ht="20.65" customHeight="1" x14ac:dyDescent="0.15"/>
    <row r="29" spans="2:22" ht="20.65" customHeight="1" thickBot="1" x14ac:dyDescent="0.2">
      <c r="H29" s="65" t="s">
        <v>19</v>
      </c>
      <c r="K29" s="173">
        <f ca="1">P27-SUM(P6:P17)-DATA!B2</f>
        <v>27688.75021940668</v>
      </c>
      <c r="L29" s="174"/>
      <c r="M29" s="174"/>
      <c r="N29" s="174"/>
      <c r="T29" s="91"/>
      <c r="U29" s="90"/>
    </row>
    <row r="30" spans="2:22" ht="20.65" customHeight="1" thickBot="1" x14ac:dyDescent="0.2">
      <c r="U30" s="90"/>
    </row>
    <row r="31" spans="2:22" ht="20.65" customHeight="1" thickTop="1" thickBot="1" x14ac:dyDescent="0.2">
      <c r="B31" s="81"/>
      <c r="C31" s="154" t="s">
        <v>20</v>
      </c>
      <c r="D31" s="154"/>
      <c r="E31" s="154"/>
      <c r="F31" s="154"/>
      <c r="G31" s="154"/>
      <c r="H31" s="172"/>
      <c r="I31" s="172"/>
      <c r="J31" s="172"/>
      <c r="K31" s="172"/>
      <c r="L31" s="82"/>
      <c r="M31" s="83"/>
      <c r="N31" s="84" t="s">
        <v>21</v>
      </c>
      <c r="O31" s="179">
        <f ca="1">K29-H31</f>
        <v>27688.75021940668</v>
      </c>
      <c r="P31" s="179"/>
      <c r="Q31" s="85"/>
      <c r="T31" s="91" t="s">
        <v>22</v>
      </c>
      <c r="U31" s="90" t="s">
        <v>23</v>
      </c>
    </row>
    <row r="32" spans="2:22" ht="20.65" customHeight="1" thickBot="1" x14ac:dyDescent="0.2">
      <c r="B32" s="86"/>
      <c r="C32" s="87"/>
      <c r="D32" s="87"/>
      <c r="E32" s="87"/>
      <c r="F32" s="87"/>
      <c r="G32" s="87"/>
      <c r="H32" s="87"/>
      <c r="I32" s="87"/>
      <c r="J32" s="87"/>
      <c r="K32" s="87"/>
      <c r="L32" s="88"/>
      <c r="M32" s="87"/>
      <c r="N32" s="87"/>
      <c r="O32" s="87"/>
      <c r="P32" s="87"/>
      <c r="Q32" s="89"/>
      <c r="U32" s="90" t="s">
        <v>24</v>
      </c>
    </row>
    <row r="33" ht="15" customHeight="1" thickTop="1" x14ac:dyDescent="0.15"/>
  </sheetData>
  <sheetProtection algorithmName="SHA-512" hashValue="8GT2ZfonPm6ilRIqCzgz9SN9gDlZtQmTN/gd1d5C8ravqmyNxj+nFXWps/dzwcFnjgpuIyV6A3XqtqGND2oceg==" saltValue="rU7ruxGBZDFNWsG4qxXdng==" spinCount="100000" sheet="1" objects="1" scenarios="1" selectLockedCells="1"/>
  <mergeCells count="40">
    <mergeCell ref="C31:G31"/>
    <mergeCell ref="H31:K31"/>
    <mergeCell ref="O31:P31"/>
    <mergeCell ref="Q16:Q17"/>
    <mergeCell ref="P18:P19"/>
    <mergeCell ref="F21:H21"/>
    <mergeCell ref="E22:F22"/>
    <mergeCell ref="G22:K22"/>
    <mergeCell ref="E23:F23"/>
    <mergeCell ref="G23:J23"/>
    <mergeCell ref="E24:F24"/>
    <mergeCell ref="G24:I24"/>
    <mergeCell ref="N25:N26"/>
    <mergeCell ref="P25:P26"/>
    <mergeCell ref="K29:N29"/>
    <mergeCell ref="N18:N19"/>
    <mergeCell ref="C12:D13"/>
    <mergeCell ref="J12:K13"/>
    <mergeCell ref="P12:P13"/>
    <mergeCell ref="P14:P15"/>
    <mergeCell ref="C16:D17"/>
    <mergeCell ref="J16:K17"/>
    <mergeCell ref="M16:M17"/>
    <mergeCell ref="N16:N17"/>
    <mergeCell ref="O16:O17"/>
    <mergeCell ref="P16:P17"/>
    <mergeCell ref="N12:N13"/>
    <mergeCell ref="N14:N15"/>
    <mergeCell ref="H12:H13"/>
    <mergeCell ref="H16:H17"/>
    <mergeCell ref="P10:P11"/>
    <mergeCell ref="E2:H4"/>
    <mergeCell ref="P6:P7"/>
    <mergeCell ref="C8:D9"/>
    <mergeCell ref="J8:K9"/>
    <mergeCell ref="P8:P9"/>
    <mergeCell ref="N6:N7"/>
    <mergeCell ref="N8:N9"/>
    <mergeCell ref="N10:N11"/>
    <mergeCell ref="H8:H9"/>
  </mergeCells>
  <phoneticPr fontId="1" type="noConversion"/>
  <conditionalFormatting sqref="P6:P17">
    <cfRule type="containsBlanks" dxfId="11" priority="4">
      <formula>LEN(TRIM(P6))=0</formula>
    </cfRule>
  </conditionalFormatting>
  <conditionalFormatting sqref="E22:F22">
    <cfRule type="cellIs" dxfId="10" priority="3" operator="equal">
      <formula>0</formula>
    </cfRule>
  </conditionalFormatting>
  <conditionalFormatting sqref="H31:K31">
    <cfRule type="containsBlanks" dxfId="9" priority="2">
      <formula>LEN(TRIM(H31))=0</formula>
    </cfRule>
  </conditionalFormatting>
  <conditionalFormatting sqref="C8:D9 C12:D13 C16:D17 F21:H21 J16:K17 J12:K13 J8:K9">
    <cfRule type="containsBlanks" dxfId="8" priority="1">
      <formula>LEN(TRIM(C8))=0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31747" r:id="rId4" name="Label3">
          <controlPr defaultSize="0" autoLine="0" r:id="rId5">
            <anchor moveWithCells="1">
              <from>
                <xdr:col>7</xdr:col>
                <xdr:colOff>342900</xdr:colOff>
                <xdr:row>15</xdr:row>
                <xdr:rowOff>0</xdr:rowOff>
              </from>
              <to>
                <xdr:col>8</xdr:col>
                <xdr:colOff>57150</xdr:colOff>
                <xdr:row>15</xdr:row>
                <xdr:rowOff>180975</xdr:rowOff>
              </to>
            </anchor>
          </controlPr>
        </control>
      </mc:Choice>
      <mc:Fallback>
        <control shapeId="31747" r:id="rId4" name="Label3"/>
      </mc:Fallback>
    </mc:AlternateContent>
    <mc:AlternateContent xmlns:mc="http://schemas.openxmlformats.org/markup-compatibility/2006">
      <mc:Choice Requires="x14">
        <control shapeId="31746" r:id="rId6" name="Label2">
          <controlPr defaultSize="0" autoLine="0" r:id="rId7">
            <anchor moveWithCells="1">
              <from>
                <xdr:col>7</xdr:col>
                <xdr:colOff>342900</xdr:colOff>
                <xdr:row>11</xdr:row>
                <xdr:rowOff>9525</xdr:rowOff>
              </from>
              <to>
                <xdr:col>8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31746" r:id="rId6" name="Label2"/>
      </mc:Fallback>
    </mc:AlternateContent>
    <mc:AlternateContent xmlns:mc="http://schemas.openxmlformats.org/markup-compatibility/2006">
      <mc:Choice Requires="x14">
        <control shapeId="31745" r:id="rId8" name="Label1">
          <controlPr defaultSize="0" autoLine="0" r:id="rId9">
            <anchor moveWithCells="1">
              <from>
                <xdr:col>7</xdr:col>
                <xdr:colOff>342900</xdr:colOff>
                <xdr:row>7</xdr:row>
                <xdr:rowOff>9525</xdr:rowOff>
              </from>
              <to>
                <xdr:col>8</xdr:col>
                <xdr:colOff>57150</xdr:colOff>
                <xdr:row>8</xdr:row>
                <xdr:rowOff>9525</xdr:rowOff>
              </to>
            </anchor>
          </controlPr>
        </control>
      </mc:Choice>
      <mc:Fallback>
        <control shapeId="31745" r:id="rId8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1" tint="0.34998626667073579"/>
  </sheetPr>
  <dimension ref="B1:V33"/>
  <sheetViews>
    <sheetView showGridLines="0" showRowColHeaders="0" zoomScale="125" zoomScaleNormal="125" workbookViewId="0">
      <selection activeCell="H31" sqref="H31:K31"/>
    </sheetView>
  </sheetViews>
  <sheetFormatPr defaultColWidth="9" defaultRowHeight="15" customHeight="1" x14ac:dyDescent="0.15"/>
  <cols>
    <col min="1" max="1" width="3.25" style="65" customWidth="1"/>
    <col min="2" max="3" width="3.375" style="65" customWidth="1"/>
    <col min="4" max="4" width="9" style="65" customWidth="1"/>
    <col min="5" max="5" width="1.625" style="65" customWidth="1"/>
    <col min="6" max="6" width="9" style="65" customWidth="1"/>
    <col min="7" max="7" width="1.625" style="65" customWidth="1"/>
    <col min="8" max="8" width="9" style="65" customWidth="1"/>
    <col min="9" max="9" width="1.625" style="65" customWidth="1"/>
    <col min="10" max="10" width="9" style="65" customWidth="1"/>
    <col min="11" max="12" width="3.375" style="65" customWidth="1"/>
    <col min="13" max="13" width="3.125" style="65" customWidth="1"/>
    <col min="14" max="14" width="17.125" style="65" customWidth="1"/>
    <col min="15" max="15" width="2.375" style="65" customWidth="1"/>
    <col min="16" max="16" width="15.625" style="65" customWidth="1"/>
    <col min="17" max="17" width="3.875" style="65" customWidth="1"/>
    <col min="18" max="18" width="3.25" style="65" customWidth="1"/>
    <col min="19" max="19" width="11.625" style="65" customWidth="1"/>
    <col min="20" max="22" width="9.125" style="65" bestFit="1" customWidth="1"/>
    <col min="23" max="16384" width="9" style="65"/>
  </cols>
  <sheetData>
    <row r="1" spans="2:17" ht="20.65" customHeight="1" x14ac:dyDescent="0.15"/>
    <row r="2" spans="2:17" ht="15.4" customHeight="1" x14ac:dyDescent="0.15">
      <c r="B2" s="66"/>
      <c r="C2" s="67"/>
      <c r="D2" s="67"/>
      <c r="E2" s="155" t="s">
        <v>26</v>
      </c>
      <c r="F2" s="155"/>
      <c r="G2" s="155"/>
      <c r="H2" s="155"/>
      <c r="I2" s="67"/>
      <c r="J2" s="67"/>
      <c r="K2" s="67"/>
      <c r="L2" s="68"/>
      <c r="M2" s="66"/>
      <c r="N2" s="67"/>
      <c r="O2" s="67"/>
      <c r="P2" s="67"/>
      <c r="Q2" s="68"/>
    </row>
    <row r="3" spans="2:17" ht="5.45" customHeight="1" x14ac:dyDescent="0.15">
      <c r="B3" s="69"/>
      <c r="E3" s="156"/>
      <c r="F3" s="156"/>
      <c r="G3" s="156"/>
      <c r="H3" s="156"/>
      <c r="L3" s="70"/>
      <c r="M3" s="69"/>
      <c r="Q3" s="70"/>
    </row>
    <row r="4" spans="2:17" ht="15.4" customHeight="1" x14ac:dyDescent="0.15">
      <c r="B4" s="71"/>
      <c r="E4" s="156"/>
      <c r="F4" s="156"/>
      <c r="G4" s="156"/>
      <c r="H4" s="156"/>
      <c r="L4" s="70"/>
      <c r="M4" s="69"/>
      <c r="Q4" s="70"/>
    </row>
    <row r="5" spans="2:17" ht="5.45" customHeight="1" x14ac:dyDescent="0.15">
      <c r="B5" s="69"/>
      <c r="L5" s="70"/>
      <c r="M5" s="69"/>
      <c r="Q5" s="70"/>
    </row>
    <row r="6" spans="2:17" ht="15.4" customHeight="1" x14ac:dyDescent="0.15">
      <c r="B6" s="69"/>
      <c r="L6" s="70"/>
      <c r="M6" s="69"/>
      <c r="N6" s="161" t="s">
        <v>1</v>
      </c>
      <c r="P6" s="157">
        <v>1416</v>
      </c>
      <c r="Q6" s="70"/>
    </row>
    <row r="7" spans="2:17" ht="5.45" customHeight="1" x14ac:dyDescent="0.15">
      <c r="B7" s="69"/>
      <c r="L7" s="70"/>
      <c r="M7" s="69"/>
      <c r="N7" s="161"/>
      <c r="P7" s="158"/>
      <c r="Q7" s="70"/>
    </row>
    <row r="8" spans="2:17" ht="15.4" customHeight="1" x14ac:dyDescent="0.15">
      <c r="B8" s="69"/>
      <c r="C8" s="159">
        <v>5.8</v>
      </c>
      <c r="D8" s="159"/>
      <c r="H8" s="182">
        <f>DATA!D6</f>
        <v>11.88</v>
      </c>
      <c r="J8" s="164">
        <v>5.8</v>
      </c>
      <c r="K8" s="165"/>
      <c r="L8" s="70"/>
      <c r="M8" s="69"/>
      <c r="N8" s="161" t="s">
        <v>2</v>
      </c>
      <c r="P8" s="157">
        <v>41.7</v>
      </c>
      <c r="Q8" s="70"/>
    </row>
    <row r="9" spans="2:17" ht="5.45" customHeight="1" x14ac:dyDescent="0.15">
      <c r="B9" s="69"/>
      <c r="C9" s="159"/>
      <c r="D9" s="159"/>
      <c r="H9" s="182"/>
      <c r="J9" s="166"/>
      <c r="K9" s="167"/>
      <c r="L9" s="70"/>
      <c r="M9" s="69"/>
      <c r="N9" s="161"/>
      <c r="P9" s="158"/>
      <c r="Q9" s="70"/>
    </row>
    <row r="10" spans="2:17" ht="15.4" customHeight="1" x14ac:dyDescent="0.15">
      <c r="B10" s="69"/>
      <c r="H10" s="145"/>
      <c r="L10" s="70"/>
      <c r="M10" s="69"/>
      <c r="N10" s="161" t="s">
        <v>3</v>
      </c>
      <c r="P10" s="157">
        <v>242</v>
      </c>
      <c r="Q10" s="70"/>
    </row>
    <row r="11" spans="2:17" ht="5.45" customHeight="1" x14ac:dyDescent="0.15">
      <c r="B11" s="69"/>
      <c r="H11" s="145"/>
      <c r="L11" s="70"/>
      <c r="M11" s="69"/>
      <c r="N11" s="161"/>
      <c r="P11" s="158"/>
      <c r="Q11" s="70"/>
    </row>
    <row r="12" spans="2:17" ht="15.4" customHeight="1" x14ac:dyDescent="0.15">
      <c r="B12" s="69"/>
      <c r="C12" s="159">
        <v>6.1</v>
      </c>
      <c r="D12" s="159"/>
      <c r="H12" s="182">
        <f>DATA!D7</f>
        <v>1.2</v>
      </c>
      <c r="J12" s="159">
        <v>6</v>
      </c>
      <c r="K12" s="159"/>
      <c r="L12" s="70"/>
      <c r="M12" s="69"/>
      <c r="N12" s="161" t="s">
        <v>4</v>
      </c>
      <c r="P12" s="157">
        <v>9470.2421175116797</v>
      </c>
      <c r="Q12" s="70"/>
    </row>
    <row r="13" spans="2:17" ht="5.45" customHeight="1" x14ac:dyDescent="0.15">
      <c r="B13" s="69"/>
      <c r="C13" s="159"/>
      <c r="D13" s="159"/>
      <c r="H13" s="182"/>
      <c r="J13" s="159"/>
      <c r="K13" s="159"/>
      <c r="L13" s="70"/>
      <c r="M13" s="69"/>
      <c r="N13" s="161"/>
      <c r="P13" s="158"/>
      <c r="Q13" s="70"/>
    </row>
    <row r="14" spans="2:17" ht="15.4" customHeight="1" x14ac:dyDescent="0.15">
      <c r="B14" s="69"/>
      <c r="H14" s="145"/>
      <c r="L14" s="70"/>
      <c r="M14" s="69"/>
      <c r="N14" s="161" t="s">
        <v>5</v>
      </c>
      <c r="P14" s="157"/>
      <c r="Q14" s="70"/>
    </row>
    <row r="15" spans="2:17" ht="5.45" customHeight="1" x14ac:dyDescent="0.15">
      <c r="B15" s="69"/>
      <c r="H15" s="145"/>
      <c r="L15" s="70"/>
      <c r="M15" s="69"/>
      <c r="N15" s="161"/>
      <c r="P15" s="158"/>
      <c r="Q15" s="70"/>
    </row>
    <row r="16" spans="2:17" ht="15.4" customHeight="1" x14ac:dyDescent="0.15">
      <c r="B16" s="69"/>
      <c r="C16" s="159">
        <v>6.5</v>
      </c>
      <c r="D16" s="159"/>
      <c r="H16" s="182">
        <f>DATA!D8</f>
        <v>-1.5920000000000001</v>
      </c>
      <c r="J16" s="159">
        <v>6.5</v>
      </c>
      <c r="K16" s="159"/>
      <c r="L16" s="70"/>
      <c r="M16" s="177"/>
      <c r="N16" s="161" t="s">
        <v>6</v>
      </c>
      <c r="O16" s="163"/>
      <c r="P16" s="160"/>
      <c r="Q16" s="175"/>
    </row>
    <row r="17" spans="2:22" ht="5.45" customHeight="1" x14ac:dyDescent="0.15">
      <c r="B17" s="69"/>
      <c r="C17" s="159"/>
      <c r="D17" s="159"/>
      <c r="H17" s="183"/>
      <c r="J17" s="159"/>
      <c r="K17" s="159"/>
      <c r="L17" s="70"/>
      <c r="M17" s="178"/>
      <c r="N17" s="162"/>
      <c r="O17" s="163"/>
      <c r="P17" s="160"/>
      <c r="Q17" s="176"/>
    </row>
    <row r="18" spans="2:22" ht="15.4" customHeight="1" x14ac:dyDescent="0.15">
      <c r="B18" s="69"/>
      <c r="L18" s="70"/>
      <c r="M18" s="69"/>
      <c r="N18" s="180" t="s">
        <v>7</v>
      </c>
      <c r="P18" s="169">
        <f>(C8+J8)/2-B24*DATA!D6/(DATA!D5-DATA!D6-DATA!D8)-DATA!D4</f>
        <v>5.739359032024236</v>
      </c>
      <c r="Q18" s="70"/>
    </row>
    <row r="19" spans="2:22" ht="5.45" customHeight="1" x14ac:dyDescent="0.15">
      <c r="B19" s="69"/>
      <c r="L19" s="70"/>
      <c r="M19" s="69"/>
      <c r="N19" s="181"/>
      <c r="P19" s="170"/>
      <c r="Q19" s="70"/>
    </row>
    <row r="20" spans="2:22" ht="20.65" customHeight="1" x14ac:dyDescent="0.15">
      <c r="B20" s="69"/>
      <c r="L20" s="70"/>
      <c r="M20" s="69"/>
      <c r="N20" s="65" t="s">
        <v>8</v>
      </c>
      <c r="P20" s="72">
        <f>(C12+J12)/2-B24*DATA!D7/(DATA!D5-DATA!D6-DATA!D8)-DATA!D4</f>
        <v>6.0240968719216399</v>
      </c>
      <c r="Q20" s="70"/>
    </row>
    <row r="21" spans="2:22" ht="20.65" customHeight="1" x14ac:dyDescent="0.15">
      <c r="B21" s="69"/>
      <c r="F21" s="159">
        <v>1.0249999999999999</v>
      </c>
      <c r="G21" s="159"/>
      <c r="H21" s="159"/>
      <c r="L21" s="70"/>
      <c r="M21" s="69"/>
      <c r="N21" s="65" t="s">
        <v>9</v>
      </c>
      <c r="P21" s="72">
        <f>(C16+J16)/2+B24*DATA!D8/(DATA!D5-DATA!D6-DATA!D8)-DATA!D4</f>
        <v>6.4728218500827088</v>
      </c>
      <c r="Q21" s="70"/>
    </row>
    <row r="22" spans="2:22" ht="20.65" customHeight="1" x14ac:dyDescent="0.15">
      <c r="B22" s="69"/>
      <c r="E22" s="168">
        <f>ABS(DEGREES(SIN((C12-J12)/DATA!D3)))</f>
        <v>0.17760597568319056</v>
      </c>
      <c r="F22" s="168"/>
      <c r="G22" s="161" t="str">
        <f>IF(DEGREES(SIN((C12-J12)/DATA!D3))&lt;0,"deg list to starboad",IF(DEGREES(SIN((C12-J12)/DATA!D3))&gt;0,"deg list to port",""))</f>
        <v>deg list to port</v>
      </c>
      <c r="H22" s="161"/>
      <c r="I22" s="161"/>
      <c r="J22" s="161"/>
      <c r="K22" s="161"/>
      <c r="L22" s="70"/>
      <c r="M22" s="69"/>
      <c r="N22" s="65" t="s">
        <v>10</v>
      </c>
      <c r="P22" s="72">
        <f>(P18+6*P20+P21)/8</f>
        <v>6.0445952642045988</v>
      </c>
      <c r="Q22" s="70"/>
      <c r="S22" s="73" t="s">
        <v>11</v>
      </c>
      <c r="T22" s="73" t="s">
        <v>12</v>
      </c>
      <c r="U22" s="73" t="s">
        <v>13</v>
      </c>
      <c r="V22" s="73" t="s">
        <v>14</v>
      </c>
    </row>
    <row r="23" spans="2:22" ht="20.65" customHeight="1" x14ac:dyDescent="0.15">
      <c r="B23" s="69"/>
      <c r="D23" s="74"/>
      <c r="E23" s="168">
        <f>ABS(P21-P18)</f>
        <v>0.7334628180584728</v>
      </c>
      <c r="F23" s="168"/>
      <c r="G23" s="161" t="str">
        <f>IF((P21-P18)&gt;0,"m by the stern",IF((P21-P18)=0,"m even keel","m by the head"))</f>
        <v>m by the stern</v>
      </c>
      <c r="H23" s="161"/>
      <c r="I23" s="161"/>
      <c r="J23" s="161"/>
      <c r="L23" s="70"/>
      <c r="M23" s="69"/>
      <c r="N23" s="65" t="s">
        <v>15</v>
      </c>
      <c r="P23" s="72">
        <f ca="1">TREND(OFFSET(HYDROS!A1,MATCH(P22,HYDROS!A2:A500),1,2),OFFSET(HYDROS!A1,MATCH(P22,HYDROS!A2:A500),,2),P22)</f>
        <v>36649.707025704884</v>
      </c>
      <c r="Q23" s="70"/>
      <c r="S23" s="73">
        <f ca="1">TREND(OFFSET(HYDROS!A1,MATCH(P22,HYDROS!A2:A500),1,2),OFFSET(HYDROS!A1,MATCH(P22,HYDROS!A2:A500),,2),P22)</f>
        <v>36649.707025704884</v>
      </c>
      <c r="T23" s="73">
        <f ca="1">TREND(OFFSET(HYDROS!A1,MATCH(P22,HYDROS!A2:A500),5,2),OFFSET(HYDROS!A1,MATCH(P22,HYDROS!A2:A500),,2),P22)</f>
        <v>117.09872901994314</v>
      </c>
      <c r="U23" s="73">
        <f ca="1">TREND(OFFSET(HYDROS!A1,MATCH(P22,HYDROS!A2:A500),2,2),OFFSET(HYDROS!A1,MATCH(P22,HYDROS!A2:A500),,2),P22)</f>
        <v>64.589190528409191</v>
      </c>
      <c r="V23" s="73">
        <f>LOOKUP(,0/FREQUENCY(0,((P22+0.5)-HYDROS!A2:A500)^2),HYDROS!D2:D500)-LOOKUP(,0/FREQUENCY(0,((P22-0.5)-HYDROS!A2:A500)^2),HYDROS!D2:D500)</f>
        <v>43.800000000000068</v>
      </c>
    </row>
    <row r="24" spans="2:22" ht="20.65" customHeight="1" x14ac:dyDescent="0.15">
      <c r="B24" s="75">
        <f>((C16+J16)-(C8+J8))/2</f>
        <v>0.70000000000000018</v>
      </c>
      <c r="E24" s="171">
        <f>ABS(((P18+P21)/2-P20)*100)</f>
        <v>8.1993569131832977</v>
      </c>
      <c r="F24" s="171"/>
      <c r="G24" s="162" t="str">
        <f>IF(((P18+P21)/2-P20)&gt;0,"cms HOG","cms SAG")</f>
        <v>cms HOG</v>
      </c>
      <c r="H24" s="162"/>
      <c r="I24" s="162"/>
      <c r="L24" s="70"/>
      <c r="M24" s="69"/>
      <c r="N24" s="65" t="s">
        <v>16</v>
      </c>
      <c r="P24" s="72">
        <f ca="1">(DATA!D5/2-T23)*(P21-P18)*U23*100/(DATA!D5)</f>
        <v>-91.359506467051375</v>
      </c>
      <c r="Q24" s="70"/>
      <c r="U24" s="76"/>
    </row>
    <row r="25" spans="2:22" ht="8.4499999999999993" customHeight="1" x14ac:dyDescent="0.15"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8"/>
      <c r="M25" s="69"/>
      <c r="N25" s="161" t="s">
        <v>17</v>
      </c>
      <c r="P25" s="170">
        <f>50*(P21-P18)*(P21-P18)*V23/(DATA!D5)</f>
        <v>5.2246087582645995</v>
      </c>
      <c r="Q25" s="70"/>
    </row>
    <row r="26" spans="2:22" ht="19.7" customHeight="1" x14ac:dyDescent="0.15">
      <c r="B26" s="69"/>
      <c r="L26" s="70"/>
      <c r="M26" s="69"/>
      <c r="N26" s="161"/>
      <c r="P26" s="170"/>
      <c r="Q26" s="70"/>
    </row>
    <row r="27" spans="2:22" ht="20.65" customHeight="1" x14ac:dyDescent="0.15">
      <c r="B27" s="77"/>
      <c r="C27" s="78"/>
      <c r="D27" s="78"/>
      <c r="E27" s="78"/>
      <c r="F27" s="78"/>
      <c r="G27" s="78"/>
      <c r="H27" s="78"/>
      <c r="I27" s="78"/>
      <c r="J27" s="78"/>
      <c r="K27" s="78"/>
      <c r="L27" s="79"/>
      <c r="M27" s="77"/>
      <c r="N27" s="78" t="s">
        <v>18</v>
      </c>
      <c r="O27" s="78"/>
      <c r="P27" s="80">
        <f ca="1">F21*(P23+P24+P25)/1.025</f>
        <v>36563.5721279961</v>
      </c>
      <c r="Q27" s="79"/>
    </row>
    <row r="28" spans="2:22" ht="20.65" customHeight="1" x14ac:dyDescent="0.15"/>
    <row r="29" spans="2:22" ht="20.65" customHeight="1" thickBot="1" x14ac:dyDescent="0.2">
      <c r="H29" s="65" t="s">
        <v>19</v>
      </c>
      <c r="K29" s="173">
        <f ca="1">P27-SUM(P6:P17)-DATA!B2</f>
        <v>11698.430010484419</v>
      </c>
      <c r="L29" s="174"/>
      <c r="M29" s="174"/>
      <c r="N29" s="174"/>
      <c r="T29" s="91"/>
      <c r="U29" s="90"/>
    </row>
    <row r="30" spans="2:22" ht="20.65" customHeight="1" thickBot="1" x14ac:dyDescent="0.2">
      <c r="U30" s="90"/>
    </row>
    <row r="31" spans="2:22" ht="20.65" customHeight="1" thickTop="1" thickBot="1" x14ac:dyDescent="0.2">
      <c r="B31" s="81"/>
      <c r="C31" s="154" t="s">
        <v>20</v>
      </c>
      <c r="D31" s="154"/>
      <c r="E31" s="154"/>
      <c r="F31" s="154"/>
      <c r="G31" s="154"/>
      <c r="H31" s="172"/>
      <c r="I31" s="172"/>
      <c r="J31" s="172"/>
      <c r="K31" s="172"/>
      <c r="L31" s="82"/>
      <c r="M31" s="83"/>
      <c r="N31" s="84" t="s">
        <v>21</v>
      </c>
      <c r="O31" s="179">
        <f ca="1">K29-H31</f>
        <v>11698.430010484419</v>
      </c>
      <c r="P31" s="179"/>
      <c r="Q31" s="85"/>
      <c r="T31" s="91" t="s">
        <v>22</v>
      </c>
      <c r="U31" s="90" t="s">
        <v>23</v>
      </c>
    </row>
    <row r="32" spans="2:22" ht="20.65" customHeight="1" thickBot="1" x14ac:dyDescent="0.2">
      <c r="B32" s="86"/>
      <c r="C32" s="87"/>
      <c r="D32" s="87"/>
      <c r="E32" s="87"/>
      <c r="F32" s="87"/>
      <c r="G32" s="87"/>
      <c r="H32" s="87"/>
      <c r="I32" s="87"/>
      <c r="J32" s="87"/>
      <c r="K32" s="87"/>
      <c r="L32" s="88"/>
      <c r="M32" s="87"/>
      <c r="N32" s="87"/>
      <c r="O32" s="87"/>
      <c r="P32" s="87"/>
      <c r="Q32" s="89"/>
      <c r="U32" s="90" t="s">
        <v>24</v>
      </c>
    </row>
    <row r="33" ht="15" customHeight="1" thickTop="1" x14ac:dyDescent="0.15"/>
  </sheetData>
  <sheetProtection algorithmName="SHA-512" hashValue="/4/6JLglkMW/i6wURc5S6kHh4oJrH3d5u7u3tL6RfIBI2346YC4KCUlzQ6SXuVCKKOQsrFOqrmkBaJKPmxEZyw==" saltValue="3i65QmbmXnOvhQGGDMfeRg==" spinCount="100000" sheet="1" objects="1" scenarios="1" selectLockedCells="1"/>
  <mergeCells count="40">
    <mergeCell ref="C31:G31"/>
    <mergeCell ref="H31:K31"/>
    <mergeCell ref="O31:P31"/>
    <mergeCell ref="Q16:Q17"/>
    <mergeCell ref="P18:P19"/>
    <mergeCell ref="F21:H21"/>
    <mergeCell ref="E22:F22"/>
    <mergeCell ref="G22:K22"/>
    <mergeCell ref="E23:F23"/>
    <mergeCell ref="G23:J23"/>
    <mergeCell ref="E24:F24"/>
    <mergeCell ref="G24:I24"/>
    <mergeCell ref="N25:N26"/>
    <mergeCell ref="P25:P26"/>
    <mergeCell ref="K29:N29"/>
    <mergeCell ref="N18:N19"/>
    <mergeCell ref="C12:D13"/>
    <mergeCell ref="J12:K13"/>
    <mergeCell ref="P12:P13"/>
    <mergeCell ref="P14:P15"/>
    <mergeCell ref="C16:D17"/>
    <mergeCell ref="J16:K17"/>
    <mergeCell ref="M16:M17"/>
    <mergeCell ref="N16:N17"/>
    <mergeCell ref="O16:O17"/>
    <mergeCell ref="P16:P17"/>
    <mergeCell ref="N12:N13"/>
    <mergeCell ref="N14:N15"/>
    <mergeCell ref="H12:H13"/>
    <mergeCell ref="H16:H17"/>
    <mergeCell ref="P10:P11"/>
    <mergeCell ref="E2:H4"/>
    <mergeCell ref="P6:P7"/>
    <mergeCell ref="C8:D9"/>
    <mergeCell ref="J8:K9"/>
    <mergeCell ref="P8:P9"/>
    <mergeCell ref="N6:N7"/>
    <mergeCell ref="N8:N9"/>
    <mergeCell ref="N10:N11"/>
    <mergeCell ref="H8:H9"/>
  </mergeCells>
  <phoneticPr fontId="1" type="noConversion"/>
  <conditionalFormatting sqref="P6:P17">
    <cfRule type="containsBlanks" dxfId="7" priority="4">
      <formula>LEN(TRIM(P6))=0</formula>
    </cfRule>
  </conditionalFormatting>
  <conditionalFormatting sqref="E22:F22">
    <cfRule type="cellIs" dxfId="6" priority="3" operator="equal">
      <formula>0</formula>
    </cfRule>
  </conditionalFormatting>
  <conditionalFormatting sqref="H31:K31">
    <cfRule type="containsBlanks" dxfId="5" priority="2">
      <formula>LEN(TRIM(H31))=0</formula>
    </cfRule>
  </conditionalFormatting>
  <conditionalFormatting sqref="C8:D9 C12:D13 C16:D17 F21:H21 J16:K17 J12:K13 J8:K9">
    <cfRule type="containsBlanks" dxfId="4" priority="1">
      <formula>LEN(TRIM(C8))=0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30723" r:id="rId4" name="Label3">
          <controlPr defaultSize="0" autoLine="0" r:id="rId5">
            <anchor moveWithCells="1">
              <from>
                <xdr:col>7</xdr:col>
                <xdr:colOff>342900</xdr:colOff>
                <xdr:row>15</xdr:row>
                <xdr:rowOff>0</xdr:rowOff>
              </from>
              <to>
                <xdr:col>8</xdr:col>
                <xdr:colOff>57150</xdr:colOff>
                <xdr:row>15</xdr:row>
                <xdr:rowOff>180975</xdr:rowOff>
              </to>
            </anchor>
          </controlPr>
        </control>
      </mc:Choice>
      <mc:Fallback>
        <control shapeId="30723" r:id="rId4" name="Label3"/>
      </mc:Fallback>
    </mc:AlternateContent>
    <mc:AlternateContent xmlns:mc="http://schemas.openxmlformats.org/markup-compatibility/2006">
      <mc:Choice Requires="x14">
        <control shapeId="30722" r:id="rId6" name="Label2">
          <controlPr defaultSize="0" autoLine="0" r:id="rId7">
            <anchor moveWithCells="1">
              <from>
                <xdr:col>7</xdr:col>
                <xdr:colOff>342900</xdr:colOff>
                <xdr:row>11</xdr:row>
                <xdr:rowOff>9525</xdr:rowOff>
              </from>
              <to>
                <xdr:col>8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30722" r:id="rId6" name="Label2"/>
      </mc:Fallback>
    </mc:AlternateContent>
    <mc:AlternateContent xmlns:mc="http://schemas.openxmlformats.org/markup-compatibility/2006">
      <mc:Choice Requires="x14">
        <control shapeId="30721" r:id="rId8" name="Label1">
          <controlPr defaultSize="0" autoLine="0" r:id="rId9">
            <anchor moveWithCells="1">
              <from>
                <xdr:col>7</xdr:col>
                <xdr:colOff>342900</xdr:colOff>
                <xdr:row>7</xdr:row>
                <xdr:rowOff>9525</xdr:rowOff>
              </from>
              <to>
                <xdr:col>8</xdr:col>
                <xdr:colOff>57150</xdr:colOff>
                <xdr:row>8</xdr:row>
                <xdr:rowOff>9525</xdr:rowOff>
              </to>
            </anchor>
          </controlPr>
        </control>
      </mc:Choice>
      <mc:Fallback>
        <control shapeId="30721" r:id="rId8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 tint="0.34998626667073579"/>
  </sheetPr>
  <dimension ref="B1:V33"/>
  <sheetViews>
    <sheetView showGridLines="0" showRowColHeaders="0" zoomScale="125" zoomScaleNormal="125" workbookViewId="0">
      <selection activeCell="H31" sqref="H31:K31"/>
    </sheetView>
  </sheetViews>
  <sheetFormatPr defaultColWidth="9" defaultRowHeight="15" customHeight="1" x14ac:dyDescent="0.15"/>
  <cols>
    <col min="1" max="1" width="3.25" style="65" customWidth="1"/>
    <col min="2" max="3" width="3.375" style="65" customWidth="1"/>
    <col min="4" max="4" width="9" style="65" customWidth="1"/>
    <col min="5" max="5" width="1.625" style="65" customWidth="1"/>
    <col min="6" max="6" width="9" style="65" customWidth="1"/>
    <col min="7" max="7" width="1.625" style="65" customWidth="1"/>
    <col min="8" max="8" width="9" style="65" customWidth="1"/>
    <col min="9" max="9" width="1.625" style="65" customWidth="1"/>
    <col min="10" max="10" width="9" style="65" customWidth="1"/>
    <col min="11" max="12" width="3.375" style="65" customWidth="1"/>
    <col min="13" max="13" width="3.125" style="65" customWidth="1"/>
    <col min="14" max="14" width="17.125" style="65" customWidth="1"/>
    <col min="15" max="15" width="2.375" style="65" customWidth="1"/>
    <col min="16" max="16" width="15.625" style="65" customWidth="1"/>
    <col min="17" max="17" width="3.875" style="65" customWidth="1"/>
    <col min="18" max="18" width="3.25" style="65" customWidth="1"/>
    <col min="19" max="19" width="11.625" style="65" customWidth="1"/>
    <col min="20" max="22" width="9.125" style="65" bestFit="1" customWidth="1"/>
    <col min="23" max="16384" width="9" style="65"/>
  </cols>
  <sheetData>
    <row r="1" spans="2:17" ht="20.65" customHeight="1" x14ac:dyDescent="0.15"/>
    <row r="2" spans="2:17" ht="15.4" customHeight="1" x14ac:dyDescent="0.15">
      <c r="B2" s="66"/>
      <c r="C2" s="67"/>
      <c r="D2" s="67"/>
      <c r="E2" s="155" t="s">
        <v>27</v>
      </c>
      <c r="F2" s="155"/>
      <c r="G2" s="155"/>
      <c r="H2" s="155"/>
      <c r="I2" s="67"/>
      <c r="J2" s="67"/>
      <c r="K2" s="67"/>
      <c r="L2" s="68"/>
      <c r="M2" s="66"/>
      <c r="N2" s="67"/>
      <c r="O2" s="67"/>
      <c r="P2" s="67"/>
      <c r="Q2" s="68"/>
    </row>
    <row r="3" spans="2:17" ht="5.45" customHeight="1" x14ac:dyDescent="0.15">
      <c r="B3" s="69"/>
      <c r="E3" s="156"/>
      <c r="F3" s="156"/>
      <c r="G3" s="156"/>
      <c r="H3" s="156"/>
      <c r="L3" s="70"/>
      <c r="M3" s="69"/>
      <c r="Q3" s="70"/>
    </row>
    <row r="4" spans="2:17" ht="15.4" customHeight="1" x14ac:dyDescent="0.15">
      <c r="B4" s="71"/>
      <c r="E4" s="156"/>
      <c r="F4" s="156"/>
      <c r="G4" s="156"/>
      <c r="H4" s="156"/>
      <c r="L4" s="70"/>
      <c r="M4" s="69"/>
      <c r="Q4" s="70"/>
    </row>
    <row r="5" spans="2:17" ht="5.45" customHeight="1" x14ac:dyDescent="0.15">
      <c r="B5" s="69"/>
      <c r="L5" s="70"/>
      <c r="M5" s="69"/>
      <c r="Q5" s="70"/>
    </row>
    <row r="6" spans="2:17" ht="15.4" customHeight="1" x14ac:dyDescent="0.15">
      <c r="B6" s="69"/>
      <c r="L6" s="70"/>
      <c r="M6" s="69"/>
      <c r="N6" s="161" t="s">
        <v>1</v>
      </c>
      <c r="P6" s="157">
        <v>950</v>
      </c>
      <c r="Q6" s="70"/>
    </row>
    <row r="7" spans="2:17" ht="5.45" customHeight="1" x14ac:dyDescent="0.15">
      <c r="B7" s="69"/>
      <c r="L7" s="70"/>
      <c r="M7" s="69"/>
      <c r="N7" s="161"/>
      <c r="P7" s="158"/>
      <c r="Q7" s="70"/>
    </row>
    <row r="8" spans="2:17" ht="15.4" customHeight="1" x14ac:dyDescent="0.15">
      <c r="B8" s="69"/>
      <c r="C8" s="159">
        <v>14.46</v>
      </c>
      <c r="D8" s="159"/>
      <c r="H8" s="185">
        <f>DATA!E6</f>
        <v>11.88</v>
      </c>
      <c r="J8" s="164">
        <v>14.46</v>
      </c>
      <c r="K8" s="165"/>
      <c r="L8" s="70"/>
      <c r="M8" s="69"/>
      <c r="N8" s="161" t="s">
        <v>2</v>
      </c>
      <c r="P8" s="157">
        <v>200</v>
      </c>
      <c r="Q8" s="70"/>
    </row>
    <row r="9" spans="2:17" ht="5.45" customHeight="1" x14ac:dyDescent="0.15">
      <c r="B9" s="69"/>
      <c r="C9" s="159"/>
      <c r="D9" s="159"/>
      <c r="H9" s="185"/>
      <c r="J9" s="166"/>
      <c r="K9" s="167"/>
      <c r="L9" s="70"/>
      <c r="M9" s="69"/>
      <c r="N9" s="161"/>
      <c r="P9" s="158"/>
      <c r="Q9" s="70"/>
    </row>
    <row r="10" spans="2:17" ht="15.4" customHeight="1" x14ac:dyDescent="0.15">
      <c r="B10" s="69"/>
      <c r="H10" s="73"/>
      <c r="L10" s="70"/>
      <c r="M10" s="69"/>
      <c r="N10" s="161" t="s">
        <v>3</v>
      </c>
      <c r="P10" s="157">
        <v>300</v>
      </c>
      <c r="Q10" s="70"/>
    </row>
    <row r="11" spans="2:17" ht="5.45" customHeight="1" x14ac:dyDescent="0.15">
      <c r="B11" s="69"/>
      <c r="H11" s="73"/>
      <c r="L11" s="70"/>
      <c r="M11" s="69"/>
      <c r="N11" s="161"/>
      <c r="P11" s="158"/>
      <c r="Q11" s="70"/>
    </row>
    <row r="12" spans="2:17" ht="15.4" customHeight="1" x14ac:dyDescent="0.15">
      <c r="B12" s="69"/>
      <c r="C12" s="159">
        <v>14.53</v>
      </c>
      <c r="D12" s="159"/>
      <c r="H12" s="185">
        <f>DATA!E7</f>
        <v>1.2</v>
      </c>
      <c r="J12" s="159">
        <v>14.53</v>
      </c>
      <c r="K12" s="159"/>
      <c r="L12" s="70"/>
      <c r="M12" s="69"/>
      <c r="N12" s="161" t="s">
        <v>4</v>
      </c>
      <c r="P12" s="157">
        <v>500</v>
      </c>
      <c r="Q12" s="70"/>
    </row>
    <row r="13" spans="2:17" ht="5.45" customHeight="1" x14ac:dyDescent="0.15">
      <c r="B13" s="69"/>
      <c r="C13" s="159"/>
      <c r="D13" s="159"/>
      <c r="H13" s="185"/>
      <c r="J13" s="159"/>
      <c r="K13" s="159"/>
      <c r="L13" s="70"/>
      <c r="M13" s="69"/>
      <c r="N13" s="161"/>
      <c r="P13" s="158"/>
      <c r="Q13" s="70"/>
    </row>
    <row r="14" spans="2:17" ht="15.4" customHeight="1" x14ac:dyDescent="0.15">
      <c r="B14" s="69"/>
      <c r="H14" s="73"/>
      <c r="L14" s="70"/>
      <c r="M14" s="69"/>
      <c r="N14" s="161" t="s">
        <v>5</v>
      </c>
      <c r="P14" s="157"/>
      <c r="Q14" s="70"/>
    </row>
    <row r="15" spans="2:17" ht="5.45" customHeight="1" x14ac:dyDescent="0.15">
      <c r="B15" s="69"/>
      <c r="H15" s="73"/>
      <c r="L15" s="70"/>
      <c r="M15" s="69"/>
      <c r="N15" s="161"/>
      <c r="P15" s="158"/>
      <c r="Q15" s="70"/>
    </row>
    <row r="16" spans="2:17" ht="15.4" customHeight="1" x14ac:dyDescent="0.15">
      <c r="B16" s="69"/>
      <c r="C16" s="159">
        <v>14.49</v>
      </c>
      <c r="D16" s="159"/>
      <c r="H16" s="185">
        <f>DATA!E8</f>
        <v>12.76</v>
      </c>
      <c r="J16" s="159">
        <v>14.49</v>
      </c>
      <c r="K16" s="159"/>
      <c r="L16" s="70"/>
      <c r="M16" s="177"/>
      <c r="N16" s="161" t="s">
        <v>6</v>
      </c>
      <c r="O16" s="163"/>
      <c r="P16" s="160">
        <v>600</v>
      </c>
      <c r="Q16" s="175"/>
    </row>
    <row r="17" spans="2:22" ht="5.45" customHeight="1" x14ac:dyDescent="0.15">
      <c r="B17" s="69"/>
      <c r="C17" s="159"/>
      <c r="D17" s="159"/>
      <c r="H17" s="185"/>
      <c r="J17" s="159"/>
      <c r="K17" s="159"/>
      <c r="L17" s="70"/>
      <c r="M17" s="178"/>
      <c r="N17" s="162"/>
      <c r="O17" s="163"/>
      <c r="P17" s="160"/>
      <c r="Q17" s="176"/>
    </row>
    <row r="18" spans="2:22" ht="15.4" customHeight="1" x14ac:dyDescent="0.15">
      <c r="B18" s="69"/>
      <c r="L18" s="70"/>
      <c r="M18" s="69"/>
      <c r="N18" s="180" t="s">
        <v>7</v>
      </c>
      <c r="P18" s="169">
        <f>(C8+J8)/2-B24*DATA!E6/(DATA!E5-DATA!E6-DATA!E8)-DATA!E4</f>
        <v>14.436225629791895</v>
      </c>
      <c r="Q18" s="70"/>
    </row>
    <row r="19" spans="2:22" ht="5.45" customHeight="1" x14ac:dyDescent="0.15">
      <c r="B19" s="69"/>
      <c r="L19" s="70"/>
      <c r="M19" s="69"/>
      <c r="N19" s="181"/>
      <c r="P19" s="170"/>
      <c r="Q19" s="70"/>
    </row>
    <row r="20" spans="2:22" ht="20.65" customHeight="1" x14ac:dyDescent="0.15">
      <c r="B20" s="69"/>
      <c r="L20" s="70"/>
      <c r="M20" s="69"/>
      <c r="N20" s="65" t="s">
        <v>8</v>
      </c>
      <c r="P20" s="72">
        <f>(C12+J12)/2-B24*DATA!E7/(DATA!E5-DATA!E6-DATA!E8)-DATA!E4</f>
        <v>14.507820770686049</v>
      </c>
      <c r="Q20" s="70"/>
    </row>
    <row r="21" spans="2:22" ht="20.65" customHeight="1" x14ac:dyDescent="0.15">
      <c r="B21" s="69"/>
      <c r="F21" s="159">
        <v>1.0209999999999999</v>
      </c>
      <c r="G21" s="159"/>
      <c r="H21" s="159"/>
      <c r="L21" s="70"/>
      <c r="M21" s="69"/>
      <c r="N21" s="65" t="s">
        <v>9</v>
      </c>
      <c r="P21" s="72">
        <f>(C16+J16)/2+B24*DATA!E8/(DATA!E5-DATA!E6-DATA!E8)-DATA!E4</f>
        <v>14.469905805038335</v>
      </c>
      <c r="Q21" s="70"/>
    </row>
    <row r="22" spans="2:22" ht="20.65" customHeight="1" x14ac:dyDescent="0.15">
      <c r="B22" s="69"/>
      <c r="E22" s="168">
        <f>ABS(DEGREES(SIN((C12-J12)/DATA!E3)))</f>
        <v>0</v>
      </c>
      <c r="F22" s="168"/>
      <c r="G22" s="161" t="str">
        <f>IF(DEGREES(SIN((C12-J12)/DATA!E3))&lt;0,"deg list to starboad",IF(DEGREES(SIN((C12-J12)/DATA!E3))&gt;0,"deg list to port",""))</f>
        <v/>
      </c>
      <c r="H22" s="161"/>
      <c r="I22" s="161"/>
      <c r="J22" s="161"/>
      <c r="K22" s="161"/>
      <c r="L22" s="70"/>
      <c r="M22" s="69"/>
      <c r="N22" s="65" t="s">
        <v>10</v>
      </c>
      <c r="P22" s="72">
        <f>(P18+6*P20+P21)/8</f>
        <v>14.494132007368314</v>
      </c>
      <c r="Q22" s="70"/>
      <c r="S22" s="73" t="s">
        <v>11</v>
      </c>
      <c r="T22" s="73" t="s">
        <v>12</v>
      </c>
      <c r="U22" s="73" t="s">
        <v>13</v>
      </c>
      <c r="V22" s="73" t="s">
        <v>14</v>
      </c>
    </row>
    <row r="23" spans="2:22" ht="20.65" customHeight="1" x14ac:dyDescent="0.15">
      <c r="B23" s="69"/>
      <c r="D23" s="74"/>
      <c r="E23" s="168">
        <f>ABS(P21-P18)</f>
        <v>3.3680175246439958E-2</v>
      </c>
      <c r="F23" s="168"/>
      <c r="G23" s="161" t="str">
        <f>IF((P21-P18)&gt;0,"m by the stern",IF((P21-P18)=0,"m even keel","m by the head"))</f>
        <v>m by the stern</v>
      </c>
      <c r="H23" s="161"/>
      <c r="I23" s="161"/>
      <c r="J23" s="161"/>
      <c r="L23" s="70"/>
      <c r="M23" s="69"/>
      <c r="N23" s="65" t="s">
        <v>15</v>
      </c>
      <c r="P23" s="72">
        <f ca="1">TREND(OFFSET(HYDROS!A1,MATCH(P22,HYDROS!A2:A500),1,2),OFFSET(HYDROS!A1,MATCH(P22,HYDROS!A2:A500),,2),P22)</f>
        <v>95112.60302086029</v>
      </c>
      <c r="Q23" s="70"/>
      <c r="S23" s="73">
        <f ca="1">TREND(OFFSET(HYDROS!A1,MATCH(P22,HYDROS!A2:A500),1,2),OFFSET(HYDROS!A1,MATCH(P22,HYDROS!A2:A500),,2),P22)</f>
        <v>95112.60302086029</v>
      </c>
      <c r="T23" s="73">
        <f ca="1">TREND(OFFSET(HYDROS!A1,MATCH(P22,HYDROS!A2:A500),5,2),OFFSET(HYDROS!A1,MATCH(P22,HYDROS!A2:A500),,2),P22)</f>
        <v>107.93493887882106</v>
      </c>
      <c r="U23" s="73">
        <f ca="1">TREND(OFFSET(HYDROS!A1,MATCH(P22,HYDROS!A2:A500),2,2),OFFSET(HYDROS!A1,MATCH(P22,HYDROS!A2:A500),,2),P22)</f>
        <v>71.7</v>
      </c>
      <c r="V23" s="73">
        <f>LOOKUP(,0/FREQUENCY(0,((P22+0.5)-HYDROS!A2:A500)^2),HYDROS!D2:D500)-LOOKUP(,0/FREQUENCY(0,((P22-0.5)-HYDROS!A2:A500)^2),HYDROS!D2:D500)</f>
        <v>8.1000000000001364</v>
      </c>
    </row>
    <row r="24" spans="2:22" ht="20.65" customHeight="1" x14ac:dyDescent="0.15">
      <c r="B24" s="75">
        <f>((C16+J16)-(C8+J8))/2</f>
        <v>2.9999999999999361E-2</v>
      </c>
      <c r="E24" s="171">
        <f>ABS(((P18+P21)/2-P20)*100)</f>
        <v>5.475505327093444</v>
      </c>
      <c r="F24" s="171"/>
      <c r="G24" s="162" t="str">
        <f>IF(((P18+P21)/2-P20)&gt;0,"cms HOG","cms SAG")</f>
        <v>cms SAG</v>
      </c>
      <c r="H24" s="162"/>
      <c r="I24" s="162"/>
      <c r="L24" s="70"/>
      <c r="M24" s="69"/>
      <c r="N24" s="65" t="s">
        <v>16</v>
      </c>
      <c r="P24" s="72">
        <f ca="1">(DATA!E5/2-T23)*(P21-P18)*U23*100/(DATA!E5)</f>
        <v>5.1564256057232898</v>
      </c>
      <c r="Q24" s="70"/>
      <c r="U24" s="76"/>
    </row>
    <row r="25" spans="2:22" ht="8.4499999999999993" customHeight="1" x14ac:dyDescent="0.15">
      <c r="B25" s="66"/>
      <c r="C25" s="67"/>
      <c r="D25" s="67"/>
      <c r="E25" s="67"/>
      <c r="F25" s="67"/>
      <c r="G25" s="67"/>
      <c r="H25" s="67"/>
      <c r="I25" s="67"/>
      <c r="J25" s="67"/>
      <c r="K25" s="67"/>
      <c r="L25" s="68"/>
      <c r="M25" s="69"/>
      <c r="N25" s="161" t="s">
        <v>17</v>
      </c>
      <c r="P25" s="170">
        <f>50*(P21-P18)*(P21-P18)*V23/(DATA!E5)</f>
        <v>2.0373102123083151E-3</v>
      </c>
      <c r="Q25" s="70"/>
    </row>
    <row r="26" spans="2:22" ht="19.7" customHeight="1" x14ac:dyDescent="0.15">
      <c r="B26" s="69"/>
      <c r="L26" s="70"/>
      <c r="M26" s="69"/>
      <c r="N26" s="161"/>
      <c r="P26" s="170"/>
      <c r="Q26" s="70"/>
    </row>
    <row r="27" spans="2:22" ht="20.65" customHeight="1" x14ac:dyDescent="0.15">
      <c r="B27" s="77"/>
      <c r="C27" s="78"/>
      <c r="D27" s="78"/>
      <c r="E27" s="78"/>
      <c r="F27" s="78"/>
      <c r="G27" s="78"/>
      <c r="H27" s="78"/>
      <c r="I27" s="78"/>
      <c r="J27" s="78"/>
      <c r="K27" s="78"/>
      <c r="L27" s="79"/>
      <c r="M27" s="77"/>
      <c r="N27" s="78" t="s">
        <v>18</v>
      </c>
      <c r="O27" s="78"/>
      <c r="P27" s="80">
        <f ca="1">F21*(P23+P24+P25)/1.025</f>
        <v>94746.570219449291</v>
      </c>
      <c r="Q27" s="79"/>
    </row>
    <row r="28" spans="2:22" ht="20.65" customHeight="1" x14ac:dyDescent="0.15"/>
    <row r="29" spans="2:22" ht="20.65" customHeight="1" thickBot="1" x14ac:dyDescent="0.2">
      <c r="H29" s="65" t="s">
        <v>19</v>
      </c>
      <c r="K29" s="173">
        <f ca="1">P27-SUM(P6:P17)-DATA!B2</f>
        <v>78501.370219449294</v>
      </c>
      <c r="L29" s="174"/>
      <c r="M29" s="174"/>
      <c r="N29" s="174"/>
      <c r="T29" s="91"/>
      <c r="U29" s="90"/>
    </row>
    <row r="30" spans="2:22" ht="20.65" customHeight="1" thickBot="1" x14ac:dyDescent="0.2">
      <c r="U30" s="90"/>
    </row>
    <row r="31" spans="2:22" ht="20.65" customHeight="1" thickTop="1" thickBot="1" x14ac:dyDescent="0.2">
      <c r="B31" s="81"/>
      <c r="C31" s="154" t="s">
        <v>20</v>
      </c>
      <c r="D31" s="154"/>
      <c r="E31" s="154"/>
      <c r="F31" s="154"/>
      <c r="G31" s="154"/>
      <c r="H31" s="172">
        <v>79529</v>
      </c>
      <c r="I31" s="172"/>
      <c r="J31" s="172"/>
      <c r="K31" s="172"/>
      <c r="L31" s="82"/>
      <c r="M31" s="83"/>
      <c r="N31" s="84" t="s">
        <v>21</v>
      </c>
      <c r="O31" s="179">
        <f ca="1">K29-H31</f>
        <v>-1027.6297805507056</v>
      </c>
      <c r="P31" s="179"/>
      <c r="Q31" s="85"/>
      <c r="T31" s="91" t="s">
        <v>22</v>
      </c>
      <c r="U31" s="90" t="s">
        <v>23</v>
      </c>
    </row>
    <row r="32" spans="2:22" ht="20.65" customHeight="1" thickBot="1" x14ac:dyDescent="0.2">
      <c r="B32" s="86"/>
      <c r="C32" s="87"/>
      <c r="D32" s="87"/>
      <c r="E32" s="87"/>
      <c r="F32" s="87"/>
      <c r="G32" s="87"/>
      <c r="H32" s="87"/>
      <c r="I32" s="87"/>
      <c r="J32" s="87"/>
      <c r="K32" s="87"/>
      <c r="L32" s="88"/>
      <c r="M32" s="87"/>
      <c r="N32" s="87"/>
      <c r="O32" s="87"/>
      <c r="P32" s="87"/>
      <c r="Q32" s="89"/>
      <c r="U32" s="90" t="s">
        <v>24</v>
      </c>
    </row>
    <row r="33" ht="15" customHeight="1" thickTop="1" x14ac:dyDescent="0.15"/>
  </sheetData>
  <sheetProtection algorithmName="SHA-512" hashValue="llsL7s1q4QCJ6jBAqJcvvr16J+GIxTJrJ550TEe+Dgizp34W8SdE6KE9TCavuHbE2PCWqdJnDdyHS/ZzD3u/lg==" saltValue="LGRmWnPXLpmdQVyairMk7Q==" spinCount="100000" sheet="1" objects="1" scenarios="1" selectLockedCells="1"/>
  <mergeCells count="40">
    <mergeCell ref="P10:P11"/>
    <mergeCell ref="E2:H4"/>
    <mergeCell ref="P6:P7"/>
    <mergeCell ref="C8:D9"/>
    <mergeCell ref="J8:K9"/>
    <mergeCell ref="P8:P9"/>
    <mergeCell ref="N6:N7"/>
    <mergeCell ref="N8:N9"/>
    <mergeCell ref="N10:N11"/>
    <mergeCell ref="H8:H9"/>
    <mergeCell ref="C12:D13"/>
    <mergeCell ref="J12:K13"/>
    <mergeCell ref="P12:P13"/>
    <mergeCell ref="P14:P15"/>
    <mergeCell ref="C16:D17"/>
    <mergeCell ref="J16:K17"/>
    <mergeCell ref="M16:M17"/>
    <mergeCell ref="N16:N17"/>
    <mergeCell ref="O16:O17"/>
    <mergeCell ref="P16:P17"/>
    <mergeCell ref="N12:N13"/>
    <mergeCell ref="N14:N15"/>
    <mergeCell ref="H12:H13"/>
    <mergeCell ref="H16:H17"/>
    <mergeCell ref="C31:G31"/>
    <mergeCell ref="H31:K31"/>
    <mergeCell ref="O31:P31"/>
    <mergeCell ref="Q16:Q17"/>
    <mergeCell ref="P18:P19"/>
    <mergeCell ref="F21:H21"/>
    <mergeCell ref="E22:F22"/>
    <mergeCell ref="G22:K22"/>
    <mergeCell ref="E23:F23"/>
    <mergeCell ref="G23:J23"/>
    <mergeCell ref="E24:F24"/>
    <mergeCell ref="G24:I24"/>
    <mergeCell ref="N25:N26"/>
    <mergeCell ref="P25:P26"/>
    <mergeCell ref="K29:N29"/>
    <mergeCell ref="N18:N19"/>
  </mergeCells>
  <phoneticPr fontId="1" type="noConversion"/>
  <conditionalFormatting sqref="P6:P17">
    <cfRule type="containsBlanks" dxfId="3" priority="4">
      <formula>LEN(TRIM(P6))=0</formula>
    </cfRule>
  </conditionalFormatting>
  <conditionalFormatting sqref="E22:F22">
    <cfRule type="cellIs" dxfId="2" priority="3" operator="equal">
      <formula>0</formula>
    </cfRule>
  </conditionalFormatting>
  <conditionalFormatting sqref="H31:K31">
    <cfRule type="containsBlanks" dxfId="1" priority="2">
      <formula>LEN(TRIM(H31))=0</formula>
    </cfRule>
  </conditionalFormatting>
  <conditionalFormatting sqref="C8:D9 C12:D13 C16:D17 F21:H21 J16:K17 J12:K13 J8:K9">
    <cfRule type="containsBlanks" dxfId="0" priority="1">
      <formula>LEN(TRIM(C8))=0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9699" r:id="rId4" name="Label3">
          <controlPr defaultSize="0" autoLine="0" r:id="rId5">
            <anchor moveWithCells="1">
              <from>
                <xdr:col>7</xdr:col>
                <xdr:colOff>342900</xdr:colOff>
                <xdr:row>15</xdr:row>
                <xdr:rowOff>0</xdr:rowOff>
              </from>
              <to>
                <xdr:col>8</xdr:col>
                <xdr:colOff>57150</xdr:colOff>
                <xdr:row>15</xdr:row>
                <xdr:rowOff>180975</xdr:rowOff>
              </to>
            </anchor>
          </controlPr>
        </control>
      </mc:Choice>
      <mc:Fallback>
        <control shapeId="29699" r:id="rId4" name="Label3"/>
      </mc:Fallback>
    </mc:AlternateContent>
    <mc:AlternateContent xmlns:mc="http://schemas.openxmlformats.org/markup-compatibility/2006">
      <mc:Choice Requires="x14">
        <control shapeId="29698" r:id="rId6" name="Label2">
          <controlPr defaultSize="0" autoLine="0" r:id="rId7">
            <anchor moveWithCells="1">
              <from>
                <xdr:col>7</xdr:col>
                <xdr:colOff>342900</xdr:colOff>
                <xdr:row>11</xdr:row>
                <xdr:rowOff>9525</xdr:rowOff>
              </from>
              <to>
                <xdr:col>8</xdr:col>
                <xdr:colOff>57150</xdr:colOff>
                <xdr:row>12</xdr:row>
                <xdr:rowOff>9525</xdr:rowOff>
              </to>
            </anchor>
          </controlPr>
        </control>
      </mc:Choice>
      <mc:Fallback>
        <control shapeId="29698" r:id="rId6" name="Label2"/>
      </mc:Fallback>
    </mc:AlternateContent>
    <mc:AlternateContent xmlns:mc="http://schemas.openxmlformats.org/markup-compatibility/2006">
      <mc:Choice Requires="x14">
        <control shapeId="29697" r:id="rId8" name="Label1">
          <controlPr defaultSize="0" autoLine="0" r:id="rId9">
            <anchor moveWithCells="1">
              <from>
                <xdr:col>7</xdr:col>
                <xdr:colOff>342900</xdr:colOff>
                <xdr:row>7</xdr:row>
                <xdr:rowOff>9525</xdr:rowOff>
              </from>
              <to>
                <xdr:col>8</xdr:col>
                <xdr:colOff>57150</xdr:colOff>
                <xdr:row>8</xdr:row>
                <xdr:rowOff>9525</xdr:rowOff>
              </to>
            </anchor>
          </controlPr>
        </control>
      </mc:Choice>
      <mc:Fallback>
        <control shapeId="29697" r:id="rId8" name="Label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1" tint="0.34998626667073579"/>
  </sheetPr>
  <dimension ref="A1:J8"/>
  <sheetViews>
    <sheetView showGridLines="0" showRowColHeaders="0" workbookViewId="0">
      <selection activeCell="B8" sqref="B8"/>
    </sheetView>
  </sheetViews>
  <sheetFormatPr defaultColWidth="9" defaultRowHeight="23.1" customHeight="1" x14ac:dyDescent="0.15"/>
  <cols>
    <col min="1" max="1" width="11.625" style="97" bestFit="1" customWidth="1"/>
    <col min="2" max="5" width="11.875" style="97" customWidth="1"/>
    <col min="6" max="6" width="5.375" style="97" customWidth="1"/>
    <col min="7" max="16384" width="9" style="97"/>
  </cols>
  <sheetData>
    <row r="1" spans="1:10" ht="23.1" customHeight="1" x14ac:dyDescent="0.15">
      <c r="A1" s="95"/>
      <c r="B1" s="96" t="s">
        <v>28</v>
      </c>
      <c r="C1" s="96" t="s">
        <v>29</v>
      </c>
      <c r="D1" s="96" t="s">
        <v>30</v>
      </c>
      <c r="E1" s="96" t="s">
        <v>31</v>
      </c>
    </row>
    <row r="2" spans="1:10" ht="23.1" customHeight="1" x14ac:dyDescent="0.15">
      <c r="A2" s="98" t="s">
        <v>32</v>
      </c>
      <c r="B2" s="99">
        <v>13695.2</v>
      </c>
      <c r="C2" s="99">
        <f>$B$2</f>
        <v>13695.2</v>
      </c>
      <c r="D2" s="99">
        <f>$B$2</f>
        <v>13695.2</v>
      </c>
      <c r="E2" s="99">
        <f>$B$2</f>
        <v>13695.2</v>
      </c>
    </row>
    <row r="3" spans="1:10" ht="23.1" customHeight="1" x14ac:dyDescent="0.15">
      <c r="A3" s="100" t="s">
        <v>33</v>
      </c>
      <c r="B3" s="101">
        <v>32.26</v>
      </c>
      <c r="C3" s="101">
        <f>$B$3</f>
        <v>32.26</v>
      </c>
      <c r="D3" s="101">
        <f>$B$3</f>
        <v>32.26</v>
      </c>
      <c r="E3" s="101">
        <f>$B$3</f>
        <v>32.26</v>
      </c>
    </row>
    <row r="4" spans="1:10" ht="23.1" customHeight="1" x14ac:dyDescent="0.15">
      <c r="A4" s="100" t="s">
        <v>34</v>
      </c>
      <c r="B4" s="146">
        <v>2.1999999999999999E-2</v>
      </c>
      <c r="C4" s="146">
        <f>$B$4</f>
        <v>2.1999999999999999E-2</v>
      </c>
      <c r="D4" s="146">
        <f>$B$4</f>
        <v>2.1999999999999999E-2</v>
      </c>
      <c r="E4" s="146">
        <f>$B$4</f>
        <v>2.1999999999999999E-2</v>
      </c>
    </row>
    <row r="5" spans="1:10" ht="23.1" customHeight="1" x14ac:dyDescent="0.15">
      <c r="A5" s="98" t="s">
        <v>35</v>
      </c>
      <c r="B5" s="99">
        <v>225.5</v>
      </c>
      <c r="C5" s="99">
        <v>225.5</v>
      </c>
      <c r="D5" s="99">
        <v>225.5</v>
      </c>
      <c r="E5" s="99">
        <v>225.5</v>
      </c>
    </row>
    <row r="6" spans="1:10" ht="23.1" customHeight="1" x14ac:dyDescent="0.15">
      <c r="A6" s="100" t="s">
        <v>36</v>
      </c>
      <c r="B6" s="101">
        <v>11.88</v>
      </c>
      <c r="C6" s="101">
        <v>11.88</v>
      </c>
      <c r="D6" s="101">
        <v>11.88</v>
      </c>
      <c r="E6" s="101">
        <v>11.88</v>
      </c>
      <c r="I6" s="102" t="s">
        <v>22</v>
      </c>
      <c r="J6" s="97" t="s">
        <v>37</v>
      </c>
    </row>
    <row r="7" spans="1:10" ht="23.1" customHeight="1" x14ac:dyDescent="0.15">
      <c r="A7" s="98" t="s">
        <v>38</v>
      </c>
      <c r="B7" s="99">
        <v>1.2</v>
      </c>
      <c r="C7" s="99">
        <v>1.2</v>
      </c>
      <c r="D7" s="99">
        <v>1.2</v>
      </c>
      <c r="E7" s="99">
        <v>1.2</v>
      </c>
      <c r="J7" s="97" t="s">
        <v>39</v>
      </c>
    </row>
    <row r="8" spans="1:10" ht="23.1" customHeight="1" x14ac:dyDescent="0.15">
      <c r="A8" s="100" t="s">
        <v>40</v>
      </c>
      <c r="B8" s="101">
        <v>12.76</v>
      </c>
      <c r="C8" s="101">
        <v>-1.5920000000000001</v>
      </c>
      <c r="D8" s="101">
        <v>-1.5920000000000001</v>
      </c>
      <c r="E8" s="101">
        <v>12.76</v>
      </c>
      <c r="J8" s="97" t="s">
        <v>41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 tint="0.34998626667073579"/>
  </sheetPr>
  <dimension ref="A1:K881"/>
  <sheetViews>
    <sheetView showGridLines="0" showRowColHeaders="0" workbookViewId="0">
      <pane ySplit="1" topLeftCell="A251" activePane="bottomLeft" state="frozen"/>
      <selection activeCell="P6" sqref="P6:P7"/>
      <selection pane="bottomLeft" activeCell="K264" sqref="K264"/>
    </sheetView>
  </sheetViews>
  <sheetFormatPr defaultColWidth="9" defaultRowHeight="14.25" x14ac:dyDescent="0.2"/>
  <cols>
    <col min="1" max="1" width="9" style="3"/>
    <col min="2" max="2" width="12.625" style="2" customWidth="1"/>
    <col min="3" max="6" width="9" style="2"/>
    <col min="7" max="7" width="3.375" style="1" customWidth="1"/>
    <col min="8" max="9" width="9" style="1"/>
    <col min="10" max="10" width="18.625" style="1" bestFit="1" customWidth="1"/>
    <col min="11" max="16384" width="9" style="1"/>
  </cols>
  <sheetData>
    <row r="1" spans="1:11" ht="24" customHeight="1" x14ac:dyDescent="0.2">
      <c r="A1" s="92" t="s">
        <v>42</v>
      </c>
      <c r="B1" s="93" t="s">
        <v>43</v>
      </c>
      <c r="C1" s="93" t="s">
        <v>44</v>
      </c>
      <c r="D1" s="93" t="s">
        <v>45</v>
      </c>
      <c r="E1" s="93" t="s">
        <v>46</v>
      </c>
      <c r="F1" s="93" t="s">
        <v>47</v>
      </c>
      <c r="J1" s="103" t="s">
        <v>22</v>
      </c>
      <c r="K1" s="1" t="s">
        <v>48</v>
      </c>
    </row>
    <row r="2" spans="1:11" x14ac:dyDescent="0.2">
      <c r="A2" s="147">
        <v>1</v>
      </c>
      <c r="B2" s="104">
        <v>5512</v>
      </c>
      <c r="C2" s="104">
        <v>57.3</v>
      </c>
      <c r="D2" s="104">
        <v>686.5</v>
      </c>
      <c r="F2" s="104">
        <v>120.34399999999999</v>
      </c>
    </row>
    <row r="3" spans="1:11" x14ac:dyDescent="0.2">
      <c r="A3" s="147">
        <v>1.05</v>
      </c>
      <c r="B3" s="104">
        <v>5798.8</v>
      </c>
      <c r="C3" s="104">
        <v>57.5</v>
      </c>
      <c r="D3" s="104">
        <v>691.2</v>
      </c>
      <c r="F3" s="104">
        <v>120.301</v>
      </c>
    </row>
    <row r="4" spans="1:11" x14ac:dyDescent="0.2">
      <c r="A4" s="147">
        <v>1.1000000000000001</v>
      </c>
      <c r="B4" s="104">
        <v>6086.6</v>
      </c>
      <c r="C4" s="104">
        <v>57.6</v>
      </c>
      <c r="D4" s="104">
        <v>695.8</v>
      </c>
      <c r="F4" s="104">
        <v>120.259</v>
      </c>
    </row>
    <row r="5" spans="1:11" x14ac:dyDescent="0.2">
      <c r="A5" s="147">
        <v>1.1499999999999999</v>
      </c>
      <c r="B5" s="104">
        <v>6375.3</v>
      </c>
      <c r="C5" s="104">
        <v>57.8</v>
      </c>
      <c r="D5" s="104">
        <v>700.2</v>
      </c>
      <c r="F5" s="104">
        <v>120.21899999999999</v>
      </c>
    </row>
    <row r="6" spans="1:11" x14ac:dyDescent="0.2">
      <c r="A6" s="147">
        <v>1.2</v>
      </c>
      <c r="B6" s="104">
        <v>6664.9</v>
      </c>
      <c r="C6" s="104">
        <v>58</v>
      </c>
      <c r="D6" s="104">
        <v>704.5</v>
      </c>
      <c r="F6" s="104">
        <v>120.18</v>
      </c>
    </row>
    <row r="7" spans="1:11" x14ac:dyDescent="0.2">
      <c r="A7" s="147">
        <v>1.25</v>
      </c>
      <c r="B7" s="104">
        <v>6955.4</v>
      </c>
      <c r="C7" s="104">
        <v>58.2</v>
      </c>
      <c r="D7" s="104">
        <v>708.8</v>
      </c>
      <c r="F7" s="104">
        <v>120.14</v>
      </c>
    </row>
    <row r="8" spans="1:11" x14ac:dyDescent="0.2">
      <c r="A8" s="147">
        <v>1.3</v>
      </c>
      <c r="B8" s="104">
        <v>7246.7</v>
      </c>
      <c r="C8" s="104">
        <v>58.3</v>
      </c>
      <c r="D8" s="104">
        <v>712.9</v>
      </c>
      <c r="F8" s="104">
        <v>120.1</v>
      </c>
    </row>
    <row r="9" spans="1:11" x14ac:dyDescent="0.2">
      <c r="A9" s="147">
        <v>1.35</v>
      </c>
      <c r="B9" s="104">
        <v>7538.8</v>
      </c>
      <c r="C9" s="104">
        <v>58.5</v>
      </c>
      <c r="D9" s="104">
        <v>716.8</v>
      </c>
      <c r="F9" s="104">
        <v>120.062</v>
      </c>
    </row>
    <row r="10" spans="1:11" x14ac:dyDescent="0.2">
      <c r="A10" s="147">
        <v>1.4</v>
      </c>
      <c r="B10" s="104">
        <v>7831.6</v>
      </c>
      <c r="C10" s="104">
        <v>58.6</v>
      </c>
      <c r="D10" s="104">
        <v>720.8</v>
      </c>
      <c r="F10" s="104">
        <v>120.032</v>
      </c>
    </row>
    <row r="11" spans="1:11" x14ac:dyDescent="0.2">
      <c r="A11" s="147">
        <v>1.45</v>
      </c>
      <c r="B11" s="104">
        <v>8125.1</v>
      </c>
      <c r="C11" s="104">
        <v>58.8</v>
      </c>
      <c r="D11" s="104">
        <v>724.7</v>
      </c>
      <c r="F11" s="104">
        <v>120.001</v>
      </c>
    </row>
    <row r="12" spans="1:11" x14ac:dyDescent="0.2">
      <c r="A12" s="147">
        <v>1.5</v>
      </c>
      <c r="B12" s="104">
        <v>8419.2000000000007</v>
      </c>
      <c r="C12" s="104">
        <v>58.9</v>
      </c>
      <c r="D12" s="104">
        <v>728.4</v>
      </c>
      <c r="F12" s="104">
        <v>119.96899999999999</v>
      </c>
    </row>
    <row r="13" spans="1:11" x14ac:dyDescent="0.2">
      <c r="A13" s="147">
        <v>1.55</v>
      </c>
      <c r="B13" s="104">
        <v>8714.1</v>
      </c>
      <c r="C13" s="104">
        <v>59</v>
      </c>
      <c r="D13" s="104">
        <v>732</v>
      </c>
      <c r="F13" s="104">
        <v>119.937</v>
      </c>
    </row>
    <row r="14" spans="1:11" x14ac:dyDescent="0.2">
      <c r="A14" s="147">
        <v>1.6</v>
      </c>
      <c r="B14" s="104">
        <v>9009.5</v>
      </c>
      <c r="C14" s="104">
        <v>59.2</v>
      </c>
      <c r="D14" s="104">
        <v>735.5</v>
      </c>
      <c r="F14" s="104">
        <v>119.90600000000001</v>
      </c>
    </row>
    <row r="15" spans="1:11" x14ac:dyDescent="0.2">
      <c r="A15" s="147">
        <v>1.65</v>
      </c>
      <c r="B15" s="104">
        <v>9305.5</v>
      </c>
      <c r="C15" s="104">
        <v>59.3</v>
      </c>
      <c r="D15" s="104">
        <v>738.9</v>
      </c>
      <c r="F15" s="104">
        <v>119.875</v>
      </c>
    </row>
    <row r="16" spans="1:11" x14ac:dyDescent="0.2">
      <c r="A16" s="147">
        <v>1.7</v>
      </c>
      <c r="B16" s="104">
        <v>9602.2000000000007</v>
      </c>
      <c r="C16" s="104">
        <v>59.4</v>
      </c>
      <c r="D16" s="104">
        <v>742.1</v>
      </c>
      <c r="F16" s="104">
        <v>119.842</v>
      </c>
    </row>
    <row r="17" spans="1:6" x14ac:dyDescent="0.2">
      <c r="A17" s="147">
        <v>1.75</v>
      </c>
      <c r="B17" s="104">
        <v>9899.2999999999993</v>
      </c>
      <c r="C17" s="104">
        <v>59.5</v>
      </c>
      <c r="D17" s="104">
        <v>745.3</v>
      </c>
      <c r="F17" s="104">
        <v>119.809</v>
      </c>
    </row>
    <row r="18" spans="1:6" x14ac:dyDescent="0.2">
      <c r="A18" s="147">
        <v>1.8</v>
      </c>
      <c r="B18" s="104">
        <v>10197</v>
      </c>
      <c r="C18" s="104">
        <v>59.6</v>
      </c>
      <c r="D18" s="104">
        <v>748.3</v>
      </c>
      <c r="F18" s="104">
        <v>119.777</v>
      </c>
    </row>
    <row r="19" spans="1:6" x14ac:dyDescent="0.2">
      <c r="A19" s="147">
        <v>1.85</v>
      </c>
      <c r="B19" s="104">
        <v>10495.2</v>
      </c>
      <c r="C19" s="104">
        <v>59.7</v>
      </c>
      <c r="D19" s="104">
        <v>751.3</v>
      </c>
      <c r="F19" s="104">
        <v>119.746</v>
      </c>
    </row>
    <row r="20" spans="1:6" x14ac:dyDescent="0.2">
      <c r="A20" s="147">
        <v>1.9</v>
      </c>
      <c r="B20" s="104">
        <v>10793.8</v>
      </c>
      <c r="C20" s="104">
        <v>59.8</v>
      </c>
      <c r="D20" s="104">
        <v>754.3</v>
      </c>
      <c r="F20" s="104">
        <v>119.71599999999999</v>
      </c>
    </row>
    <row r="21" spans="1:6" x14ac:dyDescent="0.2">
      <c r="A21" s="147">
        <v>1.95</v>
      </c>
      <c r="B21" s="104">
        <v>11092.9</v>
      </c>
      <c r="C21" s="104">
        <v>59.9</v>
      </c>
      <c r="D21" s="104">
        <v>757.3</v>
      </c>
      <c r="F21" s="104">
        <v>119.68300000000001</v>
      </c>
    </row>
    <row r="22" spans="1:6" x14ac:dyDescent="0.2">
      <c r="A22" s="147">
        <v>1.9999999999999998</v>
      </c>
      <c r="B22" s="104">
        <v>11392.4</v>
      </c>
      <c r="C22" s="104">
        <v>59.9</v>
      </c>
      <c r="D22" s="104">
        <v>760.3</v>
      </c>
      <c r="F22" s="104">
        <v>119.65600000000001</v>
      </c>
    </row>
    <row r="23" spans="1:6" x14ac:dyDescent="0.2">
      <c r="A23" s="147">
        <v>2.0500000000000003</v>
      </c>
      <c r="B23" s="104">
        <v>11692.3</v>
      </c>
      <c r="C23" s="104">
        <v>60</v>
      </c>
      <c r="D23" s="104">
        <v>763.2</v>
      </c>
      <c r="F23" s="104">
        <v>119.63</v>
      </c>
    </row>
    <row r="24" spans="1:6" x14ac:dyDescent="0.2">
      <c r="A24" s="147">
        <v>2.1</v>
      </c>
      <c r="B24" s="104">
        <v>11992.7</v>
      </c>
      <c r="C24" s="104">
        <v>60.1</v>
      </c>
      <c r="D24" s="104">
        <v>766</v>
      </c>
      <c r="F24" s="104">
        <v>119.604</v>
      </c>
    </row>
    <row r="25" spans="1:6" x14ac:dyDescent="0.2">
      <c r="A25" s="147">
        <v>2.1500000000000004</v>
      </c>
      <c r="B25" s="104">
        <v>12293.5</v>
      </c>
      <c r="C25" s="104">
        <v>60.2</v>
      </c>
      <c r="D25" s="104">
        <v>768.7</v>
      </c>
      <c r="F25" s="104">
        <v>119.577</v>
      </c>
    </row>
    <row r="26" spans="1:6" x14ac:dyDescent="0.2">
      <c r="A26" s="147">
        <v>2.2000000000000002</v>
      </c>
      <c r="B26" s="104">
        <v>12594.7</v>
      </c>
      <c r="C26" s="104">
        <v>60.3</v>
      </c>
      <c r="D26" s="104">
        <v>771.3</v>
      </c>
      <c r="F26" s="104">
        <v>119.551</v>
      </c>
    </row>
    <row r="27" spans="1:6" x14ac:dyDescent="0.2">
      <c r="A27" s="147">
        <v>2.25</v>
      </c>
      <c r="B27" s="104">
        <v>12896.3</v>
      </c>
      <c r="C27" s="104">
        <v>60.4</v>
      </c>
      <c r="D27" s="104">
        <v>774</v>
      </c>
      <c r="F27" s="104">
        <v>119.526</v>
      </c>
    </row>
    <row r="28" spans="1:6" x14ac:dyDescent="0.2">
      <c r="A28" s="147">
        <v>2.3000000000000003</v>
      </c>
      <c r="B28" s="104">
        <v>13198.3</v>
      </c>
      <c r="C28" s="104">
        <v>60.4</v>
      </c>
      <c r="D28" s="104">
        <v>776.5</v>
      </c>
      <c r="F28" s="104">
        <v>119.5</v>
      </c>
    </row>
    <row r="29" spans="1:6" x14ac:dyDescent="0.2">
      <c r="A29" s="147">
        <v>2.35</v>
      </c>
      <c r="B29" s="104">
        <v>13500.6</v>
      </c>
      <c r="C29" s="104">
        <v>60.5</v>
      </c>
      <c r="D29" s="104">
        <v>779</v>
      </c>
      <c r="F29" s="104">
        <v>119.47499999999999</v>
      </c>
    </row>
    <row r="30" spans="1:6" x14ac:dyDescent="0.2">
      <c r="A30" s="147">
        <v>2.4000000000000004</v>
      </c>
      <c r="B30" s="104">
        <v>13803.4</v>
      </c>
      <c r="C30" s="104">
        <v>60.6</v>
      </c>
      <c r="D30" s="104">
        <v>781.5</v>
      </c>
      <c r="F30" s="104">
        <v>119.45</v>
      </c>
    </row>
    <row r="31" spans="1:6" x14ac:dyDescent="0.2">
      <c r="A31" s="147">
        <v>2.4500000000000002</v>
      </c>
      <c r="B31" s="104">
        <v>14106.6</v>
      </c>
      <c r="C31" s="104">
        <v>60.7</v>
      </c>
      <c r="D31" s="104">
        <v>784</v>
      </c>
      <c r="F31" s="104">
        <v>119.426</v>
      </c>
    </row>
    <row r="32" spans="1:6" x14ac:dyDescent="0.2">
      <c r="A32" s="147">
        <v>2.5</v>
      </c>
      <c r="B32" s="104">
        <v>14410.1</v>
      </c>
      <c r="C32" s="104">
        <v>60.7</v>
      </c>
      <c r="D32" s="104">
        <v>786.3</v>
      </c>
      <c r="F32" s="104">
        <v>119.402</v>
      </c>
    </row>
    <row r="33" spans="1:6" x14ac:dyDescent="0.2">
      <c r="A33" s="147">
        <v>2.5500000000000003</v>
      </c>
      <c r="B33" s="104">
        <v>14713.9</v>
      </c>
      <c r="C33" s="104">
        <v>60.8</v>
      </c>
      <c r="D33" s="104">
        <v>788.7</v>
      </c>
      <c r="F33" s="104">
        <v>119.378</v>
      </c>
    </row>
    <row r="34" spans="1:6" x14ac:dyDescent="0.2">
      <c r="A34" s="147">
        <v>2.6</v>
      </c>
      <c r="B34" s="104">
        <v>15018.2</v>
      </c>
      <c r="C34" s="104">
        <v>60.9</v>
      </c>
      <c r="D34" s="104">
        <v>791</v>
      </c>
      <c r="F34" s="104">
        <v>119.354</v>
      </c>
    </row>
    <row r="35" spans="1:6" x14ac:dyDescent="0.2">
      <c r="A35" s="147">
        <v>2.6500000000000004</v>
      </c>
      <c r="B35" s="104">
        <v>15322.7</v>
      </c>
      <c r="C35" s="104">
        <v>60.9</v>
      </c>
      <c r="D35" s="104">
        <v>793.3</v>
      </c>
      <c r="F35" s="104">
        <v>119.331</v>
      </c>
    </row>
    <row r="36" spans="1:6" x14ac:dyDescent="0.2">
      <c r="A36" s="147">
        <v>2.7</v>
      </c>
      <c r="B36" s="104">
        <v>15627.7</v>
      </c>
      <c r="C36" s="104">
        <v>61</v>
      </c>
      <c r="D36" s="104">
        <v>795.5</v>
      </c>
      <c r="F36" s="104">
        <v>119.307</v>
      </c>
    </row>
    <row r="37" spans="1:6" x14ac:dyDescent="0.2">
      <c r="A37" s="147">
        <v>2.75</v>
      </c>
      <c r="B37" s="104">
        <v>15932.8</v>
      </c>
      <c r="C37" s="104">
        <v>61.1</v>
      </c>
      <c r="D37" s="104">
        <v>797.9</v>
      </c>
      <c r="F37" s="104">
        <v>119.279</v>
      </c>
    </row>
    <row r="38" spans="1:6" x14ac:dyDescent="0.2">
      <c r="A38" s="147">
        <v>2.8000000000000003</v>
      </c>
      <c r="B38" s="104">
        <v>16238.4</v>
      </c>
      <c r="C38" s="104">
        <v>61.1</v>
      </c>
      <c r="D38" s="104">
        <v>800.4</v>
      </c>
      <c r="F38" s="104">
        <v>119.25700000000001</v>
      </c>
    </row>
    <row r="39" spans="1:6" x14ac:dyDescent="0.2">
      <c r="A39" s="147">
        <v>2.85</v>
      </c>
      <c r="B39" s="104">
        <v>16544.3</v>
      </c>
      <c r="C39" s="104">
        <v>61.2</v>
      </c>
      <c r="D39" s="104">
        <v>802.7</v>
      </c>
      <c r="F39" s="104">
        <v>119.233</v>
      </c>
    </row>
    <row r="40" spans="1:6" x14ac:dyDescent="0.2">
      <c r="A40" s="147">
        <v>2.9000000000000004</v>
      </c>
      <c r="B40" s="104">
        <v>16850.5</v>
      </c>
      <c r="C40" s="104">
        <v>61.3</v>
      </c>
      <c r="D40" s="104">
        <v>805</v>
      </c>
      <c r="F40" s="104">
        <v>119.21</v>
      </c>
    </row>
    <row r="41" spans="1:6" x14ac:dyDescent="0.2">
      <c r="A41" s="147">
        <v>2.95</v>
      </c>
      <c r="B41" s="104">
        <v>17157</v>
      </c>
      <c r="C41" s="104">
        <v>61.3</v>
      </c>
      <c r="D41" s="104">
        <v>807.2</v>
      </c>
      <c r="F41" s="104">
        <v>119.187</v>
      </c>
    </row>
    <row r="42" spans="1:6" x14ac:dyDescent="0.2">
      <c r="A42" s="147">
        <v>3</v>
      </c>
      <c r="B42" s="104">
        <v>17463.8</v>
      </c>
      <c r="C42" s="104">
        <v>61.4</v>
      </c>
      <c r="D42" s="104">
        <v>809.3</v>
      </c>
      <c r="F42" s="104">
        <v>119.164</v>
      </c>
    </row>
    <row r="43" spans="1:6" x14ac:dyDescent="0.2">
      <c r="A43" s="147">
        <v>3.0500000000000003</v>
      </c>
      <c r="B43" s="104">
        <v>17770.900000000001</v>
      </c>
      <c r="C43" s="104">
        <v>61.5</v>
      </c>
      <c r="D43" s="104">
        <v>811.4</v>
      </c>
      <c r="F43" s="104">
        <v>119.14100000000001</v>
      </c>
    </row>
    <row r="44" spans="1:6" x14ac:dyDescent="0.2">
      <c r="A44" s="147">
        <v>3.1</v>
      </c>
      <c r="B44" s="104">
        <v>18078.400000000001</v>
      </c>
      <c r="C44" s="104">
        <v>61.5</v>
      </c>
      <c r="D44" s="104">
        <v>813.5</v>
      </c>
      <c r="F44" s="104">
        <v>119.11799999999999</v>
      </c>
    </row>
    <row r="45" spans="1:6" x14ac:dyDescent="0.2">
      <c r="A45" s="147">
        <v>3.1500000000000004</v>
      </c>
      <c r="B45" s="104">
        <v>18386.099999999999</v>
      </c>
      <c r="C45" s="104">
        <v>61.6</v>
      </c>
      <c r="D45" s="104">
        <v>815.6</v>
      </c>
      <c r="F45" s="104">
        <v>119.095</v>
      </c>
    </row>
    <row r="46" spans="1:6" x14ac:dyDescent="0.2">
      <c r="A46" s="147">
        <v>3.2</v>
      </c>
      <c r="B46" s="104">
        <v>18694.099999999999</v>
      </c>
      <c r="C46" s="104">
        <v>61.6</v>
      </c>
      <c r="D46" s="104">
        <v>817.6</v>
      </c>
      <c r="F46" s="104">
        <v>119.072</v>
      </c>
    </row>
    <row r="47" spans="1:6" x14ac:dyDescent="0.2">
      <c r="A47" s="147">
        <v>3.25</v>
      </c>
      <c r="B47" s="104">
        <v>19002.5</v>
      </c>
      <c r="C47" s="104">
        <v>61.7</v>
      </c>
      <c r="D47" s="104">
        <v>819.6</v>
      </c>
      <c r="F47" s="104">
        <v>119.04900000000001</v>
      </c>
    </row>
    <row r="48" spans="1:6" x14ac:dyDescent="0.2">
      <c r="A48" s="147">
        <v>3.3000000000000003</v>
      </c>
      <c r="B48" s="104">
        <v>19311.099999999999</v>
      </c>
      <c r="C48" s="104">
        <v>61.8</v>
      </c>
      <c r="D48" s="104">
        <v>821.6</v>
      </c>
      <c r="F48" s="104">
        <v>119.02500000000001</v>
      </c>
    </row>
    <row r="49" spans="1:6" x14ac:dyDescent="0.2">
      <c r="A49" s="147">
        <v>3.35</v>
      </c>
      <c r="B49" s="104">
        <v>19620.099999999999</v>
      </c>
      <c r="C49" s="104">
        <v>61.8</v>
      </c>
      <c r="D49" s="104">
        <v>823.5</v>
      </c>
      <c r="F49" s="104">
        <v>119.001</v>
      </c>
    </row>
    <row r="50" spans="1:6" x14ac:dyDescent="0.2">
      <c r="A50" s="147">
        <v>3.4000000000000004</v>
      </c>
      <c r="B50" s="104">
        <v>19929.3</v>
      </c>
      <c r="C50" s="104">
        <v>61.9</v>
      </c>
      <c r="D50" s="104">
        <v>825.4</v>
      </c>
      <c r="F50" s="104">
        <v>118.976</v>
      </c>
    </row>
    <row r="51" spans="1:6" x14ac:dyDescent="0.2">
      <c r="A51" s="147">
        <v>3.45</v>
      </c>
      <c r="B51" s="104">
        <v>20238.8</v>
      </c>
      <c r="C51" s="104">
        <v>61.9</v>
      </c>
      <c r="D51" s="104">
        <v>827.3</v>
      </c>
      <c r="F51" s="104">
        <v>118.952</v>
      </c>
    </row>
    <row r="52" spans="1:6" x14ac:dyDescent="0.2">
      <c r="A52" s="147">
        <v>3.5</v>
      </c>
      <c r="B52" s="104">
        <v>20548.7</v>
      </c>
      <c r="C52" s="104">
        <v>62</v>
      </c>
      <c r="D52" s="104">
        <v>829.2</v>
      </c>
      <c r="F52" s="104">
        <v>118.928</v>
      </c>
    </row>
    <row r="53" spans="1:6" x14ac:dyDescent="0.2">
      <c r="A53" s="147">
        <v>3.5500000000000003</v>
      </c>
      <c r="B53" s="104">
        <v>20858.7</v>
      </c>
      <c r="C53" s="104">
        <v>62</v>
      </c>
      <c r="D53" s="104">
        <v>831.1</v>
      </c>
      <c r="F53" s="104">
        <v>118.904</v>
      </c>
    </row>
    <row r="54" spans="1:6" x14ac:dyDescent="0.2">
      <c r="A54" s="147">
        <v>3.6</v>
      </c>
      <c r="B54" s="104">
        <v>21169.1</v>
      </c>
      <c r="C54" s="104">
        <v>62.1</v>
      </c>
      <c r="D54" s="104">
        <v>832.9</v>
      </c>
      <c r="F54" s="104">
        <v>118.88</v>
      </c>
    </row>
    <row r="55" spans="1:6" x14ac:dyDescent="0.2">
      <c r="A55" s="147">
        <v>3.6500000000000004</v>
      </c>
      <c r="B55" s="104">
        <v>21479.7</v>
      </c>
      <c r="C55" s="104">
        <v>62.1</v>
      </c>
      <c r="D55" s="104">
        <v>834.7</v>
      </c>
      <c r="F55" s="104">
        <v>118.85599999999999</v>
      </c>
    </row>
    <row r="56" spans="1:6" x14ac:dyDescent="0.2">
      <c r="A56" s="147">
        <v>3.7</v>
      </c>
      <c r="B56" s="104">
        <v>21790.6</v>
      </c>
      <c r="C56" s="104">
        <v>62.2</v>
      </c>
      <c r="D56" s="104">
        <v>836.5</v>
      </c>
      <c r="F56" s="104">
        <v>118.83199999999999</v>
      </c>
    </row>
    <row r="57" spans="1:6" x14ac:dyDescent="0.2">
      <c r="A57" s="147">
        <v>3.75</v>
      </c>
      <c r="B57" s="104">
        <v>22101.7</v>
      </c>
      <c r="C57" s="104">
        <v>62.3</v>
      </c>
      <c r="D57" s="104">
        <v>838.3</v>
      </c>
      <c r="F57" s="104">
        <v>118.80800000000001</v>
      </c>
    </row>
    <row r="58" spans="1:6" x14ac:dyDescent="0.2">
      <c r="A58" s="147">
        <v>3.8000000000000003</v>
      </c>
      <c r="B58" s="104">
        <v>22413.200000000001</v>
      </c>
      <c r="C58" s="104">
        <v>62.3</v>
      </c>
      <c r="D58" s="104">
        <v>840.2</v>
      </c>
      <c r="F58" s="104">
        <v>118.78700000000001</v>
      </c>
    </row>
    <row r="59" spans="1:6" x14ac:dyDescent="0.2">
      <c r="A59" s="147">
        <v>3.85</v>
      </c>
      <c r="B59" s="104">
        <v>22724.799999999999</v>
      </c>
      <c r="C59" s="104">
        <v>62.4</v>
      </c>
      <c r="D59" s="104">
        <v>842</v>
      </c>
      <c r="F59" s="104">
        <v>118.764</v>
      </c>
    </row>
    <row r="60" spans="1:6" x14ac:dyDescent="0.2">
      <c r="A60" s="147">
        <v>3.9000000000000004</v>
      </c>
      <c r="B60" s="104">
        <v>23036.7</v>
      </c>
      <c r="C60" s="104">
        <v>62.4</v>
      </c>
      <c r="D60" s="104">
        <v>843.8</v>
      </c>
      <c r="F60" s="104">
        <v>118.74</v>
      </c>
    </row>
    <row r="61" spans="1:6" x14ac:dyDescent="0.2">
      <c r="A61" s="147">
        <v>3.95</v>
      </c>
      <c r="B61" s="104">
        <v>23348.9</v>
      </c>
      <c r="C61" s="104">
        <v>62.5</v>
      </c>
      <c r="D61" s="104">
        <v>845.5</v>
      </c>
      <c r="F61" s="104">
        <v>118.715</v>
      </c>
    </row>
    <row r="62" spans="1:6" x14ac:dyDescent="0.2">
      <c r="A62" s="147">
        <v>4</v>
      </c>
      <c r="B62" s="104">
        <v>23661.3</v>
      </c>
      <c r="C62" s="104">
        <v>62.5</v>
      </c>
      <c r="D62" s="104">
        <v>847.3</v>
      </c>
      <c r="F62" s="104">
        <v>118.691</v>
      </c>
    </row>
    <row r="63" spans="1:6" x14ac:dyDescent="0.2">
      <c r="A63" s="147">
        <v>4.05</v>
      </c>
      <c r="B63" s="104">
        <v>23974</v>
      </c>
      <c r="C63" s="104">
        <v>62.6</v>
      </c>
      <c r="D63" s="104">
        <v>849</v>
      </c>
      <c r="F63" s="104">
        <v>118.667</v>
      </c>
    </row>
    <row r="64" spans="1:6" x14ac:dyDescent="0.2">
      <c r="A64" s="147">
        <v>4.0999999999999996</v>
      </c>
      <c r="B64" s="104">
        <v>24286.9</v>
      </c>
      <c r="C64" s="104">
        <v>62.6</v>
      </c>
      <c r="D64" s="104">
        <v>850.6</v>
      </c>
      <c r="F64" s="104">
        <v>118.64400000000001</v>
      </c>
    </row>
    <row r="65" spans="1:6" x14ac:dyDescent="0.2">
      <c r="A65" s="147">
        <v>4.1499999999999995</v>
      </c>
      <c r="B65" s="104">
        <v>24600.1</v>
      </c>
      <c r="C65" s="104">
        <v>62.7</v>
      </c>
      <c r="D65" s="104">
        <v>852.2</v>
      </c>
      <c r="F65" s="104">
        <v>118.622</v>
      </c>
    </row>
    <row r="66" spans="1:6" x14ac:dyDescent="0.2">
      <c r="A66" s="147">
        <v>4.2</v>
      </c>
      <c r="B66" s="104">
        <v>24913.599999999999</v>
      </c>
      <c r="C66" s="104">
        <v>62.7</v>
      </c>
      <c r="D66" s="104">
        <v>853.8</v>
      </c>
      <c r="F66" s="104">
        <v>118.6</v>
      </c>
    </row>
    <row r="67" spans="1:6" x14ac:dyDescent="0.2">
      <c r="A67" s="147">
        <v>4.25</v>
      </c>
      <c r="B67" s="104">
        <v>25227.200000000001</v>
      </c>
      <c r="C67" s="104">
        <v>62.8</v>
      </c>
      <c r="D67" s="104">
        <v>855.5</v>
      </c>
      <c r="F67" s="104">
        <v>118.57299999999999</v>
      </c>
    </row>
    <row r="68" spans="1:6" x14ac:dyDescent="0.2">
      <c r="A68" s="147">
        <v>4.3</v>
      </c>
      <c r="B68" s="104">
        <v>25541.1</v>
      </c>
      <c r="C68" s="104">
        <v>62.8</v>
      </c>
      <c r="D68" s="104">
        <v>857.3</v>
      </c>
      <c r="F68" s="104">
        <v>118.54600000000001</v>
      </c>
    </row>
    <row r="69" spans="1:6" x14ac:dyDescent="0.2">
      <c r="A69" s="147">
        <v>4.3499999999999996</v>
      </c>
      <c r="B69" s="104">
        <v>25855.200000000001</v>
      </c>
      <c r="C69" s="104">
        <v>62.8</v>
      </c>
      <c r="D69" s="104">
        <v>859</v>
      </c>
      <c r="F69" s="104">
        <v>118.518</v>
      </c>
    </row>
    <row r="70" spans="1:6" x14ac:dyDescent="0.2">
      <c r="A70" s="147">
        <v>4.3999999999999995</v>
      </c>
      <c r="B70" s="104">
        <v>26169.599999999999</v>
      </c>
      <c r="C70" s="104">
        <v>62.9</v>
      </c>
      <c r="D70" s="104">
        <v>860.7</v>
      </c>
      <c r="F70" s="104">
        <v>118.489</v>
      </c>
    </row>
    <row r="71" spans="1:6" x14ac:dyDescent="0.2">
      <c r="A71" s="147">
        <v>4.45</v>
      </c>
      <c r="B71" s="104">
        <v>26484.2</v>
      </c>
      <c r="C71" s="104">
        <v>62.9</v>
      </c>
      <c r="D71" s="104">
        <v>862.5</v>
      </c>
      <c r="F71" s="104">
        <v>118.459</v>
      </c>
    </row>
    <row r="72" spans="1:6" x14ac:dyDescent="0.2">
      <c r="A72" s="147">
        <v>4.5</v>
      </c>
      <c r="B72" s="104">
        <v>26799.1</v>
      </c>
      <c r="C72" s="104">
        <v>63</v>
      </c>
      <c r="D72" s="104">
        <v>864.2</v>
      </c>
      <c r="F72" s="104">
        <v>118.428</v>
      </c>
    </row>
    <row r="73" spans="1:6" x14ac:dyDescent="0.2">
      <c r="A73" s="147">
        <v>4.55</v>
      </c>
      <c r="B73" s="104">
        <v>27114.2</v>
      </c>
      <c r="C73" s="104">
        <v>63</v>
      </c>
      <c r="D73" s="104">
        <v>866</v>
      </c>
      <c r="F73" s="104">
        <v>118.396</v>
      </c>
    </row>
    <row r="74" spans="1:6" x14ac:dyDescent="0.2">
      <c r="A74" s="147">
        <v>4.5999999999999996</v>
      </c>
      <c r="B74" s="104">
        <v>27429.599999999999</v>
      </c>
      <c r="C74" s="104">
        <v>63.1</v>
      </c>
      <c r="D74" s="104">
        <v>867.8</v>
      </c>
      <c r="F74" s="104">
        <v>118.363</v>
      </c>
    </row>
    <row r="75" spans="1:6" x14ac:dyDescent="0.2">
      <c r="A75" s="147">
        <v>4.6499999999999995</v>
      </c>
      <c r="B75" s="104">
        <v>27745.200000000001</v>
      </c>
      <c r="C75" s="104">
        <v>63.1</v>
      </c>
      <c r="D75" s="104">
        <v>869.6</v>
      </c>
      <c r="F75" s="104">
        <v>118.32899999999999</v>
      </c>
    </row>
    <row r="76" spans="1:6" x14ac:dyDescent="0.2">
      <c r="A76" s="147">
        <v>4.7</v>
      </c>
      <c r="B76" s="104">
        <v>28061.1</v>
      </c>
      <c r="C76" s="104">
        <v>63.2</v>
      </c>
      <c r="D76" s="104">
        <v>871.4</v>
      </c>
      <c r="F76" s="104">
        <v>118.295</v>
      </c>
    </row>
    <row r="77" spans="1:6" x14ac:dyDescent="0.2">
      <c r="A77" s="147">
        <v>4.75</v>
      </c>
      <c r="B77" s="104">
        <v>28377.200000000001</v>
      </c>
      <c r="C77" s="104">
        <v>63.2</v>
      </c>
      <c r="D77" s="104">
        <v>873.2</v>
      </c>
      <c r="F77" s="104">
        <v>118.26</v>
      </c>
    </row>
    <row r="78" spans="1:6" x14ac:dyDescent="0.2">
      <c r="A78" s="147">
        <v>4.8</v>
      </c>
      <c r="B78" s="104">
        <v>28693.599999999999</v>
      </c>
      <c r="C78" s="104">
        <v>63.3</v>
      </c>
      <c r="D78" s="104">
        <v>875</v>
      </c>
      <c r="F78" s="104">
        <v>118.22499999999999</v>
      </c>
    </row>
    <row r="79" spans="1:6" x14ac:dyDescent="0.2">
      <c r="A79" s="147">
        <v>4.8499999999999996</v>
      </c>
      <c r="B79" s="104">
        <v>29010.2</v>
      </c>
      <c r="C79" s="104">
        <v>63.3</v>
      </c>
      <c r="D79" s="104">
        <v>876.9</v>
      </c>
      <c r="F79" s="104">
        <v>118.18899999999999</v>
      </c>
    </row>
    <row r="80" spans="1:6" x14ac:dyDescent="0.2">
      <c r="A80" s="147">
        <v>4.8999999999999995</v>
      </c>
      <c r="B80" s="104">
        <v>29327</v>
      </c>
      <c r="C80" s="104">
        <v>63.4</v>
      </c>
      <c r="D80" s="104">
        <v>878.7</v>
      </c>
      <c r="F80" s="104">
        <v>118.152</v>
      </c>
    </row>
    <row r="81" spans="1:6" x14ac:dyDescent="0.2">
      <c r="A81" s="147">
        <v>4.95</v>
      </c>
      <c r="B81" s="104">
        <v>29644.1</v>
      </c>
      <c r="C81" s="104">
        <v>63.4</v>
      </c>
      <c r="D81" s="104">
        <v>880.5</v>
      </c>
      <c r="F81" s="104">
        <v>118.114</v>
      </c>
    </row>
    <row r="82" spans="1:6" x14ac:dyDescent="0.2">
      <c r="A82" s="147">
        <v>5</v>
      </c>
      <c r="B82" s="104">
        <v>29961.5</v>
      </c>
      <c r="C82" s="104">
        <v>63.5</v>
      </c>
      <c r="D82" s="104">
        <v>882.4</v>
      </c>
      <c r="F82" s="104">
        <v>118.07599999999999</v>
      </c>
    </row>
    <row r="83" spans="1:6" x14ac:dyDescent="0.2">
      <c r="A83" s="147">
        <v>5.05</v>
      </c>
      <c r="B83" s="104">
        <v>30279.1</v>
      </c>
      <c r="C83" s="104">
        <v>63.5</v>
      </c>
      <c r="D83" s="104">
        <v>884.2</v>
      </c>
      <c r="F83" s="104">
        <v>118.036</v>
      </c>
    </row>
    <row r="84" spans="1:6" x14ac:dyDescent="0.2">
      <c r="A84" s="147">
        <v>5.0999999999999996</v>
      </c>
      <c r="B84" s="104">
        <v>30596.9</v>
      </c>
      <c r="C84" s="104">
        <v>63.6</v>
      </c>
      <c r="D84" s="104">
        <v>886.1</v>
      </c>
      <c r="F84" s="104">
        <v>117.996</v>
      </c>
    </row>
    <row r="85" spans="1:6" x14ac:dyDescent="0.2">
      <c r="A85" s="147">
        <v>5.1499999999999995</v>
      </c>
      <c r="B85" s="104">
        <v>30915</v>
      </c>
      <c r="C85" s="104">
        <v>63.6</v>
      </c>
      <c r="D85" s="104">
        <v>888.1</v>
      </c>
      <c r="F85" s="104">
        <v>117.953</v>
      </c>
    </row>
    <row r="86" spans="1:6" x14ac:dyDescent="0.2">
      <c r="A86" s="147">
        <v>5.2</v>
      </c>
      <c r="B86" s="104">
        <v>31233.4</v>
      </c>
      <c r="C86" s="104">
        <v>63.7</v>
      </c>
      <c r="D86" s="104">
        <v>890</v>
      </c>
      <c r="F86" s="104">
        <v>117.91</v>
      </c>
    </row>
    <row r="87" spans="1:6" x14ac:dyDescent="0.2">
      <c r="A87" s="147">
        <v>5.25</v>
      </c>
      <c r="B87" s="104">
        <v>31552</v>
      </c>
      <c r="C87" s="104">
        <v>63.7</v>
      </c>
      <c r="D87" s="104">
        <v>891.9</v>
      </c>
      <c r="F87" s="104">
        <v>117.867</v>
      </c>
    </row>
    <row r="88" spans="1:6" x14ac:dyDescent="0.2">
      <c r="A88" s="147">
        <v>5.3</v>
      </c>
      <c r="B88" s="104">
        <v>31870.9</v>
      </c>
      <c r="C88" s="104">
        <v>63.8</v>
      </c>
      <c r="D88" s="104">
        <v>893.9</v>
      </c>
      <c r="F88" s="104">
        <v>117.82599999999999</v>
      </c>
    </row>
    <row r="89" spans="1:6" x14ac:dyDescent="0.2">
      <c r="A89" s="147">
        <v>5.35</v>
      </c>
      <c r="B89" s="104">
        <v>32190</v>
      </c>
      <c r="C89" s="104">
        <v>63.8</v>
      </c>
      <c r="D89" s="104">
        <v>895.9</v>
      </c>
      <c r="F89" s="104">
        <v>117.78400000000001</v>
      </c>
    </row>
    <row r="90" spans="1:6" x14ac:dyDescent="0.2">
      <c r="A90" s="147">
        <v>5.3999999999999995</v>
      </c>
      <c r="B90" s="104">
        <v>32509.3</v>
      </c>
      <c r="C90" s="104">
        <v>63.9</v>
      </c>
      <c r="D90" s="104">
        <v>897.9</v>
      </c>
      <c r="F90" s="104">
        <v>117.742</v>
      </c>
    </row>
    <row r="91" spans="1:6" x14ac:dyDescent="0.2">
      <c r="A91" s="147">
        <v>5.45</v>
      </c>
      <c r="B91" s="104">
        <v>32828.9</v>
      </c>
      <c r="C91" s="104">
        <v>63.9</v>
      </c>
      <c r="D91" s="104">
        <v>899.8</v>
      </c>
      <c r="F91" s="104">
        <v>117.697</v>
      </c>
    </row>
    <row r="92" spans="1:6" x14ac:dyDescent="0.2">
      <c r="A92" s="147">
        <v>5.5</v>
      </c>
      <c r="B92" s="104">
        <v>33148.800000000003</v>
      </c>
      <c r="C92" s="104">
        <v>64</v>
      </c>
      <c r="D92" s="104">
        <v>901.8</v>
      </c>
      <c r="F92" s="104">
        <v>117.65300000000001</v>
      </c>
    </row>
    <row r="93" spans="1:6" x14ac:dyDescent="0.2">
      <c r="A93" s="147">
        <v>5.55</v>
      </c>
      <c r="B93" s="104">
        <v>33468.9</v>
      </c>
      <c r="C93" s="104">
        <v>64</v>
      </c>
      <c r="D93" s="104">
        <v>903.8</v>
      </c>
      <c r="F93" s="104">
        <v>117.607</v>
      </c>
    </row>
    <row r="94" spans="1:6" x14ac:dyDescent="0.2">
      <c r="A94" s="147">
        <v>5.6</v>
      </c>
      <c r="B94" s="104">
        <v>33789.300000000003</v>
      </c>
      <c r="C94" s="104">
        <v>64.099999999999994</v>
      </c>
      <c r="D94" s="104">
        <v>905.8</v>
      </c>
      <c r="F94" s="104">
        <v>117.56</v>
      </c>
    </row>
    <row r="95" spans="1:6" x14ac:dyDescent="0.2">
      <c r="A95" s="147">
        <v>5.6499999999999995</v>
      </c>
      <c r="B95" s="104">
        <v>34109.9</v>
      </c>
      <c r="C95" s="104">
        <v>64.2</v>
      </c>
      <c r="D95" s="104">
        <v>907.9</v>
      </c>
      <c r="F95" s="104">
        <v>117.511</v>
      </c>
    </row>
    <row r="96" spans="1:6" x14ac:dyDescent="0.2">
      <c r="A96" s="147">
        <v>5.7</v>
      </c>
      <c r="B96" s="104">
        <v>34430.800000000003</v>
      </c>
      <c r="C96" s="104">
        <v>64.2</v>
      </c>
      <c r="D96" s="104">
        <v>910</v>
      </c>
      <c r="F96" s="104">
        <v>117.459</v>
      </c>
    </row>
    <row r="97" spans="1:6" x14ac:dyDescent="0.2">
      <c r="A97" s="147">
        <v>5.75</v>
      </c>
      <c r="B97" s="104">
        <v>34752</v>
      </c>
      <c r="C97" s="104">
        <v>64.3</v>
      </c>
      <c r="D97" s="104">
        <v>912.2</v>
      </c>
      <c r="F97" s="104">
        <v>117.407</v>
      </c>
    </row>
    <row r="98" spans="1:6" x14ac:dyDescent="0.2">
      <c r="A98" s="147">
        <v>5.8</v>
      </c>
      <c r="B98" s="104">
        <v>35073.4</v>
      </c>
      <c r="C98" s="104">
        <v>64.3</v>
      </c>
      <c r="D98" s="104">
        <v>914.3</v>
      </c>
      <c r="F98" s="104">
        <v>117.354</v>
      </c>
    </row>
    <row r="99" spans="1:6" x14ac:dyDescent="0.2">
      <c r="A99" s="147">
        <v>5.85</v>
      </c>
      <c r="B99" s="104">
        <v>35395.1</v>
      </c>
      <c r="C99" s="104">
        <v>64.400000000000006</v>
      </c>
      <c r="D99" s="104">
        <v>916.4</v>
      </c>
      <c r="F99" s="104">
        <v>117.303</v>
      </c>
    </row>
    <row r="100" spans="1:6" x14ac:dyDescent="0.2">
      <c r="A100" s="147">
        <v>5.8999999999999995</v>
      </c>
      <c r="B100" s="104">
        <v>35717.1</v>
      </c>
      <c r="C100" s="104">
        <v>64.400000000000006</v>
      </c>
      <c r="D100" s="104">
        <v>918.5</v>
      </c>
      <c r="F100" s="104">
        <v>117.252</v>
      </c>
    </row>
    <row r="101" spans="1:6" x14ac:dyDescent="0.2">
      <c r="A101" s="147">
        <v>5.95</v>
      </c>
      <c r="B101" s="104">
        <v>36039.300000000003</v>
      </c>
      <c r="C101" s="104">
        <v>64.5</v>
      </c>
      <c r="D101" s="104">
        <v>920.6</v>
      </c>
      <c r="F101" s="104">
        <v>117.199</v>
      </c>
    </row>
    <row r="102" spans="1:6" x14ac:dyDescent="0.2">
      <c r="A102" s="147">
        <v>6</v>
      </c>
      <c r="B102" s="104">
        <v>36361.800000000003</v>
      </c>
      <c r="C102" s="104">
        <v>64.5</v>
      </c>
      <c r="D102" s="104">
        <v>922.8</v>
      </c>
      <c r="F102" s="104">
        <v>117.146</v>
      </c>
    </row>
    <row r="103" spans="1:6" x14ac:dyDescent="0.2">
      <c r="A103" s="147">
        <v>6.05</v>
      </c>
      <c r="B103" s="104">
        <v>36684.6</v>
      </c>
      <c r="C103" s="104">
        <v>64.599999999999994</v>
      </c>
      <c r="D103" s="104">
        <v>924.9</v>
      </c>
      <c r="F103" s="104">
        <v>117.093</v>
      </c>
    </row>
    <row r="104" spans="1:6" x14ac:dyDescent="0.2">
      <c r="A104" s="147">
        <v>6.1</v>
      </c>
      <c r="B104" s="104">
        <v>37007.599999999999</v>
      </c>
      <c r="C104" s="104">
        <v>64.599999999999994</v>
      </c>
      <c r="D104" s="104">
        <v>927</v>
      </c>
      <c r="F104" s="104">
        <v>117.039</v>
      </c>
    </row>
    <row r="105" spans="1:6" x14ac:dyDescent="0.2">
      <c r="A105" s="147">
        <v>6.1499999999999995</v>
      </c>
      <c r="B105" s="104">
        <v>37330.9</v>
      </c>
      <c r="C105" s="104">
        <v>64.7</v>
      </c>
      <c r="D105" s="104">
        <v>929.2</v>
      </c>
      <c r="F105" s="104">
        <v>116.982</v>
      </c>
    </row>
    <row r="106" spans="1:6" x14ac:dyDescent="0.2">
      <c r="A106" s="147">
        <v>6.2</v>
      </c>
      <c r="B106" s="104">
        <v>37654.400000000001</v>
      </c>
      <c r="C106" s="104">
        <v>64.7</v>
      </c>
      <c r="D106" s="104">
        <v>931.6</v>
      </c>
      <c r="F106" s="104">
        <v>116.92100000000001</v>
      </c>
    </row>
    <row r="107" spans="1:6" x14ac:dyDescent="0.2">
      <c r="A107" s="147">
        <v>6.25</v>
      </c>
      <c r="B107" s="104">
        <v>37978.300000000003</v>
      </c>
      <c r="C107" s="104">
        <v>64.8</v>
      </c>
      <c r="D107" s="104">
        <v>933.9</v>
      </c>
      <c r="F107" s="104">
        <v>116.85899999999999</v>
      </c>
    </row>
    <row r="108" spans="1:6" x14ac:dyDescent="0.2">
      <c r="A108" s="147">
        <v>6.3</v>
      </c>
      <c r="B108" s="104">
        <v>38302.400000000001</v>
      </c>
      <c r="C108" s="104">
        <v>64.900000000000006</v>
      </c>
      <c r="D108" s="104">
        <v>936.2</v>
      </c>
      <c r="F108" s="104">
        <v>116.79900000000001</v>
      </c>
    </row>
    <row r="109" spans="1:6" x14ac:dyDescent="0.2">
      <c r="A109" s="147">
        <v>6.35</v>
      </c>
      <c r="B109" s="104">
        <v>38626.800000000003</v>
      </c>
      <c r="C109" s="104">
        <v>64.900000000000006</v>
      </c>
      <c r="D109" s="104">
        <v>938.5</v>
      </c>
      <c r="F109" s="104">
        <v>116.74</v>
      </c>
    </row>
    <row r="110" spans="1:6" x14ac:dyDescent="0.2">
      <c r="A110" s="147">
        <v>6.3999999999999995</v>
      </c>
      <c r="B110" s="104">
        <v>38951.5</v>
      </c>
      <c r="C110" s="104">
        <v>65</v>
      </c>
      <c r="D110" s="104">
        <v>940.7</v>
      </c>
      <c r="F110" s="104">
        <v>116.682</v>
      </c>
    </row>
    <row r="111" spans="1:6" x14ac:dyDescent="0.2">
      <c r="A111" s="147">
        <v>6.45</v>
      </c>
      <c r="B111" s="104">
        <v>39276.5</v>
      </c>
      <c r="C111" s="104">
        <v>65</v>
      </c>
      <c r="D111" s="104">
        <v>943</v>
      </c>
      <c r="F111" s="104">
        <v>116.621</v>
      </c>
    </row>
    <row r="112" spans="1:6" x14ac:dyDescent="0.2">
      <c r="A112" s="147">
        <v>6.5</v>
      </c>
      <c r="B112" s="104">
        <v>39601.699999999997</v>
      </c>
      <c r="C112" s="104">
        <v>65.099999999999994</v>
      </c>
      <c r="D112" s="104">
        <v>945.3</v>
      </c>
      <c r="F112" s="104">
        <v>116.56</v>
      </c>
    </row>
    <row r="113" spans="1:6" x14ac:dyDescent="0.2">
      <c r="A113" s="147">
        <v>6.55</v>
      </c>
      <c r="B113" s="104">
        <v>39927.199999999997</v>
      </c>
      <c r="C113" s="104">
        <v>65.099999999999994</v>
      </c>
      <c r="D113" s="104">
        <v>947.6</v>
      </c>
      <c r="F113" s="104">
        <v>116.499</v>
      </c>
    </row>
    <row r="114" spans="1:6" x14ac:dyDescent="0.2">
      <c r="A114" s="147">
        <v>6.6</v>
      </c>
      <c r="B114" s="104">
        <v>40253</v>
      </c>
      <c r="C114" s="104">
        <v>65.2</v>
      </c>
      <c r="D114" s="104">
        <v>949.9</v>
      </c>
      <c r="F114" s="104">
        <v>116.437</v>
      </c>
    </row>
    <row r="115" spans="1:6" x14ac:dyDescent="0.2">
      <c r="A115" s="147">
        <v>6.6499999999999995</v>
      </c>
      <c r="B115" s="104">
        <v>40579.1</v>
      </c>
      <c r="C115" s="104">
        <v>65.2</v>
      </c>
      <c r="D115" s="104">
        <v>952.4</v>
      </c>
      <c r="F115" s="104">
        <v>116.371</v>
      </c>
    </row>
    <row r="116" spans="1:6" x14ac:dyDescent="0.2">
      <c r="A116" s="147">
        <v>6.7</v>
      </c>
      <c r="B116" s="104">
        <v>40905.4</v>
      </c>
      <c r="C116" s="104">
        <v>65.3</v>
      </c>
      <c r="D116" s="104">
        <v>954.9</v>
      </c>
      <c r="F116" s="104">
        <v>116.3</v>
      </c>
    </row>
    <row r="117" spans="1:6" x14ac:dyDescent="0.2">
      <c r="A117" s="147">
        <v>6.75</v>
      </c>
      <c r="B117" s="104">
        <v>41232.1</v>
      </c>
      <c r="C117" s="104">
        <v>65.400000000000006</v>
      </c>
      <c r="D117" s="104">
        <v>957.5</v>
      </c>
      <c r="F117" s="104">
        <v>116.23099999999999</v>
      </c>
    </row>
    <row r="118" spans="1:6" x14ac:dyDescent="0.2">
      <c r="A118" s="147">
        <v>6.8</v>
      </c>
      <c r="B118" s="104">
        <v>41559.1</v>
      </c>
      <c r="C118" s="104">
        <v>65.400000000000006</v>
      </c>
      <c r="D118" s="104">
        <v>959.9</v>
      </c>
      <c r="F118" s="104">
        <v>116.164</v>
      </c>
    </row>
    <row r="119" spans="1:6" x14ac:dyDescent="0.2">
      <c r="A119" s="147">
        <v>6.85</v>
      </c>
      <c r="B119" s="104">
        <v>41886.300000000003</v>
      </c>
      <c r="C119" s="104">
        <v>65.5</v>
      </c>
      <c r="D119" s="104">
        <v>962.4</v>
      </c>
      <c r="F119" s="104">
        <v>116.098</v>
      </c>
    </row>
    <row r="120" spans="1:6" x14ac:dyDescent="0.2">
      <c r="A120" s="147">
        <v>6.8999999999999995</v>
      </c>
      <c r="B120" s="104">
        <v>42213.8</v>
      </c>
      <c r="C120" s="104">
        <v>65.5</v>
      </c>
      <c r="D120" s="104">
        <v>964.8</v>
      </c>
      <c r="F120" s="104">
        <v>116.03</v>
      </c>
    </row>
    <row r="121" spans="1:6" x14ac:dyDescent="0.2">
      <c r="A121" s="147">
        <v>6.95</v>
      </c>
      <c r="B121" s="104">
        <v>42541.7</v>
      </c>
      <c r="C121" s="104">
        <v>65.599999999999994</v>
      </c>
      <c r="D121" s="104">
        <v>967.4</v>
      </c>
      <c r="F121" s="104">
        <v>115.96</v>
      </c>
    </row>
    <row r="122" spans="1:6" x14ac:dyDescent="0.2">
      <c r="A122" s="147">
        <v>7</v>
      </c>
      <c r="B122" s="104">
        <v>42869.8</v>
      </c>
      <c r="C122" s="104">
        <v>65.7</v>
      </c>
      <c r="D122" s="104">
        <v>969.9</v>
      </c>
      <c r="F122" s="104">
        <v>115.88800000000001</v>
      </c>
    </row>
    <row r="123" spans="1:6" x14ac:dyDescent="0.2">
      <c r="A123" s="147">
        <v>7.05</v>
      </c>
      <c r="B123" s="104">
        <v>43198.2</v>
      </c>
      <c r="C123" s="104">
        <v>65.7</v>
      </c>
      <c r="D123" s="104">
        <v>972.5</v>
      </c>
      <c r="F123" s="104">
        <v>115.81699999999999</v>
      </c>
    </row>
    <row r="124" spans="1:6" x14ac:dyDescent="0.2">
      <c r="A124" s="147">
        <v>7.1</v>
      </c>
      <c r="B124" s="104">
        <v>43527</v>
      </c>
      <c r="C124" s="104">
        <v>65.8</v>
      </c>
      <c r="D124" s="104">
        <v>975.2</v>
      </c>
      <c r="F124" s="104">
        <v>115.742</v>
      </c>
    </row>
    <row r="125" spans="1:6" x14ac:dyDescent="0.2">
      <c r="A125" s="147">
        <v>7.1499999999999995</v>
      </c>
      <c r="B125" s="104">
        <v>43856</v>
      </c>
      <c r="C125" s="104">
        <v>65.8</v>
      </c>
      <c r="D125" s="104">
        <v>977.9</v>
      </c>
      <c r="F125" s="104">
        <v>115.666</v>
      </c>
    </row>
    <row r="126" spans="1:6" x14ac:dyDescent="0.2">
      <c r="A126" s="147">
        <v>7.2</v>
      </c>
      <c r="B126" s="104">
        <v>44185.3</v>
      </c>
      <c r="C126" s="104">
        <v>65.900000000000006</v>
      </c>
      <c r="D126" s="104">
        <v>980.6</v>
      </c>
      <c r="F126" s="104">
        <v>115.59099999999999</v>
      </c>
    </row>
    <row r="127" spans="1:6" x14ac:dyDescent="0.2">
      <c r="A127" s="147">
        <v>7.25</v>
      </c>
      <c r="B127" s="104">
        <v>44515</v>
      </c>
      <c r="C127" s="104">
        <v>66</v>
      </c>
      <c r="D127" s="104">
        <v>983.2</v>
      </c>
      <c r="F127" s="104">
        <v>115.517</v>
      </c>
    </row>
    <row r="128" spans="1:6" x14ac:dyDescent="0.2">
      <c r="A128" s="147">
        <v>7.3</v>
      </c>
      <c r="B128" s="104">
        <v>44844.9</v>
      </c>
      <c r="C128" s="104">
        <v>66</v>
      </c>
      <c r="D128" s="104">
        <v>985.8</v>
      </c>
      <c r="F128" s="104">
        <v>115.443</v>
      </c>
    </row>
    <row r="129" spans="1:6" x14ac:dyDescent="0.2">
      <c r="A129" s="147">
        <v>7.35</v>
      </c>
      <c r="B129" s="104">
        <v>45175.199999999997</v>
      </c>
      <c r="C129" s="104">
        <v>66.099999999999994</v>
      </c>
      <c r="D129" s="104">
        <v>988.6</v>
      </c>
      <c r="F129" s="104">
        <v>115.36499999999999</v>
      </c>
    </row>
    <row r="130" spans="1:6" x14ac:dyDescent="0.2">
      <c r="A130" s="147">
        <v>7.3999999999999995</v>
      </c>
      <c r="B130" s="104">
        <v>45505.8</v>
      </c>
      <c r="C130" s="104">
        <v>66.099999999999994</v>
      </c>
      <c r="D130" s="104">
        <v>991.5</v>
      </c>
      <c r="F130" s="104">
        <v>115.282</v>
      </c>
    </row>
    <row r="131" spans="1:6" x14ac:dyDescent="0.2">
      <c r="A131" s="147">
        <v>7.45</v>
      </c>
      <c r="B131" s="104">
        <v>45836.7</v>
      </c>
      <c r="C131" s="104">
        <v>66.2</v>
      </c>
      <c r="D131" s="104">
        <v>994.3</v>
      </c>
      <c r="F131" s="104">
        <v>115.20099999999999</v>
      </c>
    </row>
    <row r="132" spans="1:6" x14ac:dyDescent="0.2">
      <c r="A132" s="147">
        <v>7.5</v>
      </c>
      <c r="B132" s="104">
        <v>46167.9</v>
      </c>
      <c r="C132" s="104">
        <v>66.3</v>
      </c>
      <c r="D132" s="104">
        <v>997.1</v>
      </c>
      <c r="F132" s="104">
        <v>115.123</v>
      </c>
    </row>
    <row r="133" spans="1:6" x14ac:dyDescent="0.2">
      <c r="A133" s="147">
        <v>7.55</v>
      </c>
      <c r="B133" s="104">
        <v>46499.4</v>
      </c>
      <c r="C133" s="104">
        <v>66.3</v>
      </c>
      <c r="D133" s="104">
        <v>999.9</v>
      </c>
      <c r="F133" s="104">
        <v>115.042</v>
      </c>
    </row>
    <row r="134" spans="1:6" x14ac:dyDescent="0.2">
      <c r="A134" s="147">
        <v>7.6</v>
      </c>
      <c r="B134" s="104">
        <v>46831.3</v>
      </c>
      <c r="C134" s="104">
        <v>66.400000000000006</v>
      </c>
      <c r="D134" s="104">
        <v>1002.8</v>
      </c>
      <c r="F134" s="104">
        <v>114.96</v>
      </c>
    </row>
    <row r="135" spans="1:6" x14ac:dyDescent="0.2">
      <c r="A135" s="147">
        <v>7.6499999999999995</v>
      </c>
      <c r="B135" s="104">
        <v>47163.5</v>
      </c>
      <c r="C135" s="104">
        <v>66.5</v>
      </c>
      <c r="D135" s="104">
        <v>1005.5</v>
      </c>
      <c r="F135" s="104">
        <v>114.88200000000001</v>
      </c>
    </row>
    <row r="136" spans="1:6" x14ac:dyDescent="0.2">
      <c r="A136" s="147">
        <v>7.7</v>
      </c>
      <c r="B136" s="104">
        <v>47496</v>
      </c>
      <c r="C136" s="104">
        <v>66.5</v>
      </c>
      <c r="D136" s="104">
        <v>1008.3</v>
      </c>
      <c r="F136" s="104">
        <v>114.804</v>
      </c>
    </row>
    <row r="137" spans="1:6" x14ac:dyDescent="0.2">
      <c r="A137" s="147">
        <v>7.75</v>
      </c>
      <c r="B137" s="104">
        <v>47828.800000000003</v>
      </c>
      <c r="C137" s="104">
        <v>66.599999999999994</v>
      </c>
      <c r="D137" s="104">
        <v>1011.3</v>
      </c>
      <c r="F137" s="104">
        <v>114.717</v>
      </c>
    </row>
    <row r="138" spans="1:6" x14ac:dyDescent="0.2">
      <c r="A138" s="147">
        <v>7.8</v>
      </c>
      <c r="B138" s="104">
        <v>48161.9</v>
      </c>
      <c r="C138" s="104">
        <v>66.7</v>
      </c>
      <c r="D138" s="104">
        <v>1014.4</v>
      </c>
      <c r="F138" s="104">
        <v>114.627</v>
      </c>
    </row>
    <row r="139" spans="1:6" x14ac:dyDescent="0.2">
      <c r="A139" s="147">
        <v>7.85</v>
      </c>
      <c r="B139" s="104">
        <v>48495.4</v>
      </c>
      <c r="C139" s="104">
        <v>66.7</v>
      </c>
      <c r="D139" s="104">
        <v>1017.3</v>
      </c>
      <c r="F139" s="104">
        <v>114.542</v>
      </c>
    </row>
    <row r="140" spans="1:6" x14ac:dyDescent="0.2">
      <c r="A140" s="147">
        <v>7.8999999999999995</v>
      </c>
      <c r="B140" s="104">
        <v>48829.2</v>
      </c>
      <c r="C140" s="104">
        <v>66.8</v>
      </c>
      <c r="D140" s="104">
        <v>1020.2</v>
      </c>
      <c r="F140" s="104">
        <v>114.461</v>
      </c>
    </row>
    <row r="141" spans="1:6" x14ac:dyDescent="0.2">
      <c r="A141" s="147">
        <v>7.95</v>
      </c>
      <c r="B141" s="104">
        <v>49163.4</v>
      </c>
      <c r="C141" s="104">
        <v>66.900000000000006</v>
      </c>
      <c r="D141" s="104">
        <v>1023.2</v>
      </c>
      <c r="F141" s="104">
        <v>114.374</v>
      </c>
    </row>
    <row r="142" spans="1:6" x14ac:dyDescent="0.2">
      <c r="A142" s="147">
        <v>8</v>
      </c>
      <c r="B142" s="104">
        <v>49497.8</v>
      </c>
      <c r="C142" s="104">
        <v>66.900000000000006</v>
      </c>
      <c r="D142" s="104">
        <v>1026.0999999999999</v>
      </c>
      <c r="F142" s="104">
        <v>114.289</v>
      </c>
    </row>
    <row r="143" spans="1:6" x14ac:dyDescent="0.2">
      <c r="A143" s="147">
        <v>8.0499999999999989</v>
      </c>
      <c r="B143" s="104">
        <v>49832.6</v>
      </c>
      <c r="C143" s="104">
        <v>67</v>
      </c>
      <c r="D143" s="104">
        <v>1029</v>
      </c>
      <c r="F143" s="104">
        <v>114.208</v>
      </c>
    </row>
    <row r="144" spans="1:6" x14ac:dyDescent="0.2">
      <c r="A144" s="147">
        <v>8.1</v>
      </c>
      <c r="B144" s="104">
        <v>50167.7</v>
      </c>
      <c r="C144" s="104">
        <v>67</v>
      </c>
      <c r="D144" s="104">
        <v>1031.9000000000001</v>
      </c>
      <c r="F144" s="104">
        <v>114.124</v>
      </c>
    </row>
    <row r="145" spans="1:6" x14ac:dyDescent="0.2">
      <c r="A145" s="147">
        <v>8.15</v>
      </c>
      <c r="B145" s="104">
        <v>50503.1</v>
      </c>
      <c r="C145" s="104">
        <v>67.099999999999994</v>
      </c>
      <c r="D145" s="104">
        <v>1035.2</v>
      </c>
      <c r="F145" s="104">
        <v>114.027</v>
      </c>
    </row>
    <row r="146" spans="1:6" x14ac:dyDescent="0.2">
      <c r="A146" s="147">
        <v>8.1999999999999993</v>
      </c>
      <c r="B146" s="104">
        <v>50838.9</v>
      </c>
      <c r="C146" s="104">
        <v>67.2</v>
      </c>
      <c r="D146" s="104">
        <v>1038.5</v>
      </c>
      <c r="F146" s="104">
        <v>113.934</v>
      </c>
    </row>
    <row r="147" spans="1:6" x14ac:dyDescent="0.2">
      <c r="A147" s="147">
        <v>8.25</v>
      </c>
      <c r="B147" s="104">
        <v>51175</v>
      </c>
      <c r="C147" s="104">
        <v>67.3</v>
      </c>
      <c r="D147" s="104">
        <v>1041.5</v>
      </c>
      <c r="F147" s="104">
        <v>113.84699999999999</v>
      </c>
    </row>
    <row r="148" spans="1:6" x14ac:dyDescent="0.2">
      <c r="A148" s="147">
        <v>8.2999999999999989</v>
      </c>
      <c r="B148" s="104">
        <v>51511.5</v>
      </c>
      <c r="C148" s="104">
        <v>67.3</v>
      </c>
      <c r="D148" s="104">
        <v>1044.5</v>
      </c>
      <c r="F148" s="104">
        <v>113.76</v>
      </c>
    </row>
    <row r="149" spans="1:6" x14ac:dyDescent="0.2">
      <c r="A149" s="147">
        <v>8.35</v>
      </c>
      <c r="B149" s="104">
        <v>51848.3</v>
      </c>
      <c r="C149" s="104">
        <v>67.400000000000006</v>
      </c>
      <c r="D149" s="104">
        <v>1047.7</v>
      </c>
      <c r="F149" s="104">
        <v>113.67</v>
      </c>
    </row>
    <row r="150" spans="1:6" x14ac:dyDescent="0.2">
      <c r="A150" s="147">
        <v>8.4</v>
      </c>
      <c r="B150" s="104">
        <v>52185.4</v>
      </c>
      <c r="C150" s="104">
        <v>67.5</v>
      </c>
      <c r="D150" s="104">
        <v>1050.5</v>
      </c>
      <c r="F150" s="104">
        <v>113.58799999999999</v>
      </c>
    </row>
    <row r="151" spans="1:6" x14ac:dyDescent="0.2">
      <c r="A151" s="147">
        <v>8.4499999999999993</v>
      </c>
      <c r="B151" s="104">
        <v>52522.8</v>
      </c>
      <c r="C151" s="104">
        <v>67.5</v>
      </c>
      <c r="D151" s="104">
        <v>1053.4000000000001</v>
      </c>
      <c r="F151" s="104">
        <v>113.508</v>
      </c>
    </row>
    <row r="152" spans="1:6" x14ac:dyDescent="0.2">
      <c r="A152" s="147">
        <v>8.5</v>
      </c>
      <c r="B152" s="104">
        <v>52860.6</v>
      </c>
      <c r="C152" s="104">
        <v>67.599999999999994</v>
      </c>
      <c r="D152" s="104">
        <v>1056.9000000000001</v>
      </c>
      <c r="F152" s="104">
        <v>113.40600000000001</v>
      </c>
    </row>
    <row r="153" spans="1:6" x14ac:dyDescent="0.2">
      <c r="A153" s="147">
        <v>8.5499999999999989</v>
      </c>
      <c r="B153" s="104">
        <v>53198.8</v>
      </c>
      <c r="C153" s="104">
        <v>67.7</v>
      </c>
      <c r="D153" s="104">
        <v>1060.8</v>
      </c>
      <c r="F153" s="104">
        <v>113.29</v>
      </c>
    </row>
    <row r="154" spans="1:6" x14ac:dyDescent="0.2">
      <c r="A154" s="147">
        <v>8.6</v>
      </c>
      <c r="B154" s="104">
        <v>53537.4</v>
      </c>
      <c r="C154" s="104">
        <v>67.7</v>
      </c>
      <c r="D154" s="104">
        <v>1063.9000000000001</v>
      </c>
      <c r="F154" s="104">
        <v>113.202</v>
      </c>
    </row>
    <row r="155" spans="1:6" x14ac:dyDescent="0.2">
      <c r="A155" s="147">
        <v>8.65</v>
      </c>
      <c r="B155" s="104">
        <v>53876.3</v>
      </c>
      <c r="C155" s="104">
        <v>67.8</v>
      </c>
      <c r="D155" s="104">
        <v>1066.9000000000001</v>
      </c>
      <c r="F155" s="104">
        <v>113.117</v>
      </c>
    </row>
    <row r="156" spans="1:6" x14ac:dyDescent="0.2">
      <c r="A156" s="147">
        <v>8.6999999999999993</v>
      </c>
      <c r="B156" s="104">
        <v>54214.9</v>
      </c>
      <c r="C156" s="104">
        <v>67.900000000000006</v>
      </c>
      <c r="D156" s="104">
        <v>1070.5999999999999</v>
      </c>
      <c r="F156" s="104">
        <v>113.01</v>
      </c>
    </row>
    <row r="157" spans="1:6" x14ac:dyDescent="0.2">
      <c r="A157" s="147">
        <v>8.75</v>
      </c>
      <c r="B157" s="104">
        <v>54554.6</v>
      </c>
      <c r="C157" s="104">
        <v>67.900000000000006</v>
      </c>
      <c r="D157" s="104">
        <v>1073.8</v>
      </c>
      <c r="F157" s="104">
        <v>112.919</v>
      </c>
    </row>
    <row r="158" spans="1:6" x14ac:dyDescent="0.2">
      <c r="A158" s="147">
        <v>8.7999999999999989</v>
      </c>
      <c r="B158" s="104">
        <v>54894.6</v>
      </c>
      <c r="C158" s="104">
        <v>68</v>
      </c>
      <c r="D158" s="104">
        <v>1076.8</v>
      </c>
      <c r="F158" s="104">
        <v>112.834</v>
      </c>
    </row>
    <row r="159" spans="1:6" x14ac:dyDescent="0.2">
      <c r="A159" s="147">
        <v>8.85</v>
      </c>
      <c r="B159" s="104">
        <v>55234.8</v>
      </c>
      <c r="C159" s="104">
        <v>68.099999999999994</v>
      </c>
      <c r="D159" s="104">
        <v>1080.4000000000001</v>
      </c>
      <c r="F159" s="104">
        <v>112.72799999999999</v>
      </c>
    </row>
    <row r="160" spans="1:6" x14ac:dyDescent="0.2">
      <c r="A160" s="147">
        <v>8.9</v>
      </c>
      <c r="B160" s="104">
        <v>55575.4</v>
      </c>
      <c r="C160" s="104">
        <v>68.2</v>
      </c>
      <c r="D160" s="104">
        <v>1083.9000000000001</v>
      </c>
      <c r="F160" s="104">
        <v>112.628</v>
      </c>
    </row>
    <row r="161" spans="1:6" x14ac:dyDescent="0.2">
      <c r="A161" s="147">
        <v>8.9499999999999993</v>
      </c>
      <c r="B161" s="104">
        <v>55916.5</v>
      </c>
      <c r="C161" s="104">
        <v>68.2</v>
      </c>
      <c r="D161" s="104">
        <v>1087.0999999999999</v>
      </c>
      <c r="F161" s="104">
        <v>112.53700000000001</v>
      </c>
    </row>
    <row r="162" spans="1:6" x14ac:dyDescent="0.2">
      <c r="A162" s="147">
        <v>9</v>
      </c>
      <c r="B162" s="104">
        <v>56257.9</v>
      </c>
      <c r="C162" s="104">
        <v>68.3</v>
      </c>
      <c r="D162" s="104">
        <v>1090.8</v>
      </c>
      <c r="F162" s="104">
        <v>112.43300000000001</v>
      </c>
    </row>
    <row r="163" spans="1:6" x14ac:dyDescent="0.2">
      <c r="A163" s="147">
        <v>9.0499999999999989</v>
      </c>
      <c r="B163" s="104">
        <v>56599.6</v>
      </c>
      <c r="C163" s="104">
        <v>68.400000000000006</v>
      </c>
      <c r="D163" s="104">
        <v>1094.2</v>
      </c>
      <c r="F163" s="104">
        <v>112.33499999999999</v>
      </c>
    </row>
    <row r="164" spans="1:6" x14ac:dyDescent="0.2">
      <c r="A164" s="147">
        <v>9.1</v>
      </c>
      <c r="B164" s="104">
        <v>56941.7</v>
      </c>
      <c r="C164" s="104">
        <v>68.400000000000006</v>
      </c>
      <c r="D164" s="104">
        <v>1097.3</v>
      </c>
      <c r="F164" s="104">
        <v>112.245</v>
      </c>
    </row>
    <row r="165" spans="1:6" x14ac:dyDescent="0.2">
      <c r="A165" s="147">
        <v>9.15</v>
      </c>
      <c r="B165" s="104">
        <v>57284.2</v>
      </c>
      <c r="C165" s="104">
        <v>68.5</v>
      </c>
      <c r="D165" s="104">
        <v>1100.4000000000001</v>
      </c>
      <c r="F165" s="104">
        <v>112.158</v>
      </c>
    </row>
    <row r="166" spans="1:6" x14ac:dyDescent="0.2">
      <c r="A166" s="147">
        <v>9.1999999999999993</v>
      </c>
      <c r="B166" s="104">
        <v>57626.9</v>
      </c>
      <c r="C166" s="104">
        <v>68.599999999999994</v>
      </c>
      <c r="D166" s="104">
        <v>1105.3</v>
      </c>
      <c r="F166" s="104">
        <v>112.015</v>
      </c>
    </row>
    <row r="167" spans="1:6" x14ac:dyDescent="0.2">
      <c r="A167" s="147">
        <v>9.25</v>
      </c>
      <c r="B167" s="104">
        <v>57970</v>
      </c>
      <c r="C167" s="104">
        <v>68.7</v>
      </c>
      <c r="D167" s="104">
        <v>1109.0999999999999</v>
      </c>
      <c r="F167" s="104">
        <v>111.908</v>
      </c>
    </row>
    <row r="168" spans="1:6" x14ac:dyDescent="0.2">
      <c r="A168" s="147">
        <v>9.2999999999999989</v>
      </c>
      <c r="B168" s="104">
        <v>58313.599999999999</v>
      </c>
      <c r="C168" s="104">
        <v>68.7</v>
      </c>
      <c r="D168" s="104">
        <v>1112.4000000000001</v>
      </c>
      <c r="F168" s="104">
        <v>111.815</v>
      </c>
    </row>
    <row r="169" spans="1:6" x14ac:dyDescent="0.2">
      <c r="A169" s="147">
        <v>9.35</v>
      </c>
      <c r="B169" s="104">
        <v>58657.5</v>
      </c>
      <c r="C169" s="104">
        <v>68.8</v>
      </c>
      <c r="D169" s="104">
        <v>1116</v>
      </c>
      <c r="F169" s="104">
        <v>111.711</v>
      </c>
    </row>
    <row r="170" spans="1:6" x14ac:dyDescent="0.2">
      <c r="A170" s="147">
        <v>9.4</v>
      </c>
      <c r="B170" s="104">
        <v>59001.9</v>
      </c>
      <c r="C170" s="104">
        <v>68.900000000000006</v>
      </c>
      <c r="D170" s="104">
        <v>1119.8</v>
      </c>
      <c r="F170" s="104">
        <v>111.602</v>
      </c>
    </row>
    <row r="171" spans="1:6" x14ac:dyDescent="0.2">
      <c r="A171" s="147">
        <v>9.4499999999999993</v>
      </c>
      <c r="B171" s="104">
        <v>59346.6</v>
      </c>
      <c r="C171" s="104">
        <v>69</v>
      </c>
      <c r="D171" s="104">
        <v>1123.2</v>
      </c>
      <c r="F171" s="104">
        <v>111.50700000000001</v>
      </c>
    </row>
    <row r="172" spans="1:6" x14ac:dyDescent="0.2">
      <c r="A172" s="147">
        <v>9.5</v>
      </c>
      <c r="B172" s="104">
        <v>59691.5</v>
      </c>
      <c r="C172" s="104">
        <v>69</v>
      </c>
      <c r="D172" s="104">
        <v>1126.5999999999999</v>
      </c>
      <c r="F172" s="104">
        <v>111.41200000000001</v>
      </c>
    </row>
    <row r="173" spans="1:6" x14ac:dyDescent="0.2">
      <c r="A173" s="147">
        <v>9.5499999999999989</v>
      </c>
      <c r="B173" s="104">
        <v>60036.9</v>
      </c>
      <c r="C173" s="104">
        <v>69.099999999999994</v>
      </c>
      <c r="D173" s="104">
        <v>1131.4000000000001</v>
      </c>
      <c r="F173" s="104">
        <v>111.274</v>
      </c>
    </row>
    <row r="174" spans="1:6" x14ac:dyDescent="0.2">
      <c r="A174" s="147">
        <v>9.6</v>
      </c>
      <c r="B174" s="104">
        <v>60382.7</v>
      </c>
      <c r="C174" s="104">
        <v>69.2</v>
      </c>
      <c r="D174" s="104">
        <v>1134.8</v>
      </c>
      <c r="F174" s="104">
        <v>111.17700000000001</v>
      </c>
    </row>
    <row r="175" spans="1:6" x14ac:dyDescent="0.2">
      <c r="A175" s="147">
        <v>9.65</v>
      </c>
      <c r="B175" s="104">
        <v>60728.800000000003</v>
      </c>
      <c r="C175" s="104">
        <v>69.3</v>
      </c>
      <c r="D175" s="104">
        <v>1138.0999999999999</v>
      </c>
      <c r="F175" s="104">
        <v>111.08499999999999</v>
      </c>
    </row>
    <row r="176" spans="1:6" x14ac:dyDescent="0.2">
      <c r="A176" s="147">
        <v>9.6999999999999993</v>
      </c>
      <c r="B176" s="104">
        <v>61075.4</v>
      </c>
      <c r="C176" s="104">
        <v>69.3</v>
      </c>
      <c r="D176" s="104">
        <v>1142.3</v>
      </c>
      <c r="F176" s="104">
        <v>110.968</v>
      </c>
    </row>
    <row r="177" spans="1:6" x14ac:dyDescent="0.2">
      <c r="A177" s="147">
        <v>9.75</v>
      </c>
      <c r="B177" s="104">
        <v>61422.3</v>
      </c>
      <c r="C177" s="104">
        <v>69.400000000000006</v>
      </c>
      <c r="D177" s="104">
        <v>1145.7</v>
      </c>
      <c r="F177" s="104">
        <v>110.872</v>
      </c>
    </row>
    <row r="178" spans="1:6" x14ac:dyDescent="0.2">
      <c r="A178" s="147">
        <v>9.7999999999999989</v>
      </c>
      <c r="B178" s="104">
        <v>61769.4</v>
      </c>
      <c r="C178" s="104">
        <v>69.5</v>
      </c>
      <c r="D178" s="104">
        <v>1148.8</v>
      </c>
      <c r="F178" s="104">
        <v>110.78400000000001</v>
      </c>
    </row>
    <row r="179" spans="1:6" x14ac:dyDescent="0.2">
      <c r="A179" s="147">
        <v>9.85</v>
      </c>
      <c r="B179" s="104">
        <v>62117</v>
      </c>
      <c r="C179" s="104">
        <v>69.599999999999994</v>
      </c>
      <c r="D179" s="104">
        <v>1153.8</v>
      </c>
      <c r="F179" s="104">
        <v>110.645</v>
      </c>
    </row>
    <row r="180" spans="1:6" x14ac:dyDescent="0.2">
      <c r="A180" s="147">
        <v>9.9</v>
      </c>
      <c r="B180" s="104">
        <v>62465.1</v>
      </c>
      <c r="C180" s="104">
        <v>69.599999999999994</v>
      </c>
      <c r="D180" s="104">
        <v>1157.3</v>
      </c>
      <c r="F180" s="104">
        <v>110.54600000000001</v>
      </c>
    </row>
    <row r="181" spans="1:6" x14ac:dyDescent="0.2">
      <c r="A181" s="147">
        <v>9.9499999999999993</v>
      </c>
      <c r="B181" s="104">
        <v>62813.4</v>
      </c>
      <c r="C181" s="104">
        <v>69.7</v>
      </c>
      <c r="D181" s="104">
        <v>1160.5999999999999</v>
      </c>
      <c r="F181" s="104">
        <v>110.45399999999999</v>
      </c>
    </row>
    <row r="182" spans="1:6" x14ac:dyDescent="0.2">
      <c r="A182" s="147">
        <v>10</v>
      </c>
      <c r="B182" s="104">
        <v>63162.2</v>
      </c>
      <c r="C182" s="104">
        <v>69.8</v>
      </c>
      <c r="D182" s="104">
        <v>1164.9000000000001</v>
      </c>
      <c r="F182" s="104">
        <v>110.334</v>
      </c>
    </row>
    <row r="183" spans="1:6" x14ac:dyDescent="0.2">
      <c r="A183" s="147">
        <v>10.049999999999999</v>
      </c>
      <c r="B183" s="104">
        <v>63511.3</v>
      </c>
      <c r="C183" s="104">
        <v>69.8</v>
      </c>
      <c r="D183" s="104">
        <v>1168.3</v>
      </c>
      <c r="F183" s="104">
        <v>110.24</v>
      </c>
    </row>
    <row r="184" spans="1:6" x14ac:dyDescent="0.2">
      <c r="A184" s="147">
        <v>10.1</v>
      </c>
      <c r="B184" s="104">
        <v>63860.800000000003</v>
      </c>
      <c r="C184" s="104">
        <v>69.900000000000006</v>
      </c>
      <c r="D184" s="104">
        <v>1172.9000000000001</v>
      </c>
      <c r="F184" s="104">
        <v>110.111</v>
      </c>
    </row>
    <row r="185" spans="1:6" x14ac:dyDescent="0.2">
      <c r="A185" s="147">
        <v>10.15</v>
      </c>
      <c r="B185" s="104">
        <v>64210.7</v>
      </c>
      <c r="C185" s="104">
        <v>70</v>
      </c>
      <c r="D185" s="104">
        <v>1176.8</v>
      </c>
      <c r="F185" s="104">
        <v>110.004</v>
      </c>
    </row>
    <row r="186" spans="1:6" x14ac:dyDescent="0.2">
      <c r="A186" s="147">
        <v>10.199999999999999</v>
      </c>
      <c r="B186" s="104">
        <v>64560.9</v>
      </c>
      <c r="C186" s="104">
        <v>70.099999999999994</v>
      </c>
      <c r="D186" s="104">
        <v>1180.5</v>
      </c>
      <c r="F186" s="104">
        <v>109.901</v>
      </c>
    </row>
    <row r="187" spans="1:6" x14ac:dyDescent="0.2">
      <c r="A187" s="147">
        <v>10.25</v>
      </c>
      <c r="B187" s="104">
        <v>64911.5</v>
      </c>
      <c r="C187" s="104">
        <v>70.099999999999994</v>
      </c>
      <c r="D187" s="104">
        <v>1183.7</v>
      </c>
      <c r="F187" s="104">
        <v>109.81399999999999</v>
      </c>
    </row>
    <row r="188" spans="1:6" x14ac:dyDescent="0.2">
      <c r="A188" s="147">
        <v>10.299999999999999</v>
      </c>
      <c r="B188" s="104">
        <v>65262.400000000001</v>
      </c>
      <c r="C188" s="104">
        <v>70.2</v>
      </c>
      <c r="D188" s="104">
        <v>1186.3</v>
      </c>
      <c r="F188" s="104">
        <v>109.742</v>
      </c>
    </row>
    <row r="189" spans="1:6" x14ac:dyDescent="0.2">
      <c r="A189" s="147">
        <v>10.35</v>
      </c>
      <c r="B189" s="104">
        <v>65613.600000000006</v>
      </c>
      <c r="C189" s="104">
        <v>70.2</v>
      </c>
      <c r="D189" s="104">
        <v>1188.8</v>
      </c>
      <c r="F189" s="104">
        <v>109.676</v>
      </c>
    </row>
    <row r="190" spans="1:6" x14ac:dyDescent="0.2">
      <c r="A190" s="147">
        <v>10.4</v>
      </c>
      <c r="B190" s="104">
        <v>65964.899999999994</v>
      </c>
      <c r="C190" s="104">
        <v>70.3</v>
      </c>
      <c r="D190" s="104">
        <v>1191</v>
      </c>
      <c r="F190" s="104">
        <v>109.617</v>
      </c>
    </row>
    <row r="191" spans="1:6" x14ac:dyDescent="0.2">
      <c r="A191" s="147">
        <v>10.45</v>
      </c>
      <c r="B191" s="104">
        <v>66316.5</v>
      </c>
      <c r="C191" s="104">
        <v>70.3</v>
      </c>
      <c r="D191" s="104">
        <v>1193.0999999999999</v>
      </c>
      <c r="F191" s="104">
        <v>109.56</v>
      </c>
    </row>
    <row r="192" spans="1:6" x14ac:dyDescent="0.2">
      <c r="A192" s="147">
        <v>10.5</v>
      </c>
      <c r="B192" s="104">
        <v>66668.2</v>
      </c>
      <c r="C192" s="104">
        <v>70.400000000000006</v>
      </c>
      <c r="D192" s="104">
        <v>1195.0999999999999</v>
      </c>
      <c r="F192" s="104">
        <v>109.50700000000001</v>
      </c>
    </row>
    <row r="193" spans="1:6" x14ac:dyDescent="0.2">
      <c r="A193" s="147">
        <v>10.549999999999999</v>
      </c>
      <c r="B193" s="104">
        <v>67020.2</v>
      </c>
      <c r="C193" s="104">
        <v>70.400000000000006</v>
      </c>
      <c r="D193" s="104">
        <v>1197</v>
      </c>
      <c r="F193" s="104">
        <v>109.45699999999999</v>
      </c>
    </row>
    <row r="194" spans="1:6" x14ac:dyDescent="0.2">
      <c r="A194" s="147">
        <v>10.6</v>
      </c>
      <c r="B194" s="104">
        <v>67372.3</v>
      </c>
      <c r="C194" s="104">
        <v>70.400000000000006</v>
      </c>
      <c r="D194" s="104">
        <v>1198.7</v>
      </c>
      <c r="F194" s="104">
        <v>109.41</v>
      </c>
    </row>
    <row r="195" spans="1:6" x14ac:dyDescent="0.2">
      <c r="A195" s="147">
        <v>10.65</v>
      </c>
      <c r="B195" s="104">
        <v>67724.600000000006</v>
      </c>
      <c r="C195" s="104">
        <v>70.5</v>
      </c>
      <c r="D195" s="104">
        <v>1200.5</v>
      </c>
      <c r="F195" s="104">
        <v>109.36499999999999</v>
      </c>
    </row>
    <row r="196" spans="1:6" x14ac:dyDescent="0.2">
      <c r="A196" s="147">
        <v>10.7</v>
      </c>
      <c r="B196" s="104">
        <v>68077.100000000006</v>
      </c>
      <c r="C196" s="104">
        <v>70.5</v>
      </c>
      <c r="D196" s="104">
        <v>1202.0999999999999</v>
      </c>
      <c r="F196" s="104">
        <v>109.321</v>
      </c>
    </row>
    <row r="197" spans="1:6" x14ac:dyDescent="0.2">
      <c r="A197" s="147">
        <v>10.75</v>
      </c>
      <c r="B197" s="104">
        <v>68429.8</v>
      </c>
      <c r="C197" s="104">
        <v>70.5</v>
      </c>
      <c r="D197" s="104">
        <v>1203.7</v>
      </c>
      <c r="F197" s="104">
        <v>109.28</v>
      </c>
    </row>
    <row r="198" spans="1:6" x14ac:dyDescent="0.2">
      <c r="A198" s="147">
        <v>10.799999999999999</v>
      </c>
      <c r="B198" s="104">
        <v>68782.600000000006</v>
      </c>
      <c r="C198" s="104">
        <v>70.599999999999994</v>
      </c>
      <c r="D198" s="104">
        <v>1205.2</v>
      </c>
      <c r="F198" s="104">
        <v>109.24</v>
      </c>
    </row>
    <row r="199" spans="1:6" x14ac:dyDescent="0.2">
      <c r="A199" s="147">
        <v>10.85</v>
      </c>
      <c r="B199" s="104">
        <v>69135.600000000006</v>
      </c>
      <c r="C199" s="104">
        <v>70.599999999999994</v>
      </c>
      <c r="D199" s="104">
        <v>1206.7</v>
      </c>
      <c r="F199" s="104">
        <v>109.20099999999999</v>
      </c>
    </row>
    <row r="200" spans="1:6" x14ac:dyDescent="0.2">
      <c r="A200" s="147">
        <v>10.9</v>
      </c>
      <c r="B200" s="104">
        <v>69488.7</v>
      </c>
      <c r="C200" s="104">
        <v>70.599999999999994</v>
      </c>
      <c r="D200" s="104">
        <v>1208.0999999999999</v>
      </c>
      <c r="F200" s="104">
        <v>109.164</v>
      </c>
    </row>
    <row r="201" spans="1:6" x14ac:dyDescent="0.2">
      <c r="A201" s="147">
        <v>10.95</v>
      </c>
      <c r="B201" s="104">
        <v>69842</v>
      </c>
      <c r="C201" s="104">
        <v>70.7</v>
      </c>
      <c r="D201" s="104">
        <v>1209.5</v>
      </c>
      <c r="F201" s="104">
        <v>109.128</v>
      </c>
    </row>
    <row r="202" spans="1:6" x14ac:dyDescent="0.2">
      <c r="A202" s="147">
        <v>11</v>
      </c>
      <c r="B202" s="104">
        <v>70195.399999999994</v>
      </c>
      <c r="C202" s="104">
        <v>70.7</v>
      </c>
      <c r="D202" s="104">
        <v>1210.8</v>
      </c>
      <c r="F202" s="104">
        <v>109.093</v>
      </c>
    </row>
    <row r="203" spans="1:6" x14ac:dyDescent="0.2">
      <c r="A203" s="147">
        <v>11.049999999999999</v>
      </c>
      <c r="B203" s="104">
        <v>70549</v>
      </c>
      <c r="C203" s="104">
        <v>70.7</v>
      </c>
      <c r="D203" s="104">
        <v>1212.0999999999999</v>
      </c>
      <c r="F203" s="104">
        <v>109.059</v>
      </c>
    </row>
    <row r="204" spans="1:6" x14ac:dyDescent="0.2">
      <c r="A204" s="147">
        <v>11.1</v>
      </c>
      <c r="B204" s="104">
        <v>70902.600000000006</v>
      </c>
      <c r="C204" s="104">
        <v>70.7</v>
      </c>
      <c r="D204" s="104">
        <v>1213.4000000000001</v>
      </c>
      <c r="F204" s="104">
        <v>109.026</v>
      </c>
    </row>
    <row r="205" spans="1:6" x14ac:dyDescent="0.2">
      <c r="A205" s="147">
        <v>11.15</v>
      </c>
      <c r="B205" s="104">
        <v>71256.399999999994</v>
      </c>
      <c r="C205" s="104">
        <v>70.8</v>
      </c>
      <c r="D205" s="104">
        <v>1214.5999999999999</v>
      </c>
      <c r="F205" s="104">
        <v>108.995</v>
      </c>
    </row>
    <row r="206" spans="1:6" x14ac:dyDescent="0.2">
      <c r="A206" s="147">
        <v>11.2</v>
      </c>
      <c r="B206" s="104">
        <v>71610.399999999994</v>
      </c>
      <c r="C206" s="104">
        <v>70.8</v>
      </c>
      <c r="D206" s="104">
        <v>1215.8</v>
      </c>
      <c r="F206" s="104">
        <v>108.964</v>
      </c>
    </row>
    <row r="207" spans="1:6" x14ac:dyDescent="0.2">
      <c r="A207" s="147">
        <v>11.25</v>
      </c>
      <c r="B207" s="104">
        <v>71964.5</v>
      </c>
      <c r="C207" s="104">
        <v>70.8</v>
      </c>
      <c r="D207" s="104">
        <v>1216.9000000000001</v>
      </c>
      <c r="F207" s="104">
        <v>108.934</v>
      </c>
    </row>
    <row r="208" spans="1:6" x14ac:dyDescent="0.2">
      <c r="A208" s="147">
        <v>11.299999999999999</v>
      </c>
      <c r="B208" s="104">
        <v>72318.600000000006</v>
      </c>
      <c r="C208" s="104">
        <v>70.8</v>
      </c>
      <c r="D208" s="104">
        <v>1218.0999999999999</v>
      </c>
      <c r="F208" s="104">
        <v>108.904</v>
      </c>
    </row>
    <row r="209" spans="1:6" x14ac:dyDescent="0.2">
      <c r="A209" s="147">
        <v>11.35</v>
      </c>
      <c r="B209" s="104">
        <v>72672.899999999994</v>
      </c>
      <c r="C209" s="104">
        <v>70.900000000000006</v>
      </c>
      <c r="D209" s="104">
        <v>1219.2</v>
      </c>
      <c r="F209" s="104">
        <v>108.876</v>
      </c>
    </row>
    <row r="210" spans="1:6" x14ac:dyDescent="0.2">
      <c r="A210" s="147">
        <v>11.4</v>
      </c>
      <c r="B210" s="104">
        <v>73027.399999999994</v>
      </c>
      <c r="C210" s="104">
        <v>70.900000000000006</v>
      </c>
      <c r="D210" s="104">
        <v>1220.3</v>
      </c>
      <c r="F210" s="104">
        <v>108.848</v>
      </c>
    </row>
    <row r="211" spans="1:6" x14ac:dyDescent="0.2">
      <c r="A211" s="147">
        <v>11.45</v>
      </c>
      <c r="B211" s="104">
        <v>73381.899999999994</v>
      </c>
      <c r="C211" s="104">
        <v>70.900000000000006</v>
      </c>
      <c r="D211" s="104">
        <v>1221.3</v>
      </c>
      <c r="F211" s="104">
        <v>108.821</v>
      </c>
    </row>
    <row r="212" spans="1:6" x14ac:dyDescent="0.2">
      <c r="A212" s="147">
        <v>11.5</v>
      </c>
      <c r="B212" s="104">
        <v>73736.5</v>
      </c>
      <c r="C212" s="104">
        <v>70.900000000000006</v>
      </c>
      <c r="D212" s="104">
        <v>1222.4000000000001</v>
      </c>
      <c r="F212" s="104">
        <v>108.795</v>
      </c>
    </row>
    <row r="213" spans="1:6" x14ac:dyDescent="0.2">
      <c r="A213" s="147">
        <v>11.549999999999999</v>
      </c>
      <c r="B213" s="104">
        <v>74091.3</v>
      </c>
      <c r="C213" s="104">
        <v>71</v>
      </c>
      <c r="D213" s="104">
        <v>1223.4000000000001</v>
      </c>
      <c r="F213" s="104">
        <v>108.76900000000001</v>
      </c>
    </row>
    <row r="214" spans="1:6" x14ac:dyDescent="0.2">
      <c r="A214" s="147">
        <v>11.6</v>
      </c>
      <c r="B214" s="104">
        <v>74446.100000000006</v>
      </c>
      <c r="C214" s="104">
        <v>71</v>
      </c>
      <c r="D214" s="104">
        <v>1224.3</v>
      </c>
      <c r="F214" s="104">
        <v>108.744</v>
      </c>
    </row>
    <row r="215" spans="1:6" x14ac:dyDescent="0.2">
      <c r="A215" s="147">
        <v>11.65</v>
      </c>
      <c r="B215" s="104">
        <v>74801.100000000006</v>
      </c>
      <c r="C215" s="104">
        <v>71</v>
      </c>
      <c r="D215" s="104">
        <v>1225.3</v>
      </c>
      <c r="F215" s="104">
        <v>108.71899999999999</v>
      </c>
    </row>
    <row r="216" spans="1:6" x14ac:dyDescent="0.2">
      <c r="A216" s="147">
        <v>11.7</v>
      </c>
      <c r="B216" s="104">
        <v>75156.100000000006</v>
      </c>
      <c r="C216" s="104">
        <v>71</v>
      </c>
      <c r="D216" s="104">
        <v>1226.2</v>
      </c>
      <c r="F216" s="104">
        <v>108.69499999999999</v>
      </c>
    </row>
    <row r="217" spans="1:6" x14ac:dyDescent="0.2">
      <c r="A217" s="147">
        <v>11.75</v>
      </c>
      <c r="B217" s="104">
        <v>75511.3</v>
      </c>
      <c r="C217" s="104">
        <v>71</v>
      </c>
      <c r="D217" s="104">
        <v>1227.2</v>
      </c>
      <c r="F217" s="104">
        <v>108.672</v>
      </c>
    </row>
    <row r="218" spans="1:6" x14ac:dyDescent="0.2">
      <c r="A218" s="147">
        <v>11.799999999999999</v>
      </c>
      <c r="B218" s="104">
        <v>75866.5</v>
      </c>
      <c r="C218" s="104">
        <v>71.099999999999994</v>
      </c>
      <c r="D218" s="104">
        <v>1228.0999999999999</v>
      </c>
      <c r="F218" s="104">
        <v>108.649</v>
      </c>
    </row>
    <row r="219" spans="1:6" x14ac:dyDescent="0.2">
      <c r="A219" s="147">
        <v>11.85</v>
      </c>
      <c r="B219" s="104">
        <v>76221.899999999994</v>
      </c>
      <c r="C219" s="104">
        <v>71.099999999999994</v>
      </c>
      <c r="D219" s="104">
        <v>1229</v>
      </c>
      <c r="F219" s="104">
        <v>108.627</v>
      </c>
    </row>
    <row r="220" spans="1:6" x14ac:dyDescent="0.2">
      <c r="A220" s="147">
        <v>11.9</v>
      </c>
      <c r="B220" s="104">
        <v>76577.3</v>
      </c>
      <c r="C220" s="104">
        <v>71.099999999999994</v>
      </c>
      <c r="D220" s="104">
        <v>1229.8</v>
      </c>
      <c r="F220" s="104">
        <v>108.605</v>
      </c>
    </row>
    <row r="221" spans="1:6" x14ac:dyDescent="0.2">
      <c r="A221" s="147">
        <v>11.95</v>
      </c>
      <c r="B221" s="104">
        <v>76932.800000000003</v>
      </c>
      <c r="C221" s="104">
        <v>71.099999999999994</v>
      </c>
      <c r="D221" s="104">
        <v>1230.7</v>
      </c>
      <c r="F221" s="104">
        <v>108.584</v>
      </c>
    </row>
    <row r="222" spans="1:6" x14ac:dyDescent="0.2">
      <c r="A222" s="147">
        <v>12</v>
      </c>
      <c r="B222" s="104">
        <v>77288.399999999994</v>
      </c>
      <c r="C222" s="104">
        <v>71.099999999999994</v>
      </c>
      <c r="D222" s="104">
        <v>1231.5</v>
      </c>
      <c r="F222" s="104">
        <v>108.563</v>
      </c>
    </row>
    <row r="223" spans="1:6" x14ac:dyDescent="0.2">
      <c r="A223" s="147">
        <v>12.049999999999999</v>
      </c>
      <c r="B223" s="104">
        <v>77644.100000000006</v>
      </c>
      <c r="C223" s="104">
        <v>71.099999999999994</v>
      </c>
      <c r="D223" s="104">
        <v>1232.3</v>
      </c>
      <c r="F223" s="104">
        <v>108.54300000000001</v>
      </c>
    </row>
    <row r="224" spans="1:6" x14ac:dyDescent="0.2">
      <c r="A224" s="147">
        <v>12.1</v>
      </c>
      <c r="B224" s="104">
        <v>77999.899999999994</v>
      </c>
      <c r="C224" s="104">
        <v>71.2</v>
      </c>
      <c r="D224" s="104">
        <v>1233.0999999999999</v>
      </c>
      <c r="F224" s="104">
        <v>108.523</v>
      </c>
    </row>
    <row r="225" spans="1:6" x14ac:dyDescent="0.2">
      <c r="A225" s="147">
        <v>12.15</v>
      </c>
      <c r="B225" s="104">
        <v>78355.8</v>
      </c>
      <c r="C225" s="104">
        <v>71.2</v>
      </c>
      <c r="D225" s="104">
        <v>1233.9000000000001</v>
      </c>
      <c r="F225" s="104">
        <v>108.504</v>
      </c>
    </row>
    <row r="226" spans="1:6" x14ac:dyDescent="0.2">
      <c r="A226" s="147">
        <v>12.2</v>
      </c>
      <c r="B226" s="104">
        <v>78711.7</v>
      </c>
      <c r="C226" s="104">
        <v>71.2</v>
      </c>
      <c r="D226" s="104">
        <v>1234.7</v>
      </c>
      <c r="F226" s="104">
        <v>108.485</v>
      </c>
    </row>
    <row r="227" spans="1:6" x14ac:dyDescent="0.2">
      <c r="A227" s="147">
        <v>12.25</v>
      </c>
      <c r="B227" s="104">
        <v>79067.8</v>
      </c>
      <c r="C227" s="104">
        <v>71.2</v>
      </c>
      <c r="D227" s="104">
        <v>1235.4000000000001</v>
      </c>
      <c r="F227" s="104">
        <v>108.467</v>
      </c>
    </row>
    <row r="228" spans="1:6" x14ac:dyDescent="0.2">
      <c r="A228" s="147">
        <v>12.299999999999999</v>
      </c>
      <c r="B228" s="104">
        <v>79423.899999999994</v>
      </c>
      <c r="C228" s="104">
        <v>71.2</v>
      </c>
      <c r="D228" s="104">
        <v>1236.2</v>
      </c>
      <c r="F228" s="104">
        <v>108.44799999999999</v>
      </c>
    </row>
    <row r="229" spans="1:6" x14ac:dyDescent="0.2">
      <c r="A229" s="147">
        <v>12.35</v>
      </c>
      <c r="B229" s="104">
        <v>79780.100000000006</v>
      </c>
      <c r="C229" s="104">
        <v>71.2</v>
      </c>
      <c r="D229" s="104">
        <v>1236.9000000000001</v>
      </c>
      <c r="F229" s="104">
        <v>108.431</v>
      </c>
    </row>
    <row r="230" spans="1:6" x14ac:dyDescent="0.2">
      <c r="A230" s="147">
        <v>12.4</v>
      </c>
      <c r="B230" s="104">
        <v>80136.399999999994</v>
      </c>
      <c r="C230" s="104">
        <v>71.3</v>
      </c>
      <c r="D230" s="104">
        <v>1237.5999999999999</v>
      </c>
      <c r="F230" s="104">
        <v>108.413</v>
      </c>
    </row>
    <row r="231" spans="1:6" x14ac:dyDescent="0.2">
      <c r="A231" s="147">
        <v>12.45</v>
      </c>
      <c r="B231" s="104">
        <v>80492.7</v>
      </c>
      <c r="C231" s="104">
        <v>71.3</v>
      </c>
      <c r="D231" s="104">
        <v>1238.3</v>
      </c>
      <c r="F231" s="104">
        <v>108.396</v>
      </c>
    </row>
    <row r="232" spans="1:6" x14ac:dyDescent="0.2">
      <c r="A232" s="147">
        <v>12.5</v>
      </c>
      <c r="B232" s="104">
        <v>80849.100000000006</v>
      </c>
      <c r="C232" s="104">
        <v>71.3</v>
      </c>
      <c r="D232" s="104">
        <v>1239</v>
      </c>
      <c r="F232" s="104">
        <v>108.38</v>
      </c>
    </row>
    <row r="233" spans="1:6" x14ac:dyDescent="0.2">
      <c r="A233" s="147">
        <v>12.549999999999999</v>
      </c>
      <c r="B233" s="104">
        <v>81205.600000000006</v>
      </c>
      <c r="C233" s="104">
        <v>71.3</v>
      </c>
      <c r="D233" s="104">
        <v>1239.7</v>
      </c>
      <c r="F233" s="104">
        <v>108.364</v>
      </c>
    </row>
    <row r="234" spans="1:6" x14ac:dyDescent="0.2">
      <c r="A234" s="147">
        <v>12.6</v>
      </c>
      <c r="B234" s="104">
        <v>81562.100000000006</v>
      </c>
      <c r="C234" s="104">
        <v>71.3</v>
      </c>
      <c r="D234" s="104">
        <v>1240.3</v>
      </c>
      <c r="F234" s="104">
        <v>108.348</v>
      </c>
    </row>
    <row r="235" spans="1:6" x14ac:dyDescent="0.2">
      <c r="A235" s="147">
        <v>12.65</v>
      </c>
      <c r="B235" s="104">
        <v>81918.8</v>
      </c>
      <c r="C235" s="104">
        <v>71.3</v>
      </c>
      <c r="D235" s="104">
        <v>1241</v>
      </c>
      <c r="F235" s="104">
        <v>108.33199999999999</v>
      </c>
    </row>
    <row r="236" spans="1:6" x14ac:dyDescent="0.2">
      <c r="A236" s="147">
        <v>12.7</v>
      </c>
      <c r="B236" s="104">
        <v>82275.5</v>
      </c>
      <c r="C236" s="104">
        <v>71.3</v>
      </c>
      <c r="D236" s="104">
        <v>1241.5999999999999</v>
      </c>
      <c r="F236" s="104">
        <v>108.31699999999999</v>
      </c>
    </row>
    <row r="237" spans="1:6" x14ac:dyDescent="0.2">
      <c r="A237" s="147">
        <v>12.75</v>
      </c>
      <c r="B237" s="104">
        <v>82632.2</v>
      </c>
      <c r="C237" s="104">
        <v>71.400000000000006</v>
      </c>
      <c r="D237" s="104">
        <v>1242.3</v>
      </c>
      <c r="F237" s="104">
        <v>108.30200000000001</v>
      </c>
    </row>
    <row r="238" spans="1:6" x14ac:dyDescent="0.2">
      <c r="A238" s="147">
        <v>12.799999999999999</v>
      </c>
      <c r="B238" s="104">
        <v>82989.100000000006</v>
      </c>
      <c r="C238" s="104">
        <v>71.400000000000006</v>
      </c>
      <c r="D238" s="104">
        <v>1242.9000000000001</v>
      </c>
      <c r="F238" s="104">
        <v>108.28700000000001</v>
      </c>
    </row>
    <row r="239" spans="1:6" x14ac:dyDescent="0.2">
      <c r="A239" s="147">
        <v>12.85</v>
      </c>
      <c r="B239" s="104">
        <v>83346</v>
      </c>
      <c r="C239" s="104">
        <v>71.400000000000006</v>
      </c>
      <c r="D239" s="104">
        <v>1243.5</v>
      </c>
      <c r="F239" s="104">
        <v>108.273</v>
      </c>
    </row>
    <row r="240" spans="1:6" x14ac:dyDescent="0.2">
      <c r="A240" s="147">
        <v>12.9</v>
      </c>
      <c r="B240" s="104">
        <v>83702.899999999994</v>
      </c>
      <c r="C240" s="104">
        <v>71.400000000000006</v>
      </c>
      <c r="D240" s="104">
        <v>1244.0999999999999</v>
      </c>
      <c r="F240" s="104">
        <v>108.259</v>
      </c>
    </row>
    <row r="241" spans="1:6" x14ac:dyDescent="0.2">
      <c r="A241" s="147">
        <v>12.95</v>
      </c>
      <c r="B241" s="104">
        <v>84060</v>
      </c>
      <c r="C241" s="104">
        <v>71.400000000000006</v>
      </c>
      <c r="D241" s="104">
        <v>1244.7</v>
      </c>
      <c r="F241" s="104">
        <v>108.246</v>
      </c>
    </row>
    <row r="242" spans="1:6" x14ac:dyDescent="0.2">
      <c r="A242" s="147">
        <v>13</v>
      </c>
      <c r="B242" s="104">
        <v>84417</v>
      </c>
      <c r="C242" s="104">
        <v>71.400000000000006</v>
      </c>
      <c r="D242" s="104">
        <v>1245.3</v>
      </c>
      <c r="F242" s="104">
        <v>108.232</v>
      </c>
    </row>
    <row r="243" spans="1:6" x14ac:dyDescent="0.2">
      <c r="A243" s="147">
        <v>13.049999999999999</v>
      </c>
      <c r="B243" s="104">
        <v>84774.2</v>
      </c>
      <c r="C243" s="104">
        <v>71.400000000000006</v>
      </c>
      <c r="D243" s="104">
        <v>1245.8</v>
      </c>
      <c r="F243" s="104">
        <v>108.21899999999999</v>
      </c>
    </row>
    <row r="244" spans="1:6" x14ac:dyDescent="0.2">
      <c r="A244" s="147">
        <v>13.1</v>
      </c>
      <c r="B244" s="104">
        <v>85131.4</v>
      </c>
      <c r="C244" s="104">
        <v>71.400000000000006</v>
      </c>
      <c r="D244" s="104">
        <v>1246.4000000000001</v>
      </c>
      <c r="F244" s="104">
        <v>108.206</v>
      </c>
    </row>
    <row r="245" spans="1:6" x14ac:dyDescent="0.2">
      <c r="A245" s="147">
        <v>13.15</v>
      </c>
      <c r="B245" s="104">
        <v>85488.6</v>
      </c>
      <c r="C245" s="104">
        <v>71.5</v>
      </c>
      <c r="D245" s="104">
        <v>1246.9000000000001</v>
      </c>
      <c r="F245" s="104">
        <v>108.194</v>
      </c>
    </row>
    <row r="246" spans="1:6" x14ac:dyDescent="0.2">
      <c r="A246" s="147">
        <v>13.2</v>
      </c>
      <c r="B246" s="104">
        <v>85846</v>
      </c>
      <c r="C246" s="104">
        <v>71.5</v>
      </c>
      <c r="D246" s="104">
        <v>1247.5</v>
      </c>
      <c r="F246" s="104">
        <v>108.182</v>
      </c>
    </row>
    <row r="247" spans="1:6" x14ac:dyDescent="0.2">
      <c r="A247" s="147">
        <v>13.25</v>
      </c>
      <c r="B247" s="104">
        <v>86203.4</v>
      </c>
      <c r="C247" s="104">
        <v>71.5</v>
      </c>
      <c r="D247" s="104">
        <v>1248</v>
      </c>
      <c r="F247" s="104">
        <v>108.169</v>
      </c>
    </row>
    <row r="248" spans="1:6" x14ac:dyDescent="0.2">
      <c r="A248" s="147">
        <v>13.299999999999999</v>
      </c>
      <c r="B248" s="104">
        <v>86560.8</v>
      </c>
      <c r="C248" s="104">
        <v>71.5</v>
      </c>
      <c r="D248" s="104">
        <v>1248.5999999999999</v>
      </c>
      <c r="F248" s="104">
        <v>108.158</v>
      </c>
    </row>
    <row r="249" spans="1:6" x14ac:dyDescent="0.2">
      <c r="A249" s="147">
        <v>13.35</v>
      </c>
      <c r="B249" s="104">
        <v>86918.3</v>
      </c>
      <c r="C249" s="104">
        <v>71.5</v>
      </c>
      <c r="D249" s="104">
        <v>1249.0999999999999</v>
      </c>
      <c r="F249" s="104">
        <v>108.146</v>
      </c>
    </row>
    <row r="250" spans="1:6" x14ac:dyDescent="0.2">
      <c r="A250" s="147">
        <v>13.4</v>
      </c>
      <c r="B250" s="104">
        <v>87275.9</v>
      </c>
      <c r="C250" s="104">
        <v>71.5</v>
      </c>
      <c r="D250" s="104">
        <v>1249.5999999999999</v>
      </c>
      <c r="F250" s="104">
        <v>108.13500000000001</v>
      </c>
    </row>
    <row r="251" spans="1:6" x14ac:dyDescent="0.2">
      <c r="A251" s="147">
        <v>13.45</v>
      </c>
      <c r="B251" s="104">
        <v>87633.4</v>
      </c>
      <c r="C251" s="104">
        <v>71.5</v>
      </c>
      <c r="D251" s="104">
        <v>1250.0999999999999</v>
      </c>
      <c r="F251" s="104">
        <v>108.123</v>
      </c>
    </row>
    <row r="252" spans="1:6" x14ac:dyDescent="0.2">
      <c r="A252" s="147">
        <v>13.5</v>
      </c>
      <c r="B252" s="104">
        <v>87991.1</v>
      </c>
      <c r="C252" s="104">
        <v>71.5</v>
      </c>
      <c r="D252" s="104">
        <v>1250.5999999999999</v>
      </c>
      <c r="F252" s="104">
        <v>108.113</v>
      </c>
    </row>
    <row r="253" spans="1:6" x14ac:dyDescent="0.2">
      <c r="A253" s="147">
        <v>13.549999999999999</v>
      </c>
      <c r="B253" s="104">
        <v>88348.800000000003</v>
      </c>
      <c r="C253" s="104">
        <v>71.5</v>
      </c>
      <c r="D253" s="104">
        <v>1251.0999999999999</v>
      </c>
      <c r="F253" s="104">
        <v>108.102</v>
      </c>
    </row>
    <row r="254" spans="1:6" x14ac:dyDescent="0.2">
      <c r="A254" s="147">
        <v>13.6</v>
      </c>
      <c r="B254" s="104">
        <v>88706.6</v>
      </c>
      <c r="C254" s="104">
        <v>71.599999999999994</v>
      </c>
      <c r="D254" s="104">
        <v>1251.5999999999999</v>
      </c>
      <c r="F254" s="104">
        <v>108.09099999999999</v>
      </c>
    </row>
    <row r="255" spans="1:6" x14ac:dyDescent="0.2">
      <c r="A255" s="147">
        <v>13.65</v>
      </c>
      <c r="B255" s="104">
        <v>89064.4</v>
      </c>
      <c r="C255" s="104">
        <v>71.599999999999994</v>
      </c>
      <c r="D255" s="104">
        <v>1252.0999999999999</v>
      </c>
      <c r="F255" s="104">
        <v>108.081</v>
      </c>
    </row>
    <row r="256" spans="1:6" x14ac:dyDescent="0.2">
      <c r="A256" s="147">
        <v>13.7</v>
      </c>
      <c r="B256" s="104">
        <v>89422.3</v>
      </c>
      <c r="C256" s="104">
        <v>71.599999999999994</v>
      </c>
      <c r="D256" s="104">
        <v>1252.5</v>
      </c>
      <c r="F256" s="104">
        <v>108.071</v>
      </c>
    </row>
    <row r="257" spans="1:6" x14ac:dyDescent="0.2">
      <c r="A257" s="147">
        <v>13.75</v>
      </c>
      <c r="B257" s="104">
        <v>89780.2</v>
      </c>
      <c r="C257" s="104">
        <v>71.599999999999994</v>
      </c>
      <c r="D257" s="104">
        <v>1253</v>
      </c>
      <c r="F257" s="104">
        <v>108.06100000000001</v>
      </c>
    </row>
    <row r="258" spans="1:6" x14ac:dyDescent="0.2">
      <c r="A258" s="147">
        <v>13.799999999999999</v>
      </c>
      <c r="B258" s="104">
        <v>90138.1</v>
      </c>
      <c r="C258" s="104">
        <v>71.599999999999994</v>
      </c>
      <c r="D258" s="104">
        <v>1253.5</v>
      </c>
      <c r="F258" s="104">
        <v>108.051</v>
      </c>
    </row>
    <row r="259" spans="1:6" x14ac:dyDescent="0.2">
      <c r="A259" s="147">
        <v>13.85</v>
      </c>
      <c r="B259" s="104">
        <v>90496.2</v>
      </c>
      <c r="C259" s="104">
        <v>71.599999999999994</v>
      </c>
      <c r="D259" s="104">
        <v>1253.9000000000001</v>
      </c>
      <c r="F259" s="104">
        <v>108.042</v>
      </c>
    </row>
    <row r="260" spans="1:6" x14ac:dyDescent="0.2">
      <c r="A260" s="147">
        <v>13.9</v>
      </c>
      <c r="B260" s="104">
        <v>90854.2</v>
      </c>
      <c r="C260" s="104">
        <v>71.599999999999994</v>
      </c>
      <c r="D260" s="104">
        <v>1254.4000000000001</v>
      </c>
      <c r="F260" s="104">
        <v>108.032</v>
      </c>
    </row>
    <row r="261" spans="1:6" x14ac:dyDescent="0.2">
      <c r="A261" s="147">
        <v>13.95</v>
      </c>
      <c r="B261" s="104">
        <v>91212.3</v>
      </c>
      <c r="C261" s="104">
        <v>71.599999999999994</v>
      </c>
      <c r="D261" s="104">
        <v>1254.8</v>
      </c>
      <c r="F261" s="104">
        <v>108.023</v>
      </c>
    </row>
    <row r="262" spans="1:6" x14ac:dyDescent="0.2">
      <c r="A262" s="147">
        <v>14</v>
      </c>
      <c r="B262" s="104">
        <v>91570.5</v>
      </c>
      <c r="C262" s="104">
        <v>71.599999999999994</v>
      </c>
      <c r="D262" s="104">
        <v>1255.3</v>
      </c>
      <c r="F262" s="104">
        <v>108.014</v>
      </c>
    </row>
    <row r="263" spans="1:6" x14ac:dyDescent="0.2">
      <c r="A263" s="147">
        <v>14.049999999999999</v>
      </c>
      <c r="B263" s="104">
        <v>91928.7</v>
      </c>
      <c r="C263" s="104">
        <v>71.599999999999994</v>
      </c>
      <c r="D263" s="104">
        <v>1255.7</v>
      </c>
      <c r="F263" s="104">
        <v>108.005</v>
      </c>
    </row>
    <row r="264" spans="1:6" x14ac:dyDescent="0.2">
      <c r="A264" s="147">
        <v>14.1</v>
      </c>
      <c r="B264" s="104">
        <v>92287</v>
      </c>
      <c r="C264" s="104">
        <v>71.7</v>
      </c>
      <c r="D264" s="104">
        <v>1256.0999999999999</v>
      </c>
      <c r="F264" s="104">
        <v>107.996</v>
      </c>
    </row>
    <row r="265" spans="1:6" x14ac:dyDescent="0.2">
      <c r="A265" s="147">
        <v>14.15</v>
      </c>
      <c r="B265" s="104">
        <v>92645.2</v>
      </c>
      <c r="C265" s="104">
        <v>71.7</v>
      </c>
      <c r="D265" s="104">
        <v>1256.5999999999999</v>
      </c>
      <c r="F265" s="104">
        <v>107.988</v>
      </c>
    </row>
    <row r="266" spans="1:6" x14ac:dyDescent="0.2">
      <c r="A266" s="147">
        <v>14.2</v>
      </c>
      <c r="B266" s="104">
        <v>93003.6</v>
      </c>
      <c r="C266" s="104">
        <v>71.7</v>
      </c>
      <c r="D266" s="104">
        <v>1257</v>
      </c>
      <c r="F266" s="104">
        <v>107.98</v>
      </c>
    </row>
    <row r="267" spans="1:6" x14ac:dyDescent="0.2">
      <c r="A267" s="147">
        <v>14.25</v>
      </c>
      <c r="B267" s="104">
        <v>93361.9</v>
      </c>
      <c r="C267" s="104">
        <v>71.7</v>
      </c>
      <c r="D267" s="104">
        <v>1257.4000000000001</v>
      </c>
      <c r="F267" s="104">
        <v>107.97199999999999</v>
      </c>
    </row>
    <row r="268" spans="1:6" x14ac:dyDescent="0.2">
      <c r="A268" s="147">
        <v>14.299999999999999</v>
      </c>
      <c r="B268" s="104">
        <v>93720.4</v>
      </c>
      <c r="C268" s="104">
        <v>71.7</v>
      </c>
      <c r="D268" s="104">
        <v>1257.9000000000001</v>
      </c>
      <c r="F268" s="104">
        <v>107.964</v>
      </c>
    </row>
    <row r="269" spans="1:6" x14ac:dyDescent="0.2">
      <c r="A269" s="147">
        <v>14.35</v>
      </c>
      <c r="B269" s="104">
        <v>94078.9</v>
      </c>
      <c r="C269" s="104">
        <v>71.7</v>
      </c>
      <c r="D269" s="104">
        <v>1258.3</v>
      </c>
      <c r="F269" s="104">
        <v>107.95699999999999</v>
      </c>
    </row>
    <row r="270" spans="1:6" x14ac:dyDescent="0.2">
      <c r="A270" s="147">
        <v>14.4</v>
      </c>
      <c r="B270" s="104">
        <v>94437.4</v>
      </c>
      <c r="C270" s="104">
        <v>71.7</v>
      </c>
      <c r="D270" s="104">
        <v>1258.7</v>
      </c>
      <c r="F270" s="104">
        <v>107.949</v>
      </c>
    </row>
    <row r="271" spans="1:6" x14ac:dyDescent="0.2">
      <c r="A271" s="147">
        <v>14.45</v>
      </c>
      <c r="B271" s="104">
        <v>94796</v>
      </c>
      <c r="C271" s="104">
        <v>71.7</v>
      </c>
      <c r="D271" s="104">
        <v>1259.0999999999999</v>
      </c>
      <c r="F271" s="104">
        <v>107.94199999999999</v>
      </c>
    </row>
    <row r="272" spans="1:6" x14ac:dyDescent="0.2">
      <c r="A272" s="147">
        <v>14.5</v>
      </c>
      <c r="B272" s="104">
        <v>95154.7</v>
      </c>
      <c r="C272" s="104">
        <v>71.7</v>
      </c>
      <c r="D272" s="104">
        <v>1259.5</v>
      </c>
      <c r="F272" s="104">
        <v>107.934</v>
      </c>
    </row>
    <row r="273" spans="1:6" x14ac:dyDescent="0.2">
      <c r="A273" s="147">
        <v>14.52</v>
      </c>
      <c r="B273" s="104">
        <v>95298.1</v>
      </c>
      <c r="C273" s="104">
        <v>71.7</v>
      </c>
      <c r="D273" s="104">
        <v>1259.7</v>
      </c>
      <c r="F273" s="104">
        <v>107.931</v>
      </c>
    </row>
    <row r="274" spans="1:6" x14ac:dyDescent="0.2">
      <c r="A274" s="147">
        <v>14.549999999999999</v>
      </c>
      <c r="B274" s="104">
        <v>95513.3</v>
      </c>
      <c r="C274" s="104">
        <v>71.7</v>
      </c>
      <c r="D274" s="104">
        <v>1259.9000000000001</v>
      </c>
      <c r="F274" s="104">
        <v>107.92700000000001</v>
      </c>
    </row>
    <row r="275" spans="1:6" x14ac:dyDescent="0.2">
      <c r="A275" s="147">
        <v>14.6</v>
      </c>
      <c r="B275" s="104">
        <v>95872</v>
      </c>
      <c r="C275" s="104">
        <v>71.7</v>
      </c>
      <c r="D275" s="104">
        <v>1260.3</v>
      </c>
      <c r="F275" s="104">
        <v>107.919</v>
      </c>
    </row>
    <row r="276" spans="1:6" x14ac:dyDescent="0.2">
      <c r="A276" s="147">
        <v>14.65</v>
      </c>
      <c r="B276" s="104">
        <v>96230.8</v>
      </c>
      <c r="C276" s="104">
        <v>71.8</v>
      </c>
      <c r="D276" s="104">
        <v>1260.7</v>
      </c>
      <c r="F276" s="104">
        <v>107.913</v>
      </c>
    </row>
    <row r="277" spans="1:6" x14ac:dyDescent="0.2">
      <c r="A277" s="147">
        <v>14.7</v>
      </c>
      <c r="B277" s="104">
        <v>96589.7</v>
      </c>
      <c r="C277" s="104">
        <v>71.8</v>
      </c>
      <c r="D277" s="104">
        <v>1261.0999999999999</v>
      </c>
      <c r="F277" s="104">
        <v>107.90600000000001</v>
      </c>
    </row>
    <row r="278" spans="1:6" x14ac:dyDescent="0.2">
      <c r="A278" s="147">
        <v>14.75</v>
      </c>
      <c r="B278" s="104">
        <v>96948.6</v>
      </c>
      <c r="C278" s="104">
        <v>71.8</v>
      </c>
      <c r="D278" s="104">
        <v>1261.5</v>
      </c>
      <c r="F278" s="104">
        <v>107.9</v>
      </c>
    </row>
    <row r="279" spans="1:6" x14ac:dyDescent="0.2">
      <c r="A279" s="147">
        <v>14.799999999999999</v>
      </c>
      <c r="B279" s="104">
        <v>97307.5</v>
      </c>
      <c r="C279" s="104">
        <v>71.8</v>
      </c>
      <c r="D279" s="104">
        <v>1261.9000000000001</v>
      </c>
      <c r="F279" s="104">
        <v>107.893</v>
      </c>
    </row>
    <row r="280" spans="1:6" x14ac:dyDescent="0.2">
      <c r="A280" s="147">
        <v>14.85</v>
      </c>
      <c r="B280" s="104">
        <v>97666.5</v>
      </c>
      <c r="C280" s="104">
        <v>71.8</v>
      </c>
      <c r="D280" s="104">
        <v>1262.2</v>
      </c>
      <c r="F280" s="104">
        <v>107.887</v>
      </c>
    </row>
    <row r="281" spans="1:6" x14ac:dyDescent="0.2">
      <c r="A281" s="147">
        <v>14.9</v>
      </c>
      <c r="B281" s="104">
        <v>98025.600000000006</v>
      </c>
      <c r="C281" s="104">
        <v>71.8</v>
      </c>
      <c r="D281" s="104">
        <v>1262.5999999999999</v>
      </c>
      <c r="F281" s="104">
        <v>107.881</v>
      </c>
    </row>
    <row r="282" spans="1:6" x14ac:dyDescent="0.2">
      <c r="A282" s="147">
        <v>14.95</v>
      </c>
      <c r="B282" s="104">
        <v>98384.6</v>
      </c>
      <c r="C282" s="104">
        <v>71.8</v>
      </c>
      <c r="D282" s="104">
        <v>1263</v>
      </c>
      <c r="F282" s="104">
        <v>107.875</v>
      </c>
    </row>
    <row r="283" spans="1:6" x14ac:dyDescent="0.2">
      <c r="A283" s="147">
        <v>15</v>
      </c>
      <c r="B283" s="104">
        <v>98743.7</v>
      </c>
      <c r="C283" s="104">
        <v>71.8</v>
      </c>
      <c r="D283" s="104">
        <v>1263.4000000000001</v>
      </c>
      <c r="F283" s="104">
        <v>107.869</v>
      </c>
    </row>
    <row r="284" spans="1:6" x14ac:dyDescent="0.2">
      <c r="A284" s="147">
        <v>15.049999999999999</v>
      </c>
      <c r="B284" s="104">
        <v>99102.8</v>
      </c>
      <c r="C284" s="104">
        <v>71.8</v>
      </c>
      <c r="D284" s="104">
        <v>1263.8</v>
      </c>
      <c r="F284" s="104">
        <v>107.863</v>
      </c>
    </row>
    <row r="285" spans="1:6" x14ac:dyDescent="0.2">
      <c r="A285" s="147">
        <v>15.1</v>
      </c>
      <c r="B285" s="104">
        <v>99462</v>
      </c>
      <c r="C285" s="104">
        <v>71.8</v>
      </c>
      <c r="D285" s="104">
        <v>1264.0999999999999</v>
      </c>
      <c r="F285" s="104">
        <v>107.858</v>
      </c>
    </row>
    <row r="286" spans="1:6" x14ac:dyDescent="0.2">
      <c r="A286" s="147">
        <v>15.15</v>
      </c>
      <c r="B286" s="104">
        <v>99821.3</v>
      </c>
      <c r="C286" s="104">
        <v>71.8</v>
      </c>
      <c r="D286" s="104">
        <v>1264.5</v>
      </c>
      <c r="F286" s="104">
        <v>107.85299999999999</v>
      </c>
    </row>
    <row r="287" spans="1:6" x14ac:dyDescent="0.2">
      <c r="A287" s="147">
        <v>15.2</v>
      </c>
      <c r="B287" s="104">
        <v>100180.5</v>
      </c>
      <c r="C287" s="104">
        <v>71.8</v>
      </c>
      <c r="D287" s="104">
        <v>1264.9000000000001</v>
      </c>
      <c r="F287" s="104">
        <v>107.84699999999999</v>
      </c>
    </row>
    <row r="288" spans="1:6" x14ac:dyDescent="0.2">
      <c r="A288" s="147">
        <v>15.25</v>
      </c>
      <c r="B288" s="104">
        <v>100539.8</v>
      </c>
      <c r="C288" s="104">
        <v>71.8</v>
      </c>
      <c r="D288" s="104">
        <v>1265.3</v>
      </c>
      <c r="F288" s="104">
        <v>107.842</v>
      </c>
    </row>
    <row r="289" spans="1:6" x14ac:dyDescent="0.2">
      <c r="A289" s="147">
        <v>15.299999999999999</v>
      </c>
      <c r="B289" s="104">
        <v>100899.1</v>
      </c>
      <c r="C289" s="104">
        <v>71.900000000000006</v>
      </c>
      <c r="D289" s="104">
        <v>1265.5999999999999</v>
      </c>
      <c r="F289" s="104">
        <v>107.837</v>
      </c>
    </row>
    <row r="290" spans="1:6" x14ac:dyDescent="0.2">
      <c r="A290" s="147">
        <v>15.35</v>
      </c>
      <c r="B290" s="104">
        <v>101258.5</v>
      </c>
      <c r="C290" s="104">
        <v>71.900000000000006</v>
      </c>
      <c r="D290" s="104">
        <v>1266</v>
      </c>
      <c r="F290" s="104">
        <v>107.83199999999999</v>
      </c>
    </row>
    <row r="291" spans="1:6" x14ac:dyDescent="0.2">
      <c r="A291" s="147">
        <v>15.4</v>
      </c>
      <c r="B291" s="104">
        <v>101617.9</v>
      </c>
      <c r="C291" s="104">
        <v>71.900000000000006</v>
      </c>
      <c r="D291" s="104">
        <v>1266.4000000000001</v>
      </c>
      <c r="F291" s="104">
        <v>107.828</v>
      </c>
    </row>
    <row r="292" spans="1:6" x14ac:dyDescent="0.2">
      <c r="A292" s="147">
        <v>15.45</v>
      </c>
      <c r="B292" s="104">
        <v>101977.4</v>
      </c>
      <c r="C292" s="104">
        <v>71.900000000000006</v>
      </c>
      <c r="D292" s="104">
        <v>1266.7</v>
      </c>
      <c r="F292" s="104">
        <v>107.82299999999999</v>
      </c>
    </row>
    <row r="293" spans="1:6" x14ac:dyDescent="0.2">
      <c r="A293" s="147">
        <v>15.5</v>
      </c>
      <c r="B293" s="104">
        <v>102336.9</v>
      </c>
      <c r="C293" s="104">
        <v>71.900000000000006</v>
      </c>
      <c r="D293" s="104">
        <v>1267.0999999999999</v>
      </c>
      <c r="F293" s="104">
        <v>107.819</v>
      </c>
    </row>
    <row r="294" spans="1:6" x14ac:dyDescent="0.2">
      <c r="A294" s="147">
        <v>15.549999999999999</v>
      </c>
      <c r="B294" s="104">
        <v>102696.4</v>
      </c>
      <c r="C294" s="104">
        <v>71.900000000000006</v>
      </c>
      <c r="D294" s="104">
        <v>1267.5</v>
      </c>
      <c r="F294" s="104">
        <v>107.81399999999999</v>
      </c>
    </row>
    <row r="295" spans="1:6" x14ac:dyDescent="0.2">
      <c r="A295" s="147">
        <v>15.6</v>
      </c>
      <c r="B295" s="104">
        <v>103056</v>
      </c>
      <c r="C295" s="104">
        <v>71.900000000000006</v>
      </c>
      <c r="D295" s="104">
        <v>1267.8</v>
      </c>
      <c r="F295" s="104">
        <v>107.81</v>
      </c>
    </row>
    <row r="296" spans="1:6" x14ac:dyDescent="0.2">
      <c r="A296" s="147">
        <v>15.65</v>
      </c>
      <c r="B296" s="104">
        <v>103415.6</v>
      </c>
      <c r="C296" s="104">
        <v>71.900000000000006</v>
      </c>
      <c r="D296" s="104">
        <v>1268.2</v>
      </c>
      <c r="F296" s="104">
        <v>107.806</v>
      </c>
    </row>
    <row r="297" spans="1:6" x14ac:dyDescent="0.2">
      <c r="A297" s="147">
        <v>15.7</v>
      </c>
      <c r="B297" s="104">
        <v>103775.2</v>
      </c>
      <c r="C297" s="104">
        <v>71.900000000000006</v>
      </c>
      <c r="D297" s="104">
        <v>1268.5</v>
      </c>
      <c r="F297" s="104">
        <v>107.801</v>
      </c>
    </row>
    <row r="298" spans="1:6" x14ac:dyDescent="0.2">
      <c r="A298" s="147">
        <v>15.75</v>
      </c>
      <c r="B298" s="104">
        <v>104134.9</v>
      </c>
      <c r="C298" s="104">
        <v>71.900000000000006</v>
      </c>
      <c r="D298" s="104">
        <v>1268.9000000000001</v>
      </c>
      <c r="F298" s="104">
        <v>107.797</v>
      </c>
    </row>
    <row r="299" spans="1:6" x14ac:dyDescent="0.2">
      <c r="A299" s="147">
        <v>15.799999999999999</v>
      </c>
      <c r="B299" s="104">
        <v>104494.6</v>
      </c>
      <c r="C299" s="104">
        <v>71.900000000000006</v>
      </c>
      <c r="D299" s="104">
        <v>1269.3</v>
      </c>
      <c r="F299" s="104">
        <v>107.794</v>
      </c>
    </row>
    <row r="300" spans="1:6" x14ac:dyDescent="0.2">
      <c r="A300" s="147">
        <v>15.85</v>
      </c>
      <c r="B300" s="104">
        <v>104854.3</v>
      </c>
      <c r="C300" s="104">
        <v>71.900000000000006</v>
      </c>
      <c r="D300" s="104">
        <v>1269.5999999999999</v>
      </c>
      <c r="F300" s="104">
        <v>107.79</v>
      </c>
    </row>
    <row r="301" spans="1:6" x14ac:dyDescent="0.2">
      <c r="A301" s="147">
        <v>15.9</v>
      </c>
      <c r="B301" s="104">
        <v>105214.1</v>
      </c>
      <c r="C301" s="104">
        <v>71.900000000000006</v>
      </c>
      <c r="D301" s="104">
        <v>1270</v>
      </c>
      <c r="F301" s="104">
        <v>107.786</v>
      </c>
    </row>
    <row r="302" spans="1:6" x14ac:dyDescent="0.2">
      <c r="A302" s="147">
        <v>15.95</v>
      </c>
      <c r="B302" s="104">
        <v>105573.9</v>
      </c>
      <c r="C302" s="104">
        <v>72</v>
      </c>
      <c r="D302" s="104">
        <v>1270.3</v>
      </c>
      <c r="F302" s="104">
        <v>107.782</v>
      </c>
    </row>
    <row r="303" spans="1:6" x14ac:dyDescent="0.2">
      <c r="A303" s="147">
        <v>15.999999999999998</v>
      </c>
      <c r="B303" s="104">
        <v>105933.8</v>
      </c>
      <c r="C303" s="104">
        <v>72</v>
      </c>
      <c r="D303" s="104">
        <v>1270.7</v>
      </c>
      <c r="F303" s="104">
        <v>107.779</v>
      </c>
    </row>
    <row r="304" spans="1:6" x14ac:dyDescent="0.2">
      <c r="A304" s="147">
        <v>16.05</v>
      </c>
      <c r="B304" s="104">
        <v>106293.7</v>
      </c>
      <c r="C304" s="104">
        <v>72</v>
      </c>
      <c r="D304" s="104">
        <v>1271.0999999999999</v>
      </c>
      <c r="F304" s="104">
        <v>107.776</v>
      </c>
    </row>
    <row r="305" spans="1:6" x14ac:dyDescent="0.2">
      <c r="A305" s="147">
        <v>16.100000000000001</v>
      </c>
      <c r="B305" s="104">
        <v>106653.7</v>
      </c>
      <c r="C305" s="104">
        <v>72</v>
      </c>
      <c r="D305" s="104">
        <v>1271.4000000000001</v>
      </c>
      <c r="F305" s="104">
        <v>107.77200000000001</v>
      </c>
    </row>
    <row r="306" spans="1:6" x14ac:dyDescent="0.2">
      <c r="A306" s="147">
        <v>16.150000000000002</v>
      </c>
      <c r="B306" s="104">
        <v>107013.6</v>
      </c>
      <c r="C306" s="104">
        <v>72</v>
      </c>
      <c r="D306" s="104">
        <v>1271.8</v>
      </c>
      <c r="F306" s="104">
        <v>107.76900000000001</v>
      </c>
    </row>
    <row r="307" spans="1:6" x14ac:dyDescent="0.2">
      <c r="A307" s="147">
        <v>16.200000000000003</v>
      </c>
      <c r="B307" s="104">
        <v>107373.6</v>
      </c>
      <c r="C307" s="104">
        <v>72</v>
      </c>
      <c r="D307" s="104">
        <v>1272.0999999999999</v>
      </c>
      <c r="F307" s="104">
        <v>107.76600000000001</v>
      </c>
    </row>
    <row r="308" spans="1:6" x14ac:dyDescent="0.2">
      <c r="A308" s="147">
        <v>16.25</v>
      </c>
      <c r="B308" s="104">
        <v>107733.7</v>
      </c>
      <c r="C308" s="104">
        <v>72</v>
      </c>
      <c r="D308" s="104">
        <v>1272.5</v>
      </c>
      <c r="F308" s="104">
        <v>107.76300000000001</v>
      </c>
    </row>
    <row r="309" spans="1:6" x14ac:dyDescent="0.2">
      <c r="A309" s="147">
        <v>16.3</v>
      </c>
      <c r="B309" s="104">
        <v>108093.8</v>
      </c>
      <c r="C309" s="104">
        <v>72</v>
      </c>
      <c r="D309" s="104">
        <v>1272.9000000000001</v>
      </c>
      <c r="F309" s="104">
        <v>107.761</v>
      </c>
    </row>
    <row r="310" spans="1:6" x14ac:dyDescent="0.2">
      <c r="A310" s="147">
        <v>16.350000000000001</v>
      </c>
      <c r="B310" s="104">
        <v>108453.9</v>
      </c>
      <c r="C310" s="104">
        <v>72</v>
      </c>
      <c r="D310" s="104">
        <v>1273.2</v>
      </c>
      <c r="F310" s="104">
        <v>107.758</v>
      </c>
    </row>
    <row r="311" spans="1:6" x14ac:dyDescent="0.2">
      <c r="A311" s="147">
        <v>16.400000000000002</v>
      </c>
      <c r="B311" s="104">
        <v>108814</v>
      </c>
      <c r="C311" s="104">
        <v>72</v>
      </c>
      <c r="D311" s="104">
        <v>1273.5999999999999</v>
      </c>
      <c r="F311" s="104">
        <v>107.756</v>
      </c>
    </row>
    <row r="312" spans="1:6" x14ac:dyDescent="0.2">
      <c r="A312" s="147">
        <v>16.450000000000003</v>
      </c>
      <c r="B312" s="104">
        <v>109174.3</v>
      </c>
      <c r="C312" s="104">
        <v>72</v>
      </c>
      <c r="D312" s="104">
        <v>1273.9000000000001</v>
      </c>
      <c r="F312" s="104">
        <v>107.753</v>
      </c>
    </row>
    <row r="313" spans="1:6" x14ac:dyDescent="0.2">
      <c r="A313" s="147">
        <v>16.5</v>
      </c>
      <c r="B313" s="104">
        <v>109534.5</v>
      </c>
      <c r="C313" s="104">
        <v>72</v>
      </c>
      <c r="D313" s="104">
        <v>1274.3</v>
      </c>
      <c r="F313" s="104">
        <v>107.751</v>
      </c>
    </row>
    <row r="314" spans="1:6" x14ac:dyDescent="0.2">
      <c r="A314" s="147">
        <v>16.55</v>
      </c>
      <c r="B314" s="104">
        <v>109894.8</v>
      </c>
      <c r="C314" s="104">
        <v>72</v>
      </c>
      <c r="D314" s="104">
        <v>1274.7</v>
      </c>
      <c r="F314" s="104">
        <v>107.749</v>
      </c>
    </row>
    <row r="315" spans="1:6" x14ac:dyDescent="0.2">
      <c r="A315" s="147">
        <v>16.600000000000001</v>
      </c>
      <c r="B315" s="104">
        <v>110255.1</v>
      </c>
      <c r="C315" s="104">
        <v>72.099999999999994</v>
      </c>
      <c r="D315" s="104">
        <v>1275</v>
      </c>
      <c r="F315" s="104">
        <v>107.747</v>
      </c>
    </row>
    <row r="316" spans="1:6" x14ac:dyDescent="0.2">
      <c r="A316" s="147">
        <v>16.650000000000002</v>
      </c>
      <c r="B316" s="104">
        <v>110615.4</v>
      </c>
      <c r="C316" s="104">
        <v>72.099999999999994</v>
      </c>
      <c r="D316" s="104">
        <v>1275.4000000000001</v>
      </c>
      <c r="F316" s="104">
        <v>107.745</v>
      </c>
    </row>
    <row r="317" spans="1:6" x14ac:dyDescent="0.2">
      <c r="A317" s="147">
        <v>16.700000000000003</v>
      </c>
      <c r="B317" s="104">
        <v>110975.8</v>
      </c>
      <c r="C317" s="104">
        <v>72.099999999999994</v>
      </c>
      <c r="D317" s="104">
        <v>1275.7</v>
      </c>
      <c r="F317" s="104">
        <v>107.74299999999999</v>
      </c>
    </row>
    <row r="318" spans="1:6" x14ac:dyDescent="0.2">
      <c r="A318" s="147">
        <v>16.75</v>
      </c>
      <c r="B318" s="104">
        <v>111336.2</v>
      </c>
      <c r="C318" s="104">
        <v>72.099999999999994</v>
      </c>
      <c r="D318" s="104">
        <v>1276.0999999999999</v>
      </c>
      <c r="F318" s="104">
        <v>107.741</v>
      </c>
    </row>
    <row r="319" spans="1:6" x14ac:dyDescent="0.2">
      <c r="A319" s="147">
        <v>16.8</v>
      </c>
      <c r="B319" s="104">
        <v>111696.7</v>
      </c>
      <c r="C319" s="104">
        <v>72.099999999999994</v>
      </c>
      <c r="D319" s="104">
        <v>1276.5</v>
      </c>
      <c r="F319" s="104">
        <v>107.739</v>
      </c>
    </row>
    <row r="320" spans="1:6" x14ac:dyDescent="0.2">
      <c r="A320" s="147">
        <v>16.850000000000001</v>
      </c>
      <c r="B320" s="104">
        <v>112057.2</v>
      </c>
      <c r="C320" s="104">
        <v>72.099999999999994</v>
      </c>
      <c r="D320" s="104">
        <v>1276.8</v>
      </c>
      <c r="F320" s="104">
        <v>107.738</v>
      </c>
    </row>
    <row r="321" spans="1:6" x14ac:dyDescent="0.2">
      <c r="A321" s="147">
        <v>16.900000000000002</v>
      </c>
      <c r="B321" s="104">
        <v>112417.7</v>
      </c>
      <c r="C321" s="104">
        <v>72.099999999999994</v>
      </c>
      <c r="D321" s="104">
        <v>1277.2</v>
      </c>
      <c r="F321" s="104">
        <v>107.736</v>
      </c>
    </row>
    <row r="322" spans="1:6" x14ac:dyDescent="0.2">
      <c r="A322" s="147">
        <v>16.950000000000003</v>
      </c>
      <c r="B322" s="104">
        <v>112778.3</v>
      </c>
      <c r="C322" s="104">
        <v>72.099999999999994</v>
      </c>
      <c r="D322" s="104">
        <v>1277.5</v>
      </c>
      <c r="F322" s="104">
        <v>107.735</v>
      </c>
    </row>
    <row r="323" spans="1:6" x14ac:dyDescent="0.2">
      <c r="A323" s="147">
        <v>17</v>
      </c>
      <c r="B323" s="104">
        <v>113138.9</v>
      </c>
      <c r="C323" s="104">
        <v>72.099999999999994</v>
      </c>
      <c r="D323" s="104">
        <v>1277.9000000000001</v>
      </c>
      <c r="F323" s="104">
        <v>107.733</v>
      </c>
    </row>
    <row r="324" spans="1:6" x14ac:dyDescent="0.2">
      <c r="A324" s="147">
        <v>17.042000000000002</v>
      </c>
      <c r="B324" s="104">
        <v>113445.4</v>
      </c>
      <c r="C324" s="104">
        <v>72.099999999999994</v>
      </c>
      <c r="D324" s="104">
        <v>1278.2</v>
      </c>
      <c r="F324" s="104">
        <v>107.733</v>
      </c>
    </row>
    <row r="325" spans="1:6" x14ac:dyDescent="0.2">
      <c r="A325" s="147">
        <v>17.05</v>
      </c>
      <c r="B325" s="104">
        <v>113499.5</v>
      </c>
      <c r="C325" s="104">
        <v>72.099999999999994</v>
      </c>
      <c r="D325" s="104">
        <v>1278.3</v>
      </c>
      <c r="F325" s="104">
        <v>107.732</v>
      </c>
    </row>
    <row r="326" spans="1:6" x14ac:dyDescent="0.2">
      <c r="A326" s="147">
        <v>17.100000000000001</v>
      </c>
      <c r="B326" s="104">
        <v>113860.2</v>
      </c>
      <c r="C326" s="104">
        <v>72.099999999999994</v>
      </c>
      <c r="D326" s="104">
        <v>1278.5999999999999</v>
      </c>
      <c r="F326" s="104">
        <v>107.73099999999999</v>
      </c>
    </row>
    <row r="327" spans="1:6" x14ac:dyDescent="0.2">
      <c r="A327" s="147">
        <v>17.150000000000002</v>
      </c>
      <c r="B327" s="104">
        <v>114220.9</v>
      </c>
      <c r="C327" s="104">
        <v>72.099999999999994</v>
      </c>
      <c r="D327" s="104">
        <v>1279</v>
      </c>
      <c r="F327" s="104">
        <v>107.73099999999999</v>
      </c>
    </row>
    <row r="328" spans="1:6" x14ac:dyDescent="0.2">
      <c r="A328" s="147">
        <v>17.200000000000003</v>
      </c>
      <c r="B328" s="104">
        <v>114581.7</v>
      </c>
      <c r="C328" s="104">
        <v>72.099999999999994</v>
      </c>
      <c r="D328" s="104">
        <v>1279.4000000000001</v>
      </c>
      <c r="F328" s="104">
        <v>107.73</v>
      </c>
    </row>
    <row r="329" spans="1:6" x14ac:dyDescent="0.2">
      <c r="A329" s="147">
        <v>17.25</v>
      </c>
      <c r="B329" s="104">
        <v>114942.39999999999</v>
      </c>
      <c r="C329" s="104">
        <v>72.2</v>
      </c>
      <c r="D329" s="104">
        <v>1279.7</v>
      </c>
      <c r="F329" s="104">
        <v>107.729</v>
      </c>
    </row>
    <row r="330" spans="1:6" x14ac:dyDescent="0.2">
      <c r="A330" s="147">
        <v>17.3</v>
      </c>
      <c r="B330" s="104">
        <v>115303.3</v>
      </c>
      <c r="C330" s="104">
        <v>72.2</v>
      </c>
      <c r="D330" s="104">
        <v>1280.0999999999999</v>
      </c>
      <c r="F330" s="104">
        <v>107.72799999999999</v>
      </c>
    </row>
    <row r="331" spans="1:6" x14ac:dyDescent="0.2">
      <c r="A331" s="147">
        <v>17.350000000000001</v>
      </c>
      <c r="B331" s="104">
        <v>115664.1</v>
      </c>
      <c r="C331" s="104">
        <v>72.2</v>
      </c>
      <c r="D331" s="104">
        <v>1280.4000000000001</v>
      </c>
      <c r="F331" s="104">
        <v>107.72799999999999</v>
      </c>
    </row>
    <row r="332" spans="1:6" x14ac:dyDescent="0.2">
      <c r="A332" s="147">
        <v>17.400000000000002</v>
      </c>
      <c r="B332" s="104">
        <v>116025.1</v>
      </c>
      <c r="C332" s="104">
        <v>72.2</v>
      </c>
      <c r="D332" s="104">
        <v>1280.8</v>
      </c>
      <c r="F332" s="104">
        <v>107.727</v>
      </c>
    </row>
    <row r="333" spans="1:6" x14ac:dyDescent="0.2">
      <c r="A333" s="147">
        <v>17.450000000000003</v>
      </c>
      <c r="B333" s="104">
        <v>116386</v>
      </c>
      <c r="C333" s="104">
        <v>72.2</v>
      </c>
      <c r="D333" s="104">
        <v>1281.2</v>
      </c>
      <c r="F333" s="104">
        <v>107.727</v>
      </c>
    </row>
    <row r="334" spans="1:6" x14ac:dyDescent="0.2">
      <c r="A334" s="147">
        <v>17.5</v>
      </c>
      <c r="B334" s="104">
        <v>116747</v>
      </c>
      <c r="C334" s="104">
        <v>72.2</v>
      </c>
      <c r="D334" s="104">
        <v>1281.5</v>
      </c>
      <c r="F334" s="104">
        <v>107.727</v>
      </c>
    </row>
    <row r="335" spans="1:6" x14ac:dyDescent="0.2">
      <c r="A335" s="147">
        <v>17.55</v>
      </c>
      <c r="B335" s="104">
        <v>117108</v>
      </c>
      <c r="C335" s="104">
        <v>72.2</v>
      </c>
      <c r="D335" s="104">
        <v>1281.9000000000001</v>
      </c>
      <c r="F335" s="104">
        <v>107.727</v>
      </c>
    </row>
    <row r="336" spans="1:6" x14ac:dyDescent="0.2">
      <c r="A336" s="147">
        <v>17.600000000000001</v>
      </c>
      <c r="B336" s="104">
        <v>117469</v>
      </c>
      <c r="C336" s="104">
        <v>72.2</v>
      </c>
      <c r="D336" s="104">
        <v>1282.3</v>
      </c>
      <c r="F336" s="104">
        <v>107.727</v>
      </c>
    </row>
    <row r="337" spans="1:6" x14ac:dyDescent="0.2">
      <c r="A337" s="147">
        <v>17.650000000000002</v>
      </c>
      <c r="B337" s="104">
        <v>117830.1</v>
      </c>
      <c r="C337" s="104">
        <v>72.2</v>
      </c>
      <c r="D337" s="104">
        <v>1282.5999999999999</v>
      </c>
      <c r="F337" s="104">
        <v>107.727</v>
      </c>
    </row>
    <row r="338" spans="1:6" x14ac:dyDescent="0.2">
      <c r="A338" s="147">
        <v>17.700000000000003</v>
      </c>
      <c r="B338" s="104">
        <v>118191.2</v>
      </c>
      <c r="C338" s="104">
        <v>72.2</v>
      </c>
      <c r="D338" s="104">
        <v>1283</v>
      </c>
      <c r="F338" s="104">
        <v>107.72799999999999</v>
      </c>
    </row>
    <row r="339" spans="1:6" x14ac:dyDescent="0.2">
      <c r="A339" s="147">
        <v>17.75</v>
      </c>
      <c r="B339" s="104">
        <v>118552.4</v>
      </c>
      <c r="C339" s="104">
        <v>72.2</v>
      </c>
      <c r="D339" s="104">
        <v>1283.4000000000001</v>
      </c>
      <c r="F339" s="104">
        <v>107.72799999999999</v>
      </c>
    </row>
    <row r="340" spans="1:6" x14ac:dyDescent="0.2">
      <c r="A340" s="147">
        <v>17.8</v>
      </c>
      <c r="B340" s="104">
        <v>118913.60000000001</v>
      </c>
      <c r="C340" s="104">
        <v>72.2</v>
      </c>
      <c r="D340" s="104">
        <v>1283.8</v>
      </c>
      <c r="F340" s="104">
        <v>107.729</v>
      </c>
    </row>
    <row r="341" spans="1:6" x14ac:dyDescent="0.2">
      <c r="A341" s="147">
        <v>17.850000000000001</v>
      </c>
      <c r="B341" s="104">
        <v>119274.8</v>
      </c>
      <c r="C341" s="104">
        <v>72.2</v>
      </c>
      <c r="D341" s="104">
        <v>1284.0999999999999</v>
      </c>
      <c r="F341" s="104">
        <v>107.729</v>
      </c>
    </row>
    <row r="342" spans="1:6" x14ac:dyDescent="0.2">
      <c r="A342" s="147">
        <v>17.900000000000002</v>
      </c>
      <c r="B342" s="104">
        <v>119636.1</v>
      </c>
      <c r="C342" s="104">
        <v>72.3</v>
      </c>
      <c r="D342" s="104">
        <v>1284.5</v>
      </c>
      <c r="F342" s="104">
        <v>107.73</v>
      </c>
    </row>
    <row r="343" spans="1:6" x14ac:dyDescent="0.2">
      <c r="A343" s="147">
        <v>17.950000000000003</v>
      </c>
      <c r="B343" s="104">
        <v>119997.4</v>
      </c>
      <c r="C343" s="104">
        <v>72.3</v>
      </c>
      <c r="D343" s="104">
        <v>1284.9000000000001</v>
      </c>
      <c r="F343" s="104">
        <v>107.73099999999999</v>
      </c>
    </row>
    <row r="344" spans="1:6" x14ac:dyDescent="0.2">
      <c r="A344" s="147">
        <v>18</v>
      </c>
      <c r="B344" s="104">
        <v>120358.8</v>
      </c>
      <c r="C344" s="104">
        <v>72.3</v>
      </c>
      <c r="D344" s="104">
        <v>1285.2</v>
      </c>
      <c r="F344" s="104">
        <v>107.732</v>
      </c>
    </row>
    <row r="345" spans="1:6" x14ac:dyDescent="0.2">
      <c r="A345" s="147">
        <v>18.05</v>
      </c>
      <c r="B345" s="104">
        <v>120720.2</v>
      </c>
      <c r="C345" s="104">
        <v>72.3</v>
      </c>
      <c r="D345" s="104">
        <v>1285.5999999999999</v>
      </c>
      <c r="F345" s="104">
        <v>107.73399999999999</v>
      </c>
    </row>
    <row r="346" spans="1:6" x14ac:dyDescent="0.2">
      <c r="A346" s="147">
        <v>18.100000000000001</v>
      </c>
      <c r="B346" s="104">
        <v>121081.60000000001</v>
      </c>
      <c r="C346" s="104">
        <v>72.3</v>
      </c>
      <c r="D346" s="104">
        <v>1286</v>
      </c>
      <c r="F346" s="104">
        <v>107.735</v>
      </c>
    </row>
    <row r="347" spans="1:6" x14ac:dyDescent="0.2">
      <c r="A347" s="147">
        <v>18.150000000000002</v>
      </c>
      <c r="B347" s="104">
        <v>121443.1</v>
      </c>
      <c r="C347" s="104">
        <v>72.3</v>
      </c>
      <c r="D347" s="104">
        <v>1286.4000000000001</v>
      </c>
      <c r="F347" s="104">
        <v>107.73699999999999</v>
      </c>
    </row>
    <row r="348" spans="1:6" x14ac:dyDescent="0.2">
      <c r="A348" s="147">
        <v>18.200000000000003</v>
      </c>
      <c r="B348" s="104">
        <v>121804.6</v>
      </c>
      <c r="C348" s="104">
        <v>72.3</v>
      </c>
      <c r="D348" s="104">
        <v>1286.8</v>
      </c>
      <c r="F348" s="104">
        <v>107.739</v>
      </c>
    </row>
    <row r="349" spans="1:6" x14ac:dyDescent="0.2">
      <c r="A349" s="147">
        <v>18.25</v>
      </c>
      <c r="B349" s="104">
        <v>122166.1</v>
      </c>
      <c r="C349" s="104">
        <v>72.3</v>
      </c>
      <c r="D349" s="104">
        <v>1287.0999999999999</v>
      </c>
      <c r="F349" s="104">
        <v>107.741</v>
      </c>
    </row>
    <row r="350" spans="1:6" x14ac:dyDescent="0.2">
      <c r="A350" s="147">
        <v>18.3</v>
      </c>
      <c r="B350" s="104">
        <v>122527.7</v>
      </c>
      <c r="C350" s="104">
        <v>72.3</v>
      </c>
      <c r="D350" s="104">
        <v>1287.5</v>
      </c>
      <c r="F350" s="104">
        <v>107.74299999999999</v>
      </c>
    </row>
    <row r="351" spans="1:6" x14ac:dyDescent="0.2">
      <c r="A351" s="147">
        <v>18.350000000000001</v>
      </c>
      <c r="B351" s="104">
        <v>122889.3</v>
      </c>
      <c r="C351" s="104">
        <v>72.3</v>
      </c>
      <c r="D351" s="104">
        <v>1287.9000000000001</v>
      </c>
      <c r="F351" s="104">
        <v>107.745</v>
      </c>
    </row>
    <row r="352" spans="1:6" x14ac:dyDescent="0.2">
      <c r="A352" s="147">
        <v>18.400000000000002</v>
      </c>
      <c r="B352" s="104">
        <v>123250.9</v>
      </c>
      <c r="C352" s="104">
        <v>72.3</v>
      </c>
      <c r="D352" s="104">
        <v>1288.2</v>
      </c>
      <c r="F352" s="104">
        <v>107.747</v>
      </c>
    </row>
    <row r="353" spans="1:6" x14ac:dyDescent="0.2">
      <c r="A353" s="147">
        <v>18.450000000000003</v>
      </c>
      <c r="B353" s="104">
        <v>123612.6</v>
      </c>
      <c r="C353" s="104">
        <v>72.3</v>
      </c>
      <c r="D353" s="104">
        <v>1288.5999999999999</v>
      </c>
      <c r="F353" s="104">
        <v>107.749</v>
      </c>
    </row>
    <row r="354" spans="1:6" x14ac:dyDescent="0.2">
      <c r="A354" s="147">
        <v>18.5</v>
      </c>
      <c r="B354" s="104">
        <v>123974.3</v>
      </c>
      <c r="C354" s="104">
        <v>72.3</v>
      </c>
      <c r="D354" s="104">
        <v>1289</v>
      </c>
      <c r="F354" s="104">
        <v>107.752</v>
      </c>
    </row>
    <row r="355" spans="1:6" x14ac:dyDescent="0.2">
      <c r="A355" s="147">
        <v>18.55</v>
      </c>
      <c r="B355" s="104">
        <v>124336.1</v>
      </c>
      <c r="C355" s="104">
        <v>72.400000000000006</v>
      </c>
      <c r="D355" s="104">
        <v>1289.4000000000001</v>
      </c>
      <c r="F355" s="104">
        <v>107.755</v>
      </c>
    </row>
    <row r="356" spans="1:6" x14ac:dyDescent="0.2">
      <c r="A356" s="147">
        <v>18.600000000000001</v>
      </c>
      <c r="B356" s="104">
        <v>124697.9</v>
      </c>
      <c r="C356" s="104">
        <v>72.400000000000006</v>
      </c>
      <c r="D356" s="104">
        <v>1289.7</v>
      </c>
      <c r="F356" s="104">
        <v>107.75700000000001</v>
      </c>
    </row>
    <row r="357" spans="1:6" x14ac:dyDescent="0.2">
      <c r="A357" s="147">
        <v>18.650000000000002</v>
      </c>
      <c r="B357" s="104">
        <v>125059.7</v>
      </c>
      <c r="C357" s="104">
        <v>72.400000000000006</v>
      </c>
      <c r="D357" s="104">
        <v>1290.0999999999999</v>
      </c>
      <c r="F357" s="104">
        <v>107.76</v>
      </c>
    </row>
    <row r="358" spans="1:6" x14ac:dyDescent="0.2">
      <c r="A358" s="147">
        <v>18.700000000000003</v>
      </c>
      <c r="B358" s="104">
        <v>125421.6</v>
      </c>
      <c r="C358" s="104">
        <v>72.400000000000006</v>
      </c>
      <c r="D358" s="104">
        <v>1290.5</v>
      </c>
      <c r="F358" s="104">
        <v>107.76300000000001</v>
      </c>
    </row>
    <row r="359" spans="1:6" x14ac:dyDescent="0.2">
      <c r="A359" s="147">
        <v>18.75</v>
      </c>
      <c r="B359" s="104">
        <v>125783.5</v>
      </c>
      <c r="C359" s="104">
        <v>72.400000000000006</v>
      </c>
      <c r="D359" s="104">
        <v>1290.8</v>
      </c>
      <c r="F359" s="104">
        <v>107.76600000000001</v>
      </c>
    </row>
    <row r="360" spans="1:6" x14ac:dyDescent="0.2">
      <c r="A360" s="147">
        <v>18.8</v>
      </c>
      <c r="B360" s="104">
        <v>126145.5</v>
      </c>
      <c r="C360" s="104">
        <v>72.400000000000006</v>
      </c>
      <c r="D360" s="104">
        <v>1291.2</v>
      </c>
      <c r="F360" s="104">
        <v>107.76900000000001</v>
      </c>
    </row>
    <row r="361" spans="1:6" x14ac:dyDescent="0.2">
      <c r="A361" s="147">
        <v>18.850000000000001</v>
      </c>
      <c r="B361" s="104">
        <v>126507.4</v>
      </c>
      <c r="C361" s="104">
        <v>72.400000000000006</v>
      </c>
      <c r="D361" s="104">
        <v>1291.5</v>
      </c>
      <c r="F361" s="104">
        <v>107.773</v>
      </c>
    </row>
    <row r="362" spans="1:6" x14ac:dyDescent="0.2">
      <c r="A362" s="147">
        <v>18.900000000000002</v>
      </c>
      <c r="B362" s="104">
        <v>126869.4</v>
      </c>
      <c r="C362" s="104">
        <v>72.400000000000006</v>
      </c>
      <c r="D362" s="104">
        <v>1291.9000000000001</v>
      </c>
      <c r="F362" s="104">
        <v>107.776</v>
      </c>
    </row>
    <row r="363" spans="1:6" x14ac:dyDescent="0.2">
      <c r="A363" s="147">
        <v>18.950000000000003</v>
      </c>
      <c r="B363" s="104">
        <v>127231.5</v>
      </c>
      <c r="C363" s="104">
        <v>72.400000000000006</v>
      </c>
      <c r="D363" s="104">
        <v>1292.2</v>
      </c>
      <c r="F363" s="104">
        <v>107.78</v>
      </c>
    </row>
    <row r="364" spans="1:6" x14ac:dyDescent="0.2">
      <c r="A364" s="147">
        <v>19</v>
      </c>
      <c r="B364" s="104">
        <v>127593.5</v>
      </c>
      <c r="C364" s="104">
        <v>72.400000000000006</v>
      </c>
      <c r="D364" s="104">
        <v>1292.5999999999999</v>
      </c>
      <c r="F364" s="104">
        <v>107.783</v>
      </c>
    </row>
    <row r="365" spans="1:6" x14ac:dyDescent="0.2">
      <c r="A365" s="147">
        <v>19.05</v>
      </c>
      <c r="B365" s="104">
        <v>127955.7</v>
      </c>
      <c r="C365" s="104">
        <v>72.400000000000006</v>
      </c>
      <c r="D365" s="104">
        <v>1292.9000000000001</v>
      </c>
      <c r="F365" s="104">
        <v>107.78700000000001</v>
      </c>
    </row>
    <row r="366" spans="1:6" x14ac:dyDescent="0.2">
      <c r="A366" s="147">
        <v>19.100000000000001</v>
      </c>
      <c r="B366" s="104">
        <v>128317.8</v>
      </c>
      <c r="C366" s="104">
        <v>72.400000000000006</v>
      </c>
      <c r="D366" s="104">
        <v>1293.2</v>
      </c>
      <c r="F366" s="104">
        <v>107.791</v>
      </c>
    </row>
    <row r="367" spans="1:6" x14ac:dyDescent="0.2">
      <c r="A367" s="147">
        <v>19.150000000000002</v>
      </c>
      <c r="B367" s="104">
        <v>128680</v>
      </c>
      <c r="C367" s="104">
        <v>72.400000000000006</v>
      </c>
      <c r="D367" s="104">
        <v>1293.5999999999999</v>
      </c>
      <c r="F367" s="104">
        <v>107.795</v>
      </c>
    </row>
    <row r="368" spans="1:6" x14ac:dyDescent="0.2">
      <c r="A368" s="147">
        <v>19.200000000000003</v>
      </c>
      <c r="B368" s="104">
        <v>129042.2</v>
      </c>
      <c r="C368" s="104">
        <v>72.400000000000006</v>
      </c>
      <c r="D368" s="104">
        <v>1293.9000000000001</v>
      </c>
      <c r="F368" s="104">
        <v>107.79900000000001</v>
      </c>
    </row>
    <row r="369" spans="1:6" x14ac:dyDescent="0.2">
      <c r="A369" s="147">
        <v>19.25</v>
      </c>
      <c r="B369" s="104">
        <v>129404.4</v>
      </c>
      <c r="C369" s="104">
        <v>72.400000000000006</v>
      </c>
      <c r="D369" s="104">
        <v>1294.3</v>
      </c>
      <c r="F369" s="104">
        <v>107.803</v>
      </c>
    </row>
    <row r="370" spans="1:6" x14ac:dyDescent="0.2">
      <c r="A370" s="147">
        <v>19.3</v>
      </c>
      <c r="B370" s="104">
        <v>129766.7</v>
      </c>
      <c r="C370" s="104">
        <v>72.5</v>
      </c>
      <c r="D370" s="104">
        <v>1294.5999999999999</v>
      </c>
      <c r="F370" s="104">
        <v>107.807</v>
      </c>
    </row>
    <row r="371" spans="1:6" x14ac:dyDescent="0.2">
      <c r="A371" s="147">
        <v>19.350000000000001</v>
      </c>
      <c r="B371" s="104">
        <v>130129</v>
      </c>
      <c r="C371" s="104">
        <v>72.5</v>
      </c>
      <c r="D371" s="104">
        <v>1294.9000000000001</v>
      </c>
      <c r="F371" s="104">
        <v>107.81100000000001</v>
      </c>
    </row>
    <row r="372" spans="1:6" x14ac:dyDescent="0.2">
      <c r="A372" s="147">
        <v>19.400000000000002</v>
      </c>
      <c r="B372" s="104">
        <v>130491.3</v>
      </c>
      <c r="C372" s="104">
        <v>72.5</v>
      </c>
      <c r="D372" s="104">
        <v>1295.2</v>
      </c>
      <c r="F372" s="104">
        <v>107.816</v>
      </c>
    </row>
    <row r="373" spans="1:6" x14ac:dyDescent="0.2">
      <c r="A373" s="147">
        <v>19.450000000000003</v>
      </c>
      <c r="B373" s="104">
        <v>130853.7</v>
      </c>
      <c r="C373" s="104">
        <v>72.5</v>
      </c>
      <c r="D373" s="104">
        <v>1295.5999999999999</v>
      </c>
      <c r="F373" s="104">
        <v>107.82</v>
      </c>
    </row>
    <row r="374" spans="1:6" x14ac:dyDescent="0.2">
      <c r="A374" s="147">
        <v>19.5</v>
      </c>
      <c r="B374" s="104">
        <v>131216.1</v>
      </c>
      <c r="C374" s="104">
        <v>72.5</v>
      </c>
      <c r="D374" s="104">
        <v>1295.9000000000001</v>
      </c>
      <c r="F374" s="104">
        <v>107.825</v>
      </c>
    </row>
    <row r="375" spans="1:6" x14ac:dyDescent="0.2">
      <c r="A375" s="147">
        <v>19.55</v>
      </c>
      <c r="B375" s="104">
        <v>131578.5</v>
      </c>
      <c r="C375" s="104">
        <v>72.5</v>
      </c>
      <c r="D375" s="104">
        <v>1296.2</v>
      </c>
      <c r="F375" s="104">
        <v>107.83</v>
      </c>
    </row>
    <row r="376" spans="1:6" x14ac:dyDescent="0.2">
      <c r="A376" s="147">
        <v>19.600000000000001</v>
      </c>
      <c r="B376" s="104">
        <v>131941</v>
      </c>
      <c r="C376" s="104">
        <v>72.5</v>
      </c>
      <c r="D376" s="104">
        <v>1296.5</v>
      </c>
      <c r="F376" s="104">
        <v>107.834</v>
      </c>
    </row>
    <row r="377" spans="1:6" x14ac:dyDescent="0.2">
      <c r="A377" s="147">
        <v>19.650000000000002</v>
      </c>
      <c r="B377" s="104">
        <v>132303.5</v>
      </c>
      <c r="C377" s="104">
        <v>72.5</v>
      </c>
      <c r="D377" s="104">
        <v>1296.8</v>
      </c>
      <c r="F377" s="104">
        <v>107.839</v>
      </c>
    </row>
    <row r="378" spans="1:6" x14ac:dyDescent="0.2">
      <c r="A378" s="147">
        <v>19.700000000000003</v>
      </c>
      <c r="B378" s="104">
        <v>132666.1</v>
      </c>
      <c r="C378" s="104">
        <v>72.5</v>
      </c>
      <c r="D378" s="104">
        <v>1297.2</v>
      </c>
      <c r="F378" s="104">
        <v>107.84399999999999</v>
      </c>
    </row>
    <row r="379" spans="1:6" x14ac:dyDescent="0.2">
      <c r="A379" s="147">
        <v>19.75</v>
      </c>
      <c r="B379" s="104">
        <v>133028.6</v>
      </c>
      <c r="C379" s="104">
        <v>72.5</v>
      </c>
      <c r="D379" s="104">
        <v>1297.5</v>
      </c>
      <c r="F379" s="104">
        <v>107.849</v>
      </c>
    </row>
    <row r="380" spans="1:6" x14ac:dyDescent="0.2">
      <c r="A380" s="147">
        <v>19.8</v>
      </c>
      <c r="B380" s="104">
        <v>133391.20000000001</v>
      </c>
      <c r="C380" s="104">
        <v>72.5</v>
      </c>
      <c r="D380" s="104">
        <v>1297.8</v>
      </c>
      <c r="F380" s="104">
        <v>107.854</v>
      </c>
    </row>
    <row r="381" spans="1:6" x14ac:dyDescent="0.2">
      <c r="A381" s="147">
        <v>19.850000000000001</v>
      </c>
      <c r="B381" s="104">
        <v>133753.9</v>
      </c>
      <c r="C381" s="104">
        <v>72.5</v>
      </c>
      <c r="D381" s="104">
        <v>1298.0999999999999</v>
      </c>
      <c r="F381" s="104">
        <v>107.85899999999999</v>
      </c>
    </row>
    <row r="382" spans="1:6" x14ac:dyDescent="0.2">
      <c r="A382" s="147">
        <v>19.900000000000002</v>
      </c>
      <c r="B382" s="104">
        <v>134116.5</v>
      </c>
      <c r="C382" s="104">
        <v>72.5</v>
      </c>
      <c r="D382" s="104">
        <v>1298.4000000000001</v>
      </c>
      <c r="F382" s="104">
        <v>107.864</v>
      </c>
    </row>
    <row r="383" spans="1:6" x14ac:dyDescent="0.2">
      <c r="A383" s="147">
        <v>19.950000000000003</v>
      </c>
      <c r="B383" s="104">
        <v>134479.20000000001</v>
      </c>
      <c r="C383" s="104">
        <v>72.5</v>
      </c>
      <c r="D383" s="104">
        <v>1298.7</v>
      </c>
      <c r="F383" s="104">
        <v>107.87</v>
      </c>
    </row>
    <row r="384" spans="1:6" x14ac:dyDescent="0.2">
      <c r="A384" s="147">
        <v>20</v>
      </c>
      <c r="B384" s="104">
        <v>134841.9</v>
      </c>
      <c r="C384" s="104">
        <v>72.5</v>
      </c>
      <c r="D384" s="104">
        <v>1299</v>
      </c>
      <c r="F384" s="104">
        <v>107.875</v>
      </c>
    </row>
    <row r="879" spans="10:10" s="1" customFormat="1" x14ac:dyDescent="0.2">
      <c r="J879" s="5"/>
    </row>
    <row r="880" spans="10:10" s="1" customFormat="1" x14ac:dyDescent="0.2">
      <c r="J880" s="5"/>
    </row>
    <row r="881" spans="10:10" s="1" customFormat="1" x14ac:dyDescent="0.2">
      <c r="J881" s="4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1" tint="0.34998626667073579"/>
  </sheetPr>
  <dimension ref="A1:X19"/>
  <sheetViews>
    <sheetView showGridLines="0" showRowColHeaders="0" workbookViewId="0">
      <selection activeCell="G4" sqref="G4"/>
    </sheetView>
  </sheetViews>
  <sheetFormatPr defaultColWidth="9" defaultRowHeight="14.25" x14ac:dyDescent="0.15"/>
  <cols>
    <col min="1" max="1" width="8.125" style="45" customWidth="1"/>
    <col min="2" max="2" width="7.625" style="45" customWidth="1"/>
    <col min="3" max="4" width="6.625" style="45" customWidth="1"/>
    <col min="5" max="5" width="9" style="45"/>
    <col min="6" max="8" width="5.625" style="45" customWidth="1"/>
    <col min="9" max="9" width="7.625" style="45" customWidth="1"/>
    <col min="10" max="11" width="5.625" style="45" customWidth="1"/>
    <col min="12" max="12" width="7.625" style="45" customWidth="1"/>
    <col min="13" max="13" width="5.625" style="45" customWidth="1"/>
    <col min="14" max="15" width="9" style="45" hidden="1" customWidth="1"/>
    <col min="16" max="16" width="9" style="45"/>
    <col min="17" max="19" width="5.625" style="45" customWidth="1"/>
    <col min="20" max="20" width="7.625" style="45" customWidth="1"/>
    <col min="21" max="22" width="5.625" style="45" customWidth="1"/>
    <col min="23" max="23" width="7.625" style="45" customWidth="1"/>
    <col min="24" max="24" width="5.625" style="45" customWidth="1"/>
    <col min="25" max="16384" width="9" style="45"/>
  </cols>
  <sheetData>
    <row r="1" spans="1:24" x14ac:dyDescent="0.15">
      <c r="A1" s="186" t="s">
        <v>49</v>
      </c>
      <c r="B1" s="187"/>
      <c r="C1" s="189">
        <v>2000</v>
      </c>
      <c r="D1" s="190"/>
      <c r="F1" s="191" t="s">
        <v>50</v>
      </c>
      <c r="G1" s="191"/>
      <c r="H1" s="191"/>
      <c r="I1" s="191"/>
      <c r="J1" s="191"/>
      <c r="K1" s="191"/>
      <c r="L1" s="191"/>
      <c r="M1" s="191"/>
      <c r="N1" s="46"/>
      <c r="O1" s="47"/>
      <c r="Q1" s="191" t="s">
        <v>51</v>
      </c>
      <c r="R1" s="191"/>
      <c r="S1" s="191"/>
      <c r="T1" s="191"/>
      <c r="U1" s="191"/>
      <c r="V1" s="191"/>
      <c r="W1" s="191"/>
      <c r="X1" s="191"/>
    </row>
    <row r="2" spans="1:24" x14ac:dyDescent="0.15">
      <c r="A2" s="188"/>
      <c r="B2" s="187"/>
      <c r="C2" s="189"/>
      <c r="D2" s="190"/>
      <c r="F2" s="191"/>
      <c r="G2" s="192"/>
      <c r="H2" s="191"/>
      <c r="I2" s="191"/>
      <c r="J2" s="191"/>
      <c r="K2" s="191"/>
      <c r="L2" s="191"/>
      <c r="M2" s="191"/>
      <c r="N2" s="48"/>
      <c r="O2" s="49"/>
      <c r="Q2" s="50" t="s">
        <v>52</v>
      </c>
      <c r="R2" s="51">
        <f>H9</f>
        <v>1</v>
      </c>
      <c r="S2" s="51" t="s">
        <v>53</v>
      </c>
      <c r="T2" s="52">
        <f ca="1">I3</f>
        <v>5.2488582694414019</v>
      </c>
      <c r="U2" s="51" t="s">
        <v>54</v>
      </c>
      <c r="V2" s="51" t="s">
        <v>55</v>
      </c>
      <c r="W2" s="52">
        <f ca="1">L3</f>
        <v>-2.1488582694414027</v>
      </c>
      <c r="X2" s="51" t="s">
        <v>54</v>
      </c>
    </row>
    <row r="3" spans="1:24" x14ac:dyDescent="0.15">
      <c r="F3" s="53" t="s">
        <v>52</v>
      </c>
      <c r="G3" s="61">
        <v>1</v>
      </c>
      <c r="H3" s="54" t="s">
        <v>53</v>
      </c>
      <c r="I3" s="52">
        <f ca="1">TREND(OFFSET(TrimmingTable!A4,MATCH(TRIM!C9,TrimmingTable!A5:A47,1),MATCH(TRIM!G3,TrimmingTable!B3:S3,1),2),OFFSET(TrimmingTable!A4,MATCH(TRIM!C9,TrimmingTable!A5:A47,1),,2),TRIM!C9)</f>
        <v>5.2488582694414019</v>
      </c>
      <c r="J3" s="51" t="s">
        <v>54</v>
      </c>
      <c r="K3" s="51" t="s">
        <v>55</v>
      </c>
      <c r="L3" s="52">
        <f ca="1">TREND(OFFSET(TrimmingTable!A4,MATCH(TRIM!C9,TrimmingTable!A5:A47,1),MATCH(TRIM!G3,TrimmingTable!B3:S3,1)+1,2),OFFSET(TrimmingTable!A4,MATCH(TRIM!C9,TrimmingTable!A5:A47,1),,2),TRIM!C9)</f>
        <v>-2.1488582694414027</v>
      </c>
      <c r="M3" s="51" t="s">
        <v>54</v>
      </c>
      <c r="N3" s="55" t="s">
        <v>56</v>
      </c>
      <c r="O3" s="56">
        <f ca="1">ABS(IF(OR(AND(I3&lt;0,L3&lt;0),(AND(I3&gt;0,L3&gt;0))),I3-L3,ABS(I3)+ABS(L3)))</f>
        <v>7.3977165388828041</v>
      </c>
      <c r="Q3" s="50" t="s">
        <v>52</v>
      </c>
      <c r="R3" s="57">
        <f>H10</f>
        <v>7</v>
      </c>
      <c r="S3" s="51" t="s">
        <v>53</v>
      </c>
      <c r="T3" s="52">
        <f ca="1">I4</f>
        <v>-1.5465748083242059</v>
      </c>
      <c r="U3" s="51" t="s">
        <v>54</v>
      </c>
      <c r="V3" s="51" t="s">
        <v>55</v>
      </c>
      <c r="W3" s="52">
        <f ca="1">L4</f>
        <v>4.2442913472070103</v>
      </c>
      <c r="X3" s="51" t="s">
        <v>54</v>
      </c>
    </row>
    <row r="4" spans="1:24" x14ac:dyDescent="0.15">
      <c r="F4" s="53" t="s">
        <v>52</v>
      </c>
      <c r="G4" s="61">
        <v>7</v>
      </c>
      <c r="H4" s="54" t="s">
        <v>53</v>
      </c>
      <c r="I4" s="52">
        <f ca="1">TREND(OFFSET(TrimmingTable!A4,MATCH(TRIM!C9,TrimmingTable!A5:A47,1),MATCH(TRIM!G4,TrimmingTable!B3:S3,1),2),OFFSET(TrimmingTable!A4,MATCH(TRIM!C9,TrimmingTable!A5:A47,1),,2),TRIM!C9)</f>
        <v>-1.5465748083242059</v>
      </c>
      <c r="J4" s="51" t="s">
        <v>54</v>
      </c>
      <c r="K4" s="51" t="s">
        <v>55</v>
      </c>
      <c r="L4" s="52">
        <f ca="1">TREND(OFFSET(TrimmingTable!A4,MATCH(TRIM!C9,TrimmingTable!A5:A47,1),MATCH(TRIM!G4,TrimmingTable!B3:S3,1)+1,2),OFFSET(TrimmingTable!A4,MATCH(TRIM!C9,TrimmingTable!A5:A47,1),,2),TRIM!C9)</f>
        <v>4.2442913472070103</v>
      </c>
      <c r="M4" s="51" t="s">
        <v>54</v>
      </c>
      <c r="N4" s="55" t="s">
        <v>57</v>
      </c>
      <c r="O4" s="56">
        <f ca="1">ABS(IF(OR(AND(I4&lt;0,L4&lt;0),(AND(I4&gt;0,L4&gt;0))),I4-L4,ABS(I4)+ABS(L4)))</f>
        <v>5.7908661555312158</v>
      </c>
      <c r="Q4" s="53" t="s">
        <v>52</v>
      </c>
      <c r="R4" s="61">
        <v>4</v>
      </c>
      <c r="S4" s="54" t="s">
        <v>53</v>
      </c>
      <c r="T4" s="52">
        <f ca="1">TREND(OFFSET(TrimmingTable!A4,MATCH(TRIM!C9,TrimmingTable!A5:A47,1),MATCH(TRIM!R4,TrimmingTable!B3:S3,1),2),OFFSET(TrimmingTable!A4,MATCH(TRIM!C9,TrimmingTable!A5:A47,1),,2),TRIM!C9)</f>
        <v>1.8511417305585982</v>
      </c>
      <c r="U4" s="51" t="s">
        <v>54</v>
      </c>
      <c r="V4" s="51" t="s">
        <v>55</v>
      </c>
      <c r="W4" s="52">
        <f ca="1">TREND(OFFSET(TrimmingTable!A4,MATCH(TRIM!C9,TrimmingTable!A5:A47,1),MATCH(TRIM!R4,TrimmingTable!B3:S3,1)+1,2),OFFSET(TrimmingTable!A4,MATCH(TRIM!C9,TrimmingTable!A5:A47,1),,2),TRIM!C9)</f>
        <v>1</v>
      </c>
      <c r="X4" s="51" t="s">
        <v>54</v>
      </c>
    </row>
    <row r="6" spans="1:24" x14ac:dyDescent="0.15">
      <c r="A6" s="193" t="s">
        <v>58</v>
      </c>
      <c r="B6" s="193"/>
      <c r="C6" s="194"/>
      <c r="D6" s="194"/>
      <c r="F6" s="188" t="s">
        <v>59</v>
      </c>
      <c r="G6" s="188"/>
      <c r="H6" s="188"/>
      <c r="I6" s="188"/>
      <c r="J6" s="188"/>
      <c r="K6" s="188"/>
      <c r="L6" s="188"/>
      <c r="M6" s="188"/>
      <c r="Q6" s="188" t="s">
        <v>59</v>
      </c>
      <c r="R6" s="188"/>
      <c r="S6" s="188"/>
      <c r="T6" s="188"/>
      <c r="U6" s="188"/>
      <c r="V6" s="188"/>
      <c r="W6" s="188"/>
      <c r="X6" s="188"/>
    </row>
    <row r="7" spans="1:24" x14ac:dyDescent="0.15">
      <c r="A7" s="188" t="s">
        <v>60</v>
      </c>
      <c r="B7" s="187"/>
      <c r="C7" s="195">
        <v>9.6357327491785316</v>
      </c>
      <c r="D7" s="196"/>
      <c r="F7" s="188"/>
      <c r="G7" s="188"/>
      <c r="H7" s="188"/>
      <c r="I7" s="188"/>
      <c r="J7" s="188"/>
      <c r="K7" s="188"/>
      <c r="L7" s="188"/>
      <c r="M7" s="188"/>
      <c r="Q7" s="188" t="s">
        <v>61</v>
      </c>
      <c r="R7" s="188"/>
      <c r="S7" s="188"/>
      <c r="T7" s="197">
        <f>SUM(T8:V10)</f>
        <v>1305</v>
      </c>
      <c r="U7" s="197"/>
      <c r="V7" s="197"/>
      <c r="W7" s="198" t="s">
        <v>62</v>
      </c>
      <c r="X7" s="198"/>
    </row>
    <row r="8" spans="1:24" x14ac:dyDescent="0.15">
      <c r="A8" s="188" t="s">
        <v>63</v>
      </c>
      <c r="B8" s="187"/>
      <c r="C8" s="195">
        <v>11.387101861993427</v>
      </c>
      <c r="D8" s="196"/>
      <c r="F8" s="188" t="s">
        <v>61</v>
      </c>
      <c r="G8" s="188"/>
      <c r="H8" s="188"/>
      <c r="I8" s="199">
        <f ca="1">I9+I10</f>
        <v>2000</v>
      </c>
      <c r="J8" s="199"/>
      <c r="K8" s="199"/>
      <c r="L8" s="198" t="s">
        <v>62</v>
      </c>
      <c r="M8" s="198"/>
      <c r="Q8" s="188" t="s">
        <v>52</v>
      </c>
      <c r="R8" s="188"/>
      <c r="S8" s="58">
        <f>R2</f>
        <v>1</v>
      </c>
      <c r="T8" s="200">
        <v>220</v>
      </c>
      <c r="U8" s="201"/>
      <c r="V8" s="202"/>
      <c r="W8" s="203" t="s">
        <v>62</v>
      </c>
      <c r="X8" s="198"/>
    </row>
    <row r="9" spans="1:24" x14ac:dyDescent="0.15">
      <c r="A9" s="188" t="s">
        <v>64</v>
      </c>
      <c r="B9" s="188"/>
      <c r="C9" s="204">
        <f>(C8+C7)/2</f>
        <v>10.511417305585979</v>
      </c>
      <c r="D9" s="204"/>
      <c r="F9" s="188" t="s">
        <v>52</v>
      </c>
      <c r="G9" s="188"/>
      <c r="H9" s="51">
        <f>G3</f>
        <v>1</v>
      </c>
      <c r="I9" s="205">
        <f ca="1">IF(C12&lt;C10, ((ABS(C10-C12)*100*100)+O4*C1)/(O3+O4),C1-I10)</f>
        <v>1955.8904877729547</v>
      </c>
      <c r="J9" s="205"/>
      <c r="K9" s="205"/>
      <c r="L9" s="198" t="s">
        <v>62</v>
      </c>
      <c r="M9" s="198"/>
      <c r="Q9" s="188" t="s">
        <v>52</v>
      </c>
      <c r="R9" s="188"/>
      <c r="S9" s="58">
        <f>R3</f>
        <v>7</v>
      </c>
      <c r="T9" s="200">
        <v>700</v>
      </c>
      <c r="U9" s="201"/>
      <c r="V9" s="202"/>
      <c r="W9" s="203" t="s">
        <v>62</v>
      </c>
      <c r="X9" s="198"/>
    </row>
    <row r="10" spans="1:24" x14ac:dyDescent="0.15">
      <c r="A10" s="188" t="s">
        <v>65</v>
      </c>
      <c r="B10" s="188"/>
      <c r="C10" s="206">
        <f>C8-C7</f>
        <v>1.7513691128148956</v>
      </c>
      <c r="D10" s="206"/>
      <c r="F10" s="188" t="s">
        <v>52</v>
      </c>
      <c r="G10" s="188"/>
      <c r="H10" s="51">
        <f>G4</f>
        <v>7</v>
      </c>
      <c r="I10" s="205">
        <f ca="1">IF(OR(C12&gt;C10,C12=C10), ((ABS(C10-C12)*100*100)+O3*C1)/(O3+O4),C1-I9)</f>
        <v>44.109512227045343</v>
      </c>
      <c r="J10" s="205"/>
      <c r="K10" s="205"/>
      <c r="L10" s="198" t="s">
        <v>62</v>
      </c>
      <c r="M10" s="198"/>
      <c r="Q10" s="188" t="s">
        <v>52</v>
      </c>
      <c r="R10" s="188"/>
      <c r="S10" s="58">
        <f>R4</f>
        <v>4</v>
      </c>
      <c r="T10" s="200">
        <v>385</v>
      </c>
      <c r="U10" s="201"/>
      <c r="V10" s="202"/>
      <c r="W10" s="203" t="s">
        <v>62</v>
      </c>
      <c r="X10" s="198"/>
    </row>
    <row r="11" spans="1:24" x14ac:dyDescent="0.15">
      <c r="Q11" s="59"/>
      <c r="R11" s="59"/>
      <c r="S11" s="59"/>
      <c r="T11" s="60"/>
      <c r="U11" s="60"/>
      <c r="V11" s="60"/>
      <c r="W11" s="59"/>
      <c r="X11" s="59"/>
    </row>
    <row r="12" spans="1:24" x14ac:dyDescent="0.15">
      <c r="A12" s="188" t="s">
        <v>66</v>
      </c>
      <c r="B12" s="187"/>
      <c r="C12" s="195">
        <v>0.33</v>
      </c>
      <c r="D12" s="196"/>
      <c r="F12" s="188" t="s">
        <v>67</v>
      </c>
      <c r="G12" s="188"/>
      <c r="H12" s="188"/>
      <c r="I12" s="188"/>
      <c r="J12" s="188"/>
      <c r="K12" s="188"/>
      <c r="L12" s="188"/>
      <c r="M12" s="188"/>
      <c r="Q12" s="188" t="s">
        <v>68</v>
      </c>
      <c r="R12" s="188"/>
      <c r="S12" s="188"/>
      <c r="T12" s="188"/>
      <c r="U12" s="188"/>
      <c r="V12" s="188"/>
      <c r="W12" s="188"/>
      <c r="X12" s="188"/>
    </row>
    <row r="13" spans="1:24" x14ac:dyDescent="0.15">
      <c r="A13" s="188"/>
      <c r="B13" s="188"/>
      <c r="C13" s="207" t="str">
        <f>IF(C12&gt;0,"By stern",IF(C12&lt;0,"By head","Even keel"))</f>
        <v>By stern</v>
      </c>
      <c r="D13" s="207"/>
      <c r="F13" s="188"/>
      <c r="G13" s="188"/>
      <c r="H13" s="188"/>
      <c r="I13" s="188"/>
      <c r="J13" s="188"/>
      <c r="K13" s="188"/>
      <c r="L13" s="188"/>
      <c r="M13" s="188"/>
      <c r="Q13" s="188"/>
      <c r="R13" s="188"/>
      <c r="S13" s="188"/>
      <c r="T13" s="188"/>
      <c r="U13" s="188"/>
      <c r="V13" s="188"/>
      <c r="W13" s="188"/>
      <c r="X13" s="188"/>
    </row>
    <row r="14" spans="1:24" x14ac:dyDescent="0.15">
      <c r="A14" s="188" t="s">
        <v>69</v>
      </c>
      <c r="B14" s="188"/>
      <c r="C14" s="206">
        <f>C12-C10</f>
        <v>-1.4213691128148955</v>
      </c>
      <c r="D14" s="206"/>
      <c r="F14" s="188" t="s">
        <v>60</v>
      </c>
      <c r="G14" s="188"/>
      <c r="H14" s="188"/>
      <c r="I14" s="206">
        <f ca="1">C7+(I9*I3+I10*I4)/10000</f>
        <v>10.655530079223634</v>
      </c>
      <c r="J14" s="206"/>
      <c r="K14" s="206"/>
      <c r="L14" s="198" t="s">
        <v>64</v>
      </c>
      <c r="M14" s="198"/>
      <c r="Q14" s="188" t="s">
        <v>60</v>
      </c>
      <c r="R14" s="188"/>
      <c r="S14" s="188"/>
      <c r="T14" s="206">
        <f ca="1">C7+(T8*T2+T9*T3+T10*T4)/10000</f>
        <v>9.7142163511500534</v>
      </c>
      <c r="U14" s="206"/>
      <c r="V14" s="206"/>
      <c r="W14" s="198" t="s">
        <v>64</v>
      </c>
      <c r="X14" s="198"/>
    </row>
    <row r="15" spans="1:24" x14ac:dyDescent="0.15">
      <c r="F15" s="188" t="s">
        <v>63</v>
      </c>
      <c r="G15" s="188"/>
      <c r="H15" s="188"/>
      <c r="I15" s="206">
        <f ca="1">C8+(I9*L3+I10*L4)/10000</f>
        <v>10.985530079223635</v>
      </c>
      <c r="J15" s="206"/>
      <c r="K15" s="206"/>
      <c r="L15" s="198" t="s">
        <v>64</v>
      </c>
      <c r="M15" s="198"/>
      <c r="Q15" s="188" t="s">
        <v>63</v>
      </c>
      <c r="R15" s="188"/>
      <c r="S15" s="188"/>
      <c r="T15" s="206">
        <f ca="1">C8+(T8*W2+T9*W3+T10*W4)/10000</f>
        <v>11.675427374370207</v>
      </c>
      <c r="U15" s="206"/>
      <c r="V15" s="206"/>
      <c r="W15" s="198" t="s">
        <v>64</v>
      </c>
      <c r="X15" s="198"/>
    </row>
    <row r="16" spans="1:24" x14ac:dyDescent="0.15">
      <c r="F16" s="188" t="s">
        <v>65</v>
      </c>
      <c r="G16" s="188"/>
      <c r="H16" s="188"/>
      <c r="I16" s="206">
        <f ca="1">I15-I14</f>
        <v>0.33000000000000007</v>
      </c>
      <c r="J16" s="206"/>
      <c r="K16" s="206"/>
      <c r="L16" s="198" t="s">
        <v>64</v>
      </c>
      <c r="M16" s="198"/>
      <c r="Q16" s="188" t="s">
        <v>65</v>
      </c>
      <c r="R16" s="188"/>
      <c r="S16" s="188"/>
      <c r="T16" s="206">
        <f ca="1">T15-T14</f>
        <v>1.9612110232201534</v>
      </c>
      <c r="U16" s="206"/>
      <c r="V16" s="206"/>
      <c r="W16" s="198" t="s">
        <v>64</v>
      </c>
      <c r="X16" s="198"/>
    </row>
    <row r="19" spans="19:24" x14ac:dyDescent="0.15">
      <c r="S19" s="208"/>
      <c r="T19" s="208"/>
      <c r="U19" s="208"/>
      <c r="V19" s="208"/>
      <c r="W19" s="209"/>
      <c r="X19" s="209"/>
    </row>
  </sheetData>
  <sheetProtection algorithmName="SHA-512" hashValue="0whb7aWHOipmB2X60Pj27ONl0Lp9SZ8uf7k9rqI6XoUpbhkHbKEtftdtkHIkYwOcLbj4jR67nU2iAiKW1MMz8A==" saltValue="tSpPtqs76zlHxnA5fx5k+g==" spinCount="100000" sheet="1" objects="1" scenarios="1" selectLockedCells="1"/>
  <mergeCells count="63">
    <mergeCell ref="S19:V19"/>
    <mergeCell ref="W19:X19"/>
    <mergeCell ref="F16:H16"/>
    <mergeCell ref="I16:K16"/>
    <mergeCell ref="L16:M16"/>
    <mergeCell ref="Q16:S16"/>
    <mergeCell ref="T16:V16"/>
    <mergeCell ref="W16:X16"/>
    <mergeCell ref="Q14:S14"/>
    <mergeCell ref="T14:V14"/>
    <mergeCell ref="W14:X14"/>
    <mergeCell ref="F15:H15"/>
    <mergeCell ref="I15:K15"/>
    <mergeCell ref="L15:M15"/>
    <mergeCell ref="Q15:S15"/>
    <mergeCell ref="T15:V15"/>
    <mergeCell ref="W15:X15"/>
    <mergeCell ref="A12:B13"/>
    <mergeCell ref="C12:D12"/>
    <mergeCell ref="F12:M13"/>
    <mergeCell ref="Q12:X13"/>
    <mergeCell ref="C13:D13"/>
    <mergeCell ref="A14:B14"/>
    <mergeCell ref="C14:D14"/>
    <mergeCell ref="F14:H14"/>
    <mergeCell ref="I14:K14"/>
    <mergeCell ref="L14:M14"/>
    <mergeCell ref="Q10:R10"/>
    <mergeCell ref="T10:V10"/>
    <mergeCell ref="W10:X10"/>
    <mergeCell ref="A9:B9"/>
    <mergeCell ref="C9:D9"/>
    <mergeCell ref="F9:G9"/>
    <mergeCell ref="I9:K9"/>
    <mergeCell ref="L9:M9"/>
    <mergeCell ref="Q9:R9"/>
    <mergeCell ref="A10:B10"/>
    <mergeCell ref="C10:D10"/>
    <mergeCell ref="F10:G10"/>
    <mergeCell ref="I10:K10"/>
    <mergeCell ref="L10:M10"/>
    <mergeCell ref="Q8:R8"/>
    <mergeCell ref="T8:V8"/>
    <mergeCell ref="W8:X8"/>
    <mergeCell ref="T9:V9"/>
    <mergeCell ref="W9:X9"/>
    <mergeCell ref="A8:B8"/>
    <mergeCell ref="C8:D8"/>
    <mergeCell ref="F8:H8"/>
    <mergeCell ref="I8:K8"/>
    <mergeCell ref="L8:M8"/>
    <mergeCell ref="A1:B2"/>
    <mergeCell ref="C1:D2"/>
    <mergeCell ref="F1:M2"/>
    <mergeCell ref="Q1:X1"/>
    <mergeCell ref="A6:D6"/>
    <mergeCell ref="F6:M7"/>
    <mergeCell ref="Q6:X6"/>
    <mergeCell ref="A7:B7"/>
    <mergeCell ref="C7:D7"/>
    <mergeCell ref="Q7:S7"/>
    <mergeCell ref="T7:V7"/>
    <mergeCell ref="W7:X7"/>
  </mergeCells>
  <phoneticPr fontId="1" type="noConversion"/>
  <pageMargins left="0.25" right="0.25" top="0.75" bottom="0.75" header="0.3" footer="0.3"/>
  <pageSetup paperSize="9" orientation="landscape" horizontalDpi="200" verticalDpi="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2">
    <tabColor theme="1" tint="0.34998626667073579"/>
  </sheetPr>
  <dimension ref="A1:U49"/>
  <sheetViews>
    <sheetView showGridLines="0" showRowColHeaders="0" zoomScale="90" zoomScaleNormal="90" workbookViewId="0">
      <selection activeCell="N8" sqref="N8"/>
    </sheetView>
  </sheetViews>
  <sheetFormatPr defaultColWidth="9" defaultRowHeight="13.5" x14ac:dyDescent="0.15"/>
  <cols>
    <col min="1" max="1" width="9" style="43"/>
    <col min="2" max="15" width="7.625" style="44" customWidth="1"/>
    <col min="16" max="16384" width="9" style="34"/>
  </cols>
  <sheetData>
    <row r="1" spans="1:21" ht="23.25" customHeight="1" x14ac:dyDescent="0.15">
      <c r="A1" s="211" t="s">
        <v>154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</row>
    <row r="2" spans="1:21" x14ac:dyDescent="0.15">
      <c r="A2" s="212" t="s">
        <v>58</v>
      </c>
      <c r="B2" s="213" t="s">
        <v>70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213"/>
      <c r="U2" s="62"/>
    </row>
    <row r="3" spans="1:21" x14ac:dyDescent="0.15">
      <c r="A3" s="212"/>
      <c r="B3" s="210">
        <v>1</v>
      </c>
      <c r="C3" s="210"/>
      <c r="D3" s="210">
        <v>2</v>
      </c>
      <c r="E3" s="210"/>
      <c r="F3" s="210">
        <v>3</v>
      </c>
      <c r="G3" s="210"/>
      <c r="H3" s="210">
        <v>4</v>
      </c>
      <c r="I3" s="210"/>
      <c r="J3" s="210">
        <v>5</v>
      </c>
      <c r="K3" s="210"/>
      <c r="L3" s="210">
        <v>6</v>
      </c>
      <c r="M3" s="210"/>
      <c r="N3" s="210">
        <v>7</v>
      </c>
      <c r="O3" s="210"/>
      <c r="P3" s="210">
        <v>8</v>
      </c>
      <c r="Q3" s="210"/>
      <c r="R3" s="210">
        <v>9</v>
      </c>
      <c r="S3" s="210"/>
      <c r="U3" s="62"/>
    </row>
    <row r="4" spans="1:21" x14ac:dyDescent="0.15">
      <c r="A4" s="212"/>
      <c r="B4" s="35" t="s">
        <v>72</v>
      </c>
      <c r="C4" s="35" t="s">
        <v>71</v>
      </c>
      <c r="D4" s="35" t="s">
        <v>72</v>
      </c>
      <c r="E4" s="35" t="s">
        <v>71</v>
      </c>
      <c r="F4" s="35" t="s">
        <v>72</v>
      </c>
      <c r="G4" s="35" t="s">
        <v>71</v>
      </c>
      <c r="H4" s="35" t="s">
        <v>72</v>
      </c>
      <c r="I4" s="35" t="s">
        <v>71</v>
      </c>
      <c r="J4" s="35" t="s">
        <v>72</v>
      </c>
      <c r="K4" s="35" t="s">
        <v>71</v>
      </c>
      <c r="L4" s="35" t="s">
        <v>72</v>
      </c>
      <c r="M4" s="35" t="s">
        <v>71</v>
      </c>
      <c r="N4" s="35" t="s">
        <v>72</v>
      </c>
      <c r="O4" s="35" t="s">
        <v>71</v>
      </c>
      <c r="P4" s="36"/>
      <c r="Q4" s="36"/>
      <c r="R4" s="36"/>
      <c r="S4" s="36"/>
    </row>
    <row r="5" spans="1:21" x14ac:dyDescent="0.15">
      <c r="A5" s="37">
        <v>7</v>
      </c>
      <c r="B5" s="38">
        <v>5.7</v>
      </c>
      <c r="C5" s="38">
        <v>-2.8</v>
      </c>
      <c r="D5" s="38">
        <v>4.3</v>
      </c>
      <c r="E5" s="38">
        <v>-1.5</v>
      </c>
      <c r="F5" s="38">
        <v>3</v>
      </c>
      <c r="G5" s="38">
        <v>0</v>
      </c>
      <c r="H5" s="38">
        <v>1.7</v>
      </c>
      <c r="I5" s="38">
        <v>1.3</v>
      </c>
      <c r="J5" s="38">
        <v>0.5</v>
      </c>
      <c r="K5" s="38">
        <v>2.6</v>
      </c>
      <c r="L5" s="38">
        <v>-0.8</v>
      </c>
      <c r="M5" s="38">
        <v>4</v>
      </c>
      <c r="N5" s="38">
        <v>-2.1</v>
      </c>
      <c r="O5" s="38">
        <v>5.4</v>
      </c>
      <c r="P5" s="39"/>
      <c r="Q5" s="39"/>
      <c r="R5" s="39"/>
      <c r="S5" s="39"/>
    </row>
    <row r="6" spans="1:21" x14ac:dyDescent="0.15">
      <c r="A6" s="37">
        <v>8</v>
      </c>
      <c r="B6" s="38">
        <v>5.5</v>
      </c>
      <c r="C6" s="38">
        <v>-2.6</v>
      </c>
      <c r="D6" s="38">
        <v>4.3</v>
      </c>
      <c r="E6" s="38">
        <v>-1.4</v>
      </c>
      <c r="F6" s="38">
        <v>3</v>
      </c>
      <c r="G6" s="38">
        <v>0</v>
      </c>
      <c r="H6" s="38">
        <v>1.8</v>
      </c>
      <c r="I6" s="38">
        <v>1.2</v>
      </c>
      <c r="J6" s="38">
        <v>0.6</v>
      </c>
      <c r="K6" s="38">
        <v>2.4</v>
      </c>
      <c r="L6" s="38">
        <v>-0.7</v>
      </c>
      <c r="M6" s="38">
        <v>3.7</v>
      </c>
      <c r="N6" s="38">
        <v>-2</v>
      </c>
      <c r="O6" s="38">
        <v>5</v>
      </c>
      <c r="P6" s="39"/>
      <c r="Q6" s="39"/>
      <c r="R6" s="39"/>
      <c r="S6" s="39"/>
    </row>
    <row r="7" spans="1:21" x14ac:dyDescent="0.15">
      <c r="A7" s="37">
        <v>9</v>
      </c>
      <c r="B7" s="38">
        <v>5.4</v>
      </c>
      <c r="C7" s="38">
        <v>-2.4</v>
      </c>
      <c r="D7" s="38">
        <v>4.2</v>
      </c>
      <c r="E7" s="38">
        <v>-1.2</v>
      </c>
      <c r="F7" s="38">
        <v>2.9</v>
      </c>
      <c r="G7" s="38">
        <v>0</v>
      </c>
      <c r="H7" s="38">
        <v>1.8</v>
      </c>
      <c r="I7" s="38">
        <v>1.1000000000000001</v>
      </c>
      <c r="J7" s="38">
        <v>0.7</v>
      </c>
      <c r="K7" s="38">
        <v>2.2999999999999998</v>
      </c>
      <c r="L7" s="38">
        <v>-0.5</v>
      </c>
      <c r="M7" s="38">
        <v>3.4</v>
      </c>
      <c r="N7" s="38">
        <v>-1.8</v>
      </c>
      <c r="O7" s="38">
        <v>4.7</v>
      </c>
      <c r="P7" s="39"/>
      <c r="Q7" s="39"/>
      <c r="R7" s="39"/>
      <c r="S7" s="39"/>
    </row>
    <row r="8" spans="1:21" x14ac:dyDescent="0.15">
      <c r="A8" s="37">
        <v>10</v>
      </c>
      <c r="B8" s="38">
        <v>5.3</v>
      </c>
      <c r="C8" s="38">
        <v>-2.2000000000000002</v>
      </c>
      <c r="D8" s="38">
        <v>4.0999999999999996</v>
      </c>
      <c r="E8" s="38">
        <v>-1.1000000000000001</v>
      </c>
      <c r="F8" s="38">
        <v>2.9</v>
      </c>
      <c r="G8" s="38">
        <v>0</v>
      </c>
      <c r="H8" s="38">
        <v>1.8</v>
      </c>
      <c r="I8" s="38">
        <v>1</v>
      </c>
      <c r="J8" s="38">
        <v>0.8</v>
      </c>
      <c r="K8" s="38">
        <v>2.1</v>
      </c>
      <c r="L8" s="38">
        <v>-0.5</v>
      </c>
      <c r="M8" s="38">
        <v>3.3</v>
      </c>
      <c r="N8" s="38">
        <v>-1.7</v>
      </c>
      <c r="O8" s="38">
        <v>4.5</v>
      </c>
      <c r="P8" s="39"/>
      <c r="Q8" s="39"/>
      <c r="R8" s="39"/>
      <c r="S8" s="39"/>
    </row>
    <row r="9" spans="1:21" x14ac:dyDescent="0.15">
      <c r="A9" s="37">
        <v>11</v>
      </c>
      <c r="B9" s="38">
        <v>5.2</v>
      </c>
      <c r="C9" s="38">
        <v>-2.1</v>
      </c>
      <c r="D9" s="38">
        <v>4.0999999999999996</v>
      </c>
      <c r="E9" s="38">
        <v>-1.1000000000000001</v>
      </c>
      <c r="F9" s="38">
        <v>2.9</v>
      </c>
      <c r="G9" s="38">
        <v>0</v>
      </c>
      <c r="H9" s="38">
        <v>1.9</v>
      </c>
      <c r="I9" s="38">
        <v>1</v>
      </c>
      <c r="J9" s="38">
        <v>0.8</v>
      </c>
      <c r="K9" s="38">
        <v>2</v>
      </c>
      <c r="L9" s="38">
        <v>-0.3</v>
      </c>
      <c r="M9" s="38">
        <v>3</v>
      </c>
      <c r="N9" s="38">
        <v>-1.4</v>
      </c>
      <c r="O9" s="38">
        <v>4</v>
      </c>
      <c r="P9" s="39"/>
      <c r="Q9" s="39"/>
      <c r="R9" s="39"/>
      <c r="S9" s="39"/>
    </row>
    <row r="10" spans="1:21" x14ac:dyDescent="0.15">
      <c r="A10" s="37">
        <v>12</v>
      </c>
      <c r="B10" s="38">
        <v>5.2</v>
      </c>
      <c r="C10" s="38">
        <v>-2.1</v>
      </c>
      <c r="D10" s="38">
        <v>4.0999999999999996</v>
      </c>
      <c r="E10" s="38">
        <v>-1.0999999999999999</v>
      </c>
      <c r="F10" s="38">
        <v>2.9</v>
      </c>
      <c r="G10" s="38">
        <v>0</v>
      </c>
      <c r="H10" s="38">
        <v>1.9</v>
      </c>
      <c r="I10" s="38">
        <v>1</v>
      </c>
      <c r="J10" s="38">
        <v>0.8</v>
      </c>
      <c r="K10" s="38">
        <v>1.9</v>
      </c>
      <c r="L10" s="38">
        <v>-0.2</v>
      </c>
      <c r="M10" s="38">
        <v>2.9</v>
      </c>
      <c r="N10" s="38">
        <v>-1.3</v>
      </c>
      <c r="O10" s="38">
        <v>3.9</v>
      </c>
      <c r="P10" s="39"/>
      <c r="Q10" s="39"/>
      <c r="R10" s="39"/>
      <c r="S10" s="39"/>
    </row>
    <row r="11" spans="1:21" x14ac:dyDescent="0.15">
      <c r="A11" s="37">
        <v>13</v>
      </c>
      <c r="B11" s="38">
        <v>5.0999999999999996</v>
      </c>
      <c r="C11" s="38">
        <v>-2</v>
      </c>
      <c r="D11" s="38">
        <v>4</v>
      </c>
      <c r="E11" s="38">
        <v>-1</v>
      </c>
      <c r="F11" s="38">
        <v>2.9</v>
      </c>
      <c r="G11" s="38">
        <v>0</v>
      </c>
      <c r="H11" s="38">
        <v>1.9</v>
      </c>
      <c r="I11" s="38">
        <v>1</v>
      </c>
      <c r="J11" s="38">
        <v>0.8</v>
      </c>
      <c r="K11" s="38">
        <v>1.9</v>
      </c>
      <c r="L11" s="38">
        <v>-0.2</v>
      </c>
      <c r="M11" s="38">
        <v>2.9</v>
      </c>
      <c r="N11" s="38">
        <v>-1.3</v>
      </c>
      <c r="O11" s="38">
        <v>3.9</v>
      </c>
      <c r="P11" s="39"/>
      <c r="Q11" s="39"/>
      <c r="R11" s="39"/>
      <c r="S11" s="39"/>
    </row>
    <row r="12" spans="1:21" x14ac:dyDescent="0.15">
      <c r="A12" s="37">
        <v>14</v>
      </c>
      <c r="B12" s="40">
        <v>5.0999999999999996</v>
      </c>
      <c r="C12" s="40">
        <v>-2</v>
      </c>
      <c r="D12" s="40">
        <v>4</v>
      </c>
      <c r="E12" s="40">
        <v>-1</v>
      </c>
      <c r="F12" s="40">
        <v>2.9</v>
      </c>
      <c r="G12" s="40">
        <v>0</v>
      </c>
      <c r="H12" s="40">
        <v>1.9</v>
      </c>
      <c r="I12" s="40">
        <v>1</v>
      </c>
      <c r="J12" s="40">
        <v>0.9</v>
      </c>
      <c r="K12" s="40">
        <v>1.9</v>
      </c>
      <c r="L12" s="40">
        <v>-0.2</v>
      </c>
      <c r="M12" s="40">
        <v>2.9</v>
      </c>
      <c r="N12" s="40">
        <v>-1.3</v>
      </c>
      <c r="O12" s="40">
        <v>3.8</v>
      </c>
      <c r="P12" s="39"/>
      <c r="Q12" s="39"/>
      <c r="R12" s="39"/>
      <c r="S12" s="39"/>
    </row>
    <row r="13" spans="1:21" x14ac:dyDescent="0.15">
      <c r="A13" s="37">
        <v>15</v>
      </c>
      <c r="B13" s="40">
        <v>5</v>
      </c>
      <c r="C13" s="40">
        <v>-2</v>
      </c>
      <c r="D13" s="40">
        <v>4</v>
      </c>
      <c r="E13" s="40">
        <v>-1</v>
      </c>
      <c r="F13" s="40">
        <v>2.9</v>
      </c>
      <c r="G13" s="40">
        <v>0</v>
      </c>
      <c r="H13" s="40">
        <v>1.9</v>
      </c>
      <c r="I13" s="40">
        <v>1</v>
      </c>
      <c r="J13" s="40">
        <v>0.9</v>
      </c>
      <c r="K13" s="40">
        <v>1.9</v>
      </c>
      <c r="L13" s="40">
        <v>-0.2</v>
      </c>
      <c r="M13" s="40">
        <v>2.8</v>
      </c>
      <c r="N13" s="40">
        <v>-1.2</v>
      </c>
      <c r="O13" s="40">
        <v>3.8</v>
      </c>
      <c r="P13" s="39"/>
      <c r="Q13" s="39"/>
      <c r="R13" s="39"/>
      <c r="S13" s="39"/>
    </row>
    <row r="14" spans="1:21" x14ac:dyDescent="0.15">
      <c r="A14" s="41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39"/>
      <c r="Q14" s="39"/>
      <c r="R14" s="39"/>
      <c r="S14" s="39"/>
    </row>
    <row r="15" spans="1:21" x14ac:dyDescent="0.15">
      <c r="A15" s="41"/>
      <c r="B15" s="38"/>
      <c r="C15" s="40"/>
      <c r="D15" s="38"/>
      <c r="E15" s="40"/>
      <c r="F15" s="38"/>
      <c r="G15" s="40"/>
      <c r="H15" s="38"/>
      <c r="I15" s="40"/>
      <c r="J15" s="38"/>
      <c r="K15" s="40"/>
      <c r="L15" s="38"/>
      <c r="M15" s="40"/>
      <c r="N15" s="38"/>
      <c r="O15" s="40"/>
      <c r="P15" s="39"/>
      <c r="Q15" s="39"/>
      <c r="R15" s="39"/>
      <c r="S15" s="39"/>
    </row>
    <row r="16" spans="1:21" x14ac:dyDescent="0.15">
      <c r="A16" s="41"/>
      <c r="B16" s="38"/>
      <c r="C16" s="40"/>
      <c r="D16" s="38"/>
      <c r="E16" s="40"/>
      <c r="F16" s="38"/>
      <c r="G16" s="40"/>
      <c r="H16" s="38"/>
      <c r="I16" s="40"/>
      <c r="J16" s="38"/>
      <c r="K16" s="40"/>
      <c r="L16" s="38"/>
      <c r="M16" s="40"/>
      <c r="N16" s="38"/>
      <c r="O16" s="40"/>
      <c r="P16" s="39"/>
      <c r="Q16" s="39"/>
      <c r="R16" s="39"/>
      <c r="S16" s="39"/>
      <c r="U16" s="42"/>
    </row>
    <row r="17" spans="1:21" x14ac:dyDescent="0.15">
      <c r="A17" s="41"/>
      <c r="B17" s="38"/>
      <c r="C17" s="40"/>
      <c r="D17" s="38"/>
      <c r="E17" s="40"/>
      <c r="F17" s="38"/>
      <c r="G17" s="40"/>
      <c r="H17" s="38"/>
      <c r="I17" s="40"/>
      <c r="J17" s="38"/>
      <c r="K17" s="40"/>
      <c r="L17" s="38"/>
      <c r="M17" s="40"/>
      <c r="N17" s="38"/>
      <c r="O17" s="40"/>
      <c r="P17" s="39"/>
      <c r="Q17" s="39"/>
      <c r="R17" s="39"/>
      <c r="S17" s="39"/>
      <c r="U17" s="42"/>
    </row>
    <row r="18" spans="1:21" x14ac:dyDescent="0.15">
      <c r="A18" s="41"/>
      <c r="B18" s="38"/>
      <c r="C18" s="40"/>
      <c r="D18" s="38"/>
      <c r="E18" s="40"/>
      <c r="F18" s="38"/>
      <c r="G18" s="40"/>
      <c r="H18" s="38"/>
      <c r="I18" s="40"/>
      <c r="J18" s="38"/>
      <c r="K18" s="40"/>
      <c r="L18" s="38"/>
      <c r="M18" s="40"/>
      <c r="N18" s="38"/>
      <c r="O18" s="40"/>
      <c r="P18" s="39"/>
      <c r="Q18" s="39"/>
      <c r="R18" s="39"/>
      <c r="S18" s="39"/>
    </row>
    <row r="19" spans="1:21" x14ac:dyDescent="0.15">
      <c r="A19" s="41"/>
      <c r="B19" s="38"/>
      <c r="C19" s="40"/>
      <c r="D19" s="38"/>
      <c r="E19" s="40"/>
      <c r="F19" s="38"/>
      <c r="G19" s="40"/>
      <c r="H19" s="38"/>
      <c r="I19" s="40"/>
      <c r="J19" s="38"/>
      <c r="K19" s="40"/>
      <c r="L19" s="38"/>
      <c r="M19" s="40"/>
      <c r="N19" s="38"/>
      <c r="O19" s="40"/>
      <c r="P19" s="39"/>
      <c r="Q19" s="39"/>
      <c r="R19" s="39"/>
      <c r="S19" s="39"/>
    </row>
    <row r="20" spans="1:21" x14ac:dyDescent="0.15">
      <c r="A20" s="41"/>
      <c r="B20" s="38"/>
      <c r="C20" s="40"/>
      <c r="D20" s="38"/>
      <c r="E20" s="40"/>
      <c r="F20" s="38"/>
      <c r="G20" s="40"/>
      <c r="H20" s="38"/>
      <c r="I20" s="40"/>
      <c r="J20" s="38"/>
      <c r="K20" s="40"/>
      <c r="L20" s="38"/>
      <c r="M20" s="40"/>
      <c r="N20" s="38"/>
      <c r="O20" s="40"/>
      <c r="P20" s="39"/>
      <c r="Q20" s="39"/>
      <c r="R20" s="39"/>
      <c r="S20" s="39"/>
    </row>
    <row r="21" spans="1:21" x14ac:dyDescent="0.15">
      <c r="A21" s="41"/>
      <c r="B21" s="38"/>
      <c r="C21" s="40"/>
      <c r="D21" s="38"/>
      <c r="E21" s="40"/>
      <c r="F21" s="38"/>
      <c r="G21" s="40"/>
      <c r="H21" s="38"/>
      <c r="I21" s="40"/>
      <c r="J21" s="38"/>
      <c r="K21" s="40"/>
      <c r="L21" s="38"/>
      <c r="M21" s="40"/>
      <c r="N21" s="38"/>
      <c r="O21" s="40"/>
      <c r="P21" s="39"/>
      <c r="Q21" s="39"/>
      <c r="R21" s="39"/>
      <c r="S21" s="39"/>
    </row>
    <row r="22" spans="1:21" x14ac:dyDescent="0.15">
      <c r="A22" s="41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39"/>
      <c r="Q22" s="39"/>
      <c r="R22" s="39"/>
      <c r="S22" s="39"/>
    </row>
    <row r="23" spans="1:21" x14ac:dyDescent="0.15">
      <c r="A23" s="41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39"/>
      <c r="Q23" s="39"/>
      <c r="R23" s="39"/>
      <c r="S23" s="39"/>
    </row>
    <row r="24" spans="1:21" x14ac:dyDescent="0.15">
      <c r="A24" s="41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39"/>
      <c r="Q24" s="39"/>
      <c r="R24" s="39"/>
      <c r="S24" s="39"/>
    </row>
    <row r="25" spans="1:21" x14ac:dyDescent="0.15">
      <c r="A25" s="41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39"/>
      <c r="Q25" s="39"/>
      <c r="R25" s="39"/>
      <c r="S25" s="39"/>
    </row>
    <row r="26" spans="1:21" x14ac:dyDescent="0.15">
      <c r="A26" s="41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39"/>
      <c r="Q26" s="39"/>
      <c r="R26" s="39"/>
      <c r="S26" s="39"/>
    </row>
    <row r="27" spans="1:21" x14ac:dyDescent="0.15">
      <c r="A27" s="41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39"/>
      <c r="Q27" s="39"/>
      <c r="R27" s="39"/>
      <c r="S27" s="39"/>
    </row>
    <row r="28" spans="1:21" x14ac:dyDescent="0.15">
      <c r="A28" s="41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39"/>
      <c r="Q28" s="39"/>
      <c r="R28" s="39"/>
      <c r="S28" s="39"/>
    </row>
    <row r="29" spans="1:21" x14ac:dyDescent="0.15">
      <c r="A29" s="41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39"/>
      <c r="Q29" s="39"/>
      <c r="R29" s="39"/>
      <c r="S29" s="39"/>
    </row>
    <row r="30" spans="1:21" x14ac:dyDescent="0.15">
      <c r="A30" s="41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39"/>
      <c r="Q30" s="39"/>
      <c r="R30" s="39"/>
      <c r="S30" s="39"/>
    </row>
    <row r="31" spans="1:21" x14ac:dyDescent="0.15">
      <c r="A31" s="41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39"/>
      <c r="Q31" s="39"/>
      <c r="R31" s="39"/>
      <c r="S31" s="39"/>
    </row>
    <row r="32" spans="1:21" x14ac:dyDescent="0.15">
      <c r="A32" s="41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39"/>
      <c r="Q32" s="39"/>
      <c r="R32" s="39"/>
      <c r="S32" s="39"/>
    </row>
    <row r="33" spans="1:19" x14ac:dyDescent="0.15">
      <c r="A33" s="41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39"/>
      <c r="Q33" s="39"/>
      <c r="R33" s="39"/>
      <c r="S33" s="39"/>
    </row>
    <row r="34" spans="1:19" x14ac:dyDescent="0.15">
      <c r="A34" s="41"/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39"/>
      <c r="Q34" s="39"/>
      <c r="R34" s="39"/>
      <c r="S34" s="39"/>
    </row>
    <row r="35" spans="1:19" x14ac:dyDescent="0.15">
      <c r="A35" s="41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39"/>
      <c r="Q35" s="39"/>
      <c r="R35" s="39"/>
      <c r="S35" s="39"/>
    </row>
    <row r="36" spans="1:19" x14ac:dyDescent="0.15">
      <c r="A36" s="41"/>
      <c r="B36" s="40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39"/>
      <c r="Q36" s="39"/>
      <c r="R36" s="39"/>
      <c r="S36" s="39"/>
    </row>
    <row r="37" spans="1:19" x14ac:dyDescent="0.15">
      <c r="A37" s="41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39"/>
      <c r="Q37" s="39"/>
      <c r="R37" s="39"/>
      <c r="S37" s="39"/>
    </row>
    <row r="38" spans="1:19" x14ac:dyDescent="0.15">
      <c r="A38" s="41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39"/>
      <c r="Q38" s="39"/>
      <c r="R38" s="39"/>
      <c r="S38" s="39"/>
    </row>
    <row r="39" spans="1:19" x14ac:dyDescent="0.15">
      <c r="A39" s="41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39"/>
      <c r="Q39" s="39"/>
      <c r="R39" s="39"/>
      <c r="S39" s="39"/>
    </row>
    <row r="40" spans="1:19" x14ac:dyDescent="0.15">
      <c r="A40" s="41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39"/>
      <c r="Q40" s="39"/>
      <c r="R40" s="39"/>
      <c r="S40" s="39"/>
    </row>
    <row r="41" spans="1:19" x14ac:dyDescent="0.15">
      <c r="A41" s="41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39"/>
      <c r="Q41" s="39"/>
      <c r="R41" s="39"/>
      <c r="S41" s="39"/>
    </row>
    <row r="42" spans="1:19" x14ac:dyDescent="0.15">
      <c r="A42" s="41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39"/>
      <c r="Q42" s="39"/>
      <c r="R42" s="39"/>
      <c r="S42" s="39"/>
    </row>
    <row r="43" spans="1:19" x14ac:dyDescent="0.15">
      <c r="A43" s="41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39"/>
      <c r="Q43" s="39"/>
      <c r="R43" s="39"/>
      <c r="S43" s="39"/>
    </row>
    <row r="44" spans="1:19" x14ac:dyDescent="0.15">
      <c r="A44" s="41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39"/>
      <c r="Q44" s="39"/>
      <c r="R44" s="39"/>
      <c r="S44" s="39"/>
    </row>
    <row r="45" spans="1:19" x14ac:dyDescent="0.15">
      <c r="A45" s="41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39"/>
      <c r="Q45" s="39"/>
      <c r="R45" s="39"/>
      <c r="S45" s="39"/>
    </row>
    <row r="46" spans="1:19" x14ac:dyDescent="0.15">
      <c r="A46" s="41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39"/>
      <c r="Q46" s="39"/>
      <c r="R46" s="39"/>
      <c r="S46" s="39"/>
    </row>
    <row r="47" spans="1:19" x14ac:dyDescent="0.15">
      <c r="A47" s="41"/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39"/>
      <c r="Q47" s="39"/>
      <c r="R47" s="39"/>
      <c r="S47" s="39"/>
    </row>
    <row r="48" spans="1:19" x14ac:dyDescent="0.15"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39"/>
      <c r="Q48" s="39"/>
      <c r="R48" s="39"/>
      <c r="S48" s="39"/>
    </row>
    <row r="49" spans="2:19" x14ac:dyDescent="0.15"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39"/>
      <c r="Q49" s="39"/>
      <c r="R49" s="39"/>
      <c r="S49" s="39"/>
    </row>
  </sheetData>
  <mergeCells count="12">
    <mergeCell ref="P3:Q3"/>
    <mergeCell ref="R3:S3"/>
    <mergeCell ref="A1:S1"/>
    <mergeCell ref="A2:A4"/>
    <mergeCell ref="B2:S2"/>
    <mergeCell ref="B3:C3"/>
    <mergeCell ref="D3:E3"/>
    <mergeCell ref="F3:G3"/>
    <mergeCell ref="H3:I3"/>
    <mergeCell ref="J3:K3"/>
    <mergeCell ref="L3:M3"/>
    <mergeCell ref="N3:O3"/>
  </mergeCells>
  <phoneticPr fontId="1" type="noConversion"/>
  <dataValidations count="1">
    <dataValidation type="whole" allowBlank="1" showInputMessage="1" showErrorMessage="1" sqref="B3:S3" xr:uid="{00000000-0002-0000-0700-000000000000}">
      <formula1>1</formula1>
      <formula2>11</formula2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24577" r:id="rId4" name="Label2">
          <controlPr defaultSize="0" autoFill="0" autoLine="0" r:id="rId5">
            <anchor moveWithCells="1" sizeWithCells="1">
              <from>
                <xdr:col>19</xdr:col>
                <xdr:colOff>676275</xdr:colOff>
                <xdr:row>1</xdr:row>
                <xdr:rowOff>28575</xdr:rowOff>
              </from>
              <to>
                <xdr:col>20</xdr:col>
                <xdr:colOff>676275</xdr:colOff>
                <xdr:row>3</xdr:row>
                <xdr:rowOff>28575</xdr:rowOff>
              </to>
            </anchor>
          </controlPr>
        </control>
      </mc:Choice>
      <mc:Fallback>
        <control shapeId="24577" r:id="rId4" name="Label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theme="1" tint="0.34998626667073579"/>
  </sheetPr>
  <dimension ref="A1:I104"/>
  <sheetViews>
    <sheetView showGridLines="0" showRowColHeaders="0" workbookViewId="0">
      <selection activeCell="I3" sqref="I3"/>
    </sheetView>
  </sheetViews>
  <sheetFormatPr defaultColWidth="9" defaultRowHeight="15" x14ac:dyDescent="0.2"/>
  <cols>
    <col min="1" max="1" width="13.75" style="23" customWidth="1"/>
    <col min="2" max="2" width="14.625" style="23" customWidth="1"/>
    <col min="3" max="4" width="14" style="23" customWidth="1"/>
    <col min="5" max="5" width="13.375" style="30" customWidth="1"/>
    <col min="6" max="6" width="10.125" style="23" customWidth="1"/>
    <col min="7" max="7" width="9" style="23"/>
    <col min="8" max="9" width="9.625" style="23" customWidth="1"/>
    <col min="10" max="10" width="14.375" style="23" customWidth="1"/>
    <col min="11" max="16384" width="9" style="23"/>
  </cols>
  <sheetData>
    <row r="1" spans="1:9" ht="18" customHeight="1" x14ac:dyDescent="0.2">
      <c r="A1" s="21" t="s">
        <v>73</v>
      </c>
      <c r="B1" s="22" t="s">
        <v>74</v>
      </c>
      <c r="C1" s="150" t="s">
        <v>75</v>
      </c>
      <c r="D1" s="148" t="s">
        <v>76</v>
      </c>
      <c r="E1" s="21" t="s">
        <v>77</v>
      </c>
      <c r="F1" s="151"/>
      <c r="H1" s="24" t="s">
        <v>78</v>
      </c>
      <c r="I1" s="64">
        <v>9.6357327491785316</v>
      </c>
    </row>
    <row r="2" spans="1:9" ht="18" customHeight="1" x14ac:dyDescent="0.2">
      <c r="A2" s="152" t="s">
        <v>79</v>
      </c>
      <c r="B2" s="33">
        <v>2126.9899999999998</v>
      </c>
      <c r="C2" s="149">
        <f ca="1">IF(B2="",0,TREND(IF({0,1},TREND(OFFSET(FPT!A4,MATCH(IF(ISNUMBER(SOUNDING!B2),SOUNDING!B2,0),FPT!A5:A500),MATCH(SOUNDING!$I$4,FPT!$B$2:$L$2,-1)+1,2,),OFFSET(FPT!A4,MATCH(IF(ISNUMBER(SOUNDING!B2),SOUNDING!B2,0),FPT!A5:A500),,2,),IF(ISNUMBER(SOUNDING!B2),SOUNDING!B2,0)),TREND(OFFSET(FPT!A4,MATCH(IF(ISNUMBER(SOUNDING!B2),SOUNDING!B2,0),FPT!A5:A500),MATCH(SOUNDING!$I$4,FPT!$B$2:$L$2,-1),2,),OFFSET(FPT!A4,MATCH(IF(ISNUMBER(SOUNDING!B2),SOUNDING!B2,0),FPT!A5:A500),,2,),IF(ISNUMBER(SOUNDING!B2),SOUNDING!B2,0))),OFFSET(FPT!A2,,MATCH(SOUNDING!$I$4,FPT!$B$2:$L$2,-1),,2),SOUNDING!$I$4))</f>
        <v>1583.62</v>
      </c>
      <c r="D2" s="26"/>
      <c r="E2" s="27">
        <f t="shared" ref="E2:E23" ca="1" si="0">IF(B2="",0,IF(D2="",C2*$I$3,D2*$I$3))</f>
        <v>1616.8760199999997</v>
      </c>
      <c r="F2" s="94">
        <f>MAX(FPT!$A$5:$A$500)</f>
        <v>2127</v>
      </c>
      <c r="H2" s="24" t="s">
        <v>80</v>
      </c>
      <c r="I2" s="64">
        <v>11.387101861993427</v>
      </c>
    </row>
    <row r="3" spans="1:9" ht="18" customHeight="1" x14ac:dyDescent="0.2">
      <c r="A3" s="153" t="s">
        <v>174</v>
      </c>
      <c r="B3" s="33">
        <v>2098.9899999999998</v>
      </c>
      <c r="C3" s="25">
        <f ca="1">IF(B3="",0,TREND(IF({0,1},TREND(OFFSET('No.1 P'!A4,MATCH(IF(ISNUMBER(SOUNDING!B3),SOUNDING!B3,0),'No.1 P'!A5:A500),MATCH(SOUNDING!$I$4,'No.1 P'!$B$2:$L$2,-1)+1,2,),OFFSET('No.1 P'!A4,MATCH(IF(ISNUMBER(SOUNDING!B3),SOUNDING!B3,0),'No.1 P'!A5:A500),,2,),IF(ISNUMBER(SOUNDING!B3),SOUNDING!B3,0)),TREND(OFFSET('No.1 P'!A4,MATCH(IF(ISNUMBER(SOUNDING!B3),SOUNDING!B3,0),'No.1 P'!A5:A500),MATCH(SOUNDING!$I$4,'No.1 P'!$B$2:$L$2,-1),2,),OFFSET('No.1 P'!A4,MATCH(IF(ISNUMBER(SOUNDING!B3),SOUNDING!B3,0),'No.1 P'!A5:A500),,2,),IF(ISNUMBER(SOUNDING!B3),SOUNDING!B3,0))),OFFSET('No.1 P'!A2,,MATCH(SOUNDING!$I$4,'No.1 P'!$B$2:$L$2,-1),,2),SOUNDING!$I$4))</f>
        <v>1493.0482763964947</v>
      </c>
      <c r="D3" s="26"/>
      <c r="E3" s="27">
        <f t="shared" ca="1" si="0"/>
        <v>1524.402290200821</v>
      </c>
      <c r="F3" s="94">
        <f>MAX('No.1 P'!$A$5:$A$500)</f>
        <v>2099</v>
      </c>
      <c r="H3" s="24" t="s">
        <v>81</v>
      </c>
      <c r="I3" s="64">
        <v>1.0209999999999999</v>
      </c>
    </row>
    <row r="4" spans="1:9" ht="18" customHeight="1" x14ac:dyDescent="0.2">
      <c r="A4" s="152" t="s">
        <v>155</v>
      </c>
      <c r="B4" s="33">
        <v>2095.9899999999998</v>
      </c>
      <c r="C4" s="25">
        <f ca="1">IF(B4="",0,TREND(IF({0,1},TREND(OFFSET('No.1 S'!A4,MATCH(IF(ISNUMBER(SOUNDING!B4),SOUNDING!B4,0),'No.1 S'!A5:A500),MATCH(SOUNDING!$I$4,'No.1 S'!$B$2:$L$2,-1)+1,2,),OFFSET('No.1 S'!A4,MATCH(IF(ISNUMBER(SOUNDING!B4),SOUNDING!B4,0),'No.1 S'!A5:A500),,2,),IF(ISNUMBER(SOUNDING!B4),SOUNDING!B4,0)),TREND(OFFSET('No.1 S'!A4,MATCH(IF(ISNUMBER(SOUNDING!B4),SOUNDING!B4,0),'No.1 S'!A5:A500),MATCH(SOUNDING!$I$4,'No.1 S'!$B$2:$L$2,-1),2,),OFFSET('No.1 S'!A4,MATCH(IF(ISNUMBER(SOUNDING!B4),SOUNDING!B4,0),'No.1 S'!A5:A500),,2,),IF(ISNUMBER(SOUNDING!B4),SOUNDING!B4,0))),OFFSET('No.1 S'!A2,,MATCH(SOUNDING!$I$4,'No.1 S'!$B$2:$L$2,-1),,2),SOUNDING!$I$4))</f>
        <v>1490.9227469879511</v>
      </c>
      <c r="D4" s="26"/>
      <c r="E4" s="27">
        <f t="shared" ca="1" si="0"/>
        <v>1522.2321246746978</v>
      </c>
      <c r="F4" s="94">
        <f>MAX('No.1 S'!$A$5:$A$500)</f>
        <v>2096</v>
      </c>
      <c r="H4" s="21" t="s">
        <v>65</v>
      </c>
      <c r="I4" s="28">
        <f>I1-I2</f>
        <v>-1.7513691128148956</v>
      </c>
    </row>
    <row r="5" spans="1:9" ht="18" customHeight="1" x14ac:dyDescent="0.2">
      <c r="A5" s="153" t="s">
        <v>156</v>
      </c>
      <c r="B5" s="33">
        <v>2072.9899999999998</v>
      </c>
      <c r="C5" s="25">
        <f ca="1">IF(B5="",0,TREND(IF({0,1},TREND(OFFSET('No.2 P'!A4,MATCH(IF(ISNUMBER(SOUNDING!B5),SOUNDING!B5,0),'No.2 P'!A5:A500),MATCH(SOUNDING!$I$4,'No.2 P'!$B$2:$L$2,-1)+1,2,),OFFSET('No.2 P'!A4,MATCH(IF(ISNUMBER(SOUNDING!B5),SOUNDING!B5,0),'No.2 P'!A5:A500),,2,),IF(ISNUMBER(SOUNDING!B5),SOUNDING!B5,0)),TREND(OFFSET('No.2 P'!A4,MATCH(IF(ISNUMBER(SOUNDING!B5),SOUNDING!B5,0),'No.2 P'!A5:A500),MATCH(SOUNDING!$I$4,'No.2 P'!$B$2:$L$2,-1),2,),OFFSET('No.2 P'!A4,MATCH(IF(ISNUMBER(SOUNDING!B5),SOUNDING!B5,0),'No.2 P'!A5:A500),,2,),IF(ISNUMBER(SOUNDING!B5),SOUNDING!B5,0))),OFFSET('No.2 P'!A2,,MATCH(SOUNDING!$I$4,'No.2 P'!$B$2:$L$2,-1),,2),SOUNDING!$I$4))</f>
        <v>1717.9794698795183</v>
      </c>
      <c r="D5" s="26"/>
      <c r="E5" s="27">
        <f t="shared" ca="1" si="0"/>
        <v>1754.0570387469882</v>
      </c>
      <c r="F5" s="94">
        <f>MAX('No.2 P'!$A$5:$A$500)</f>
        <v>2073</v>
      </c>
    </row>
    <row r="6" spans="1:9" ht="18" customHeight="1" x14ac:dyDescent="0.2">
      <c r="A6" s="152" t="s">
        <v>157</v>
      </c>
      <c r="B6" s="33">
        <v>2070.9899999999998</v>
      </c>
      <c r="C6" s="25">
        <f ca="1">IF(B6="",0,TREND(IF({0,1},TREND(OFFSET('No.2 S'!A4,MATCH(IF(ISNUMBER(SOUNDING!B6),SOUNDING!B6,0),'No.2 S'!A5:A500),MATCH(SOUNDING!$I$4,'No.2 S'!$B$2:$L$2,-1)+1,2,),OFFSET('No.2 S'!A4,MATCH(IF(ISNUMBER(SOUNDING!B6),SOUNDING!B6,0),'No.2 S'!A5:A500),,2,),IF(ISNUMBER(SOUNDING!B6),SOUNDING!B6,0)),TREND(OFFSET('No.2 S'!A4,MATCH(IF(ISNUMBER(SOUNDING!B6),SOUNDING!B6,0),'No.2 S'!A5:A500),MATCH(SOUNDING!$I$4,'No.2 S'!$B$2:$L$2,-1),2,),OFFSET('No.2 S'!A4,MATCH(IF(ISNUMBER(SOUNDING!B6),SOUNDING!B6,0),'No.2 S'!A5:A500),,2,),IF(ISNUMBER(SOUNDING!B6),SOUNDING!B6,0))),OFFSET('No.2 S'!A2,,MATCH(SOUNDING!$I$4,'No.2 S'!$B$2:$L$2,-1),,2),SOUNDING!$I$4))</f>
        <v>1717.9011039978093</v>
      </c>
      <c r="D6" s="26"/>
      <c r="E6" s="27">
        <f t="shared" ca="1" si="0"/>
        <v>1753.9770271817631</v>
      </c>
      <c r="F6" s="94">
        <f>MAX('No.2 S'!$A$5:$A$500)</f>
        <v>2072</v>
      </c>
    </row>
    <row r="7" spans="1:9" ht="18" customHeight="1" x14ac:dyDescent="0.2">
      <c r="A7" s="153" t="s">
        <v>158</v>
      </c>
      <c r="B7" s="33">
        <v>2041.99</v>
      </c>
      <c r="C7" s="25">
        <f ca="1">IF(B7="",0,TREND(IF({0,1},TREND(OFFSET('No.3 P'!A4,MATCH(IF(ISNUMBER(SOUNDING!B7),SOUNDING!B7,0),'No.3 P'!A5:A500),MATCH(SOUNDING!$I$4,'No.3 P'!$B$2:$L$2,-1)+1,2,),OFFSET('No.3 P'!A4,MATCH(IF(ISNUMBER(SOUNDING!B7),SOUNDING!B7,0),'No.3 P'!A5:A500),,2,),IF(ISNUMBER(SOUNDING!B7),SOUNDING!B7,0)),TREND(OFFSET('No.3 P'!A4,MATCH(IF(ISNUMBER(SOUNDING!B7),SOUNDING!B7,0),'No.3 P'!A5:A500),MATCH(SOUNDING!$I$4,'No.3 P'!$B$2:$L$2,-1),2,),OFFSET('No.3 P'!A4,MATCH(IF(ISNUMBER(SOUNDING!B7),SOUNDING!B7,0),'No.3 P'!A5:A500),,2,),IF(ISNUMBER(SOUNDING!B7),SOUNDING!B7,0))),OFFSET('No.3 P'!A2,,MATCH(SOUNDING!$I$4,'No.3 P'!$B$2:$L$2,-1),,2),SOUNDING!$I$4))</f>
        <v>2809.1307411391022</v>
      </c>
      <c r="D7" s="26"/>
      <c r="E7" s="27">
        <f t="shared" ca="1" si="0"/>
        <v>2868.1224867030232</v>
      </c>
      <c r="F7" s="94">
        <f>MAX('No.3 P'!$A$5:$A$500)</f>
        <v>2093</v>
      </c>
    </row>
    <row r="8" spans="1:9" ht="18" customHeight="1" x14ac:dyDescent="0.2">
      <c r="A8" s="152" t="s">
        <v>159</v>
      </c>
      <c r="B8" s="33">
        <v>2092.9899999999998</v>
      </c>
      <c r="C8" s="25">
        <f ca="1">IF(B8="",0,TREND(IF({0,1},TREND(OFFSET('No.3 S'!A4,MATCH(IF(ISNUMBER(SOUNDING!B8),SOUNDING!B8,0),'No.3 S'!A5:A500),MATCH(SOUNDING!$I$4,'No.3 S'!$B$2:$L$2,-1)+1,2,),OFFSET('No.3 S'!A4,MATCH(IF(ISNUMBER(SOUNDING!B8),SOUNDING!B8,0),'No.3 S'!A5:A500),,2,),IF(ISNUMBER(SOUNDING!B8),SOUNDING!B8,0)),TREND(OFFSET('No.3 S'!A4,MATCH(IF(ISNUMBER(SOUNDING!B8),SOUNDING!B8,0),'No.3 S'!A5:A500),MATCH(SOUNDING!$I$4,'No.3 S'!$B$2:$L$2,-1),2,),OFFSET('No.3 S'!A4,MATCH(IF(ISNUMBER(SOUNDING!B8),SOUNDING!B8,0),'No.3 S'!A5:A500),,2,),IF(ISNUMBER(SOUNDING!B8),SOUNDING!B8,0))),OFFSET('No.3 S'!A2,,MATCH(SOUNDING!$I$4,'No.3 S'!$B$2:$L$2,-1),,2),SOUNDING!$I$4))</f>
        <v>2899.8643623950352</v>
      </c>
      <c r="D8" s="26"/>
      <c r="E8" s="27">
        <f t="shared" ca="1" si="0"/>
        <v>2960.7615140053308</v>
      </c>
      <c r="F8" s="94">
        <f>MAX('No.3 S'!$A$5:$A$500)</f>
        <v>2093</v>
      </c>
    </row>
    <row r="9" spans="1:9" ht="18" customHeight="1" x14ac:dyDescent="0.2">
      <c r="A9" s="153" t="s">
        <v>160</v>
      </c>
      <c r="B9" s="33">
        <v>2080.9899999999998</v>
      </c>
      <c r="C9" s="25">
        <f ca="1">IF(B9="",0,TREND(IF({0,1},TREND(OFFSET('No.4 P'!A4,MATCH(IF(ISNUMBER(SOUNDING!B9),SOUNDING!B9,0),'No.4 P'!A5:A500),MATCH(SOUNDING!$I$4,'No.4 P'!$B$2:$L$2,-1)+1,2,),OFFSET('No.4 P'!A4,MATCH(IF(ISNUMBER(SOUNDING!B9),SOUNDING!B9,0),'No.4 P'!A5:A500),,2,),IF(ISNUMBER(SOUNDING!B9),SOUNDING!B9,0)),TREND(OFFSET('No.4 P'!A4,MATCH(IF(ISNUMBER(SOUNDING!B9),SOUNDING!B9,0),'No.4 P'!A5:A500),MATCH(SOUNDING!$I$4,'No.4 P'!$B$2:$L$2,-1),2,),OFFSET('No.4 P'!A4,MATCH(IF(ISNUMBER(SOUNDING!B9),SOUNDING!B9,0),'No.4 P'!A5:A500),,2,),IF(ISNUMBER(SOUNDING!B9),SOUNDING!B9,0))),OFFSET('No.4 P'!A2,,MATCH(SOUNDING!$I$4,'No.4 P'!$B$2:$L$2,-1),,2),SOUNDING!$I$4))</f>
        <v>1903.7585006133622</v>
      </c>
      <c r="D9" s="26"/>
      <c r="E9" s="27">
        <f t="shared" ca="1" si="0"/>
        <v>1943.7374291262427</v>
      </c>
      <c r="F9" s="94">
        <f>MAX('No.4 P'!$A$5:$A$500)</f>
        <v>2085</v>
      </c>
      <c r="I9" s="29"/>
    </row>
    <row r="10" spans="1:9" ht="18" customHeight="1" x14ac:dyDescent="0.2">
      <c r="A10" s="152" t="s">
        <v>161</v>
      </c>
      <c r="B10" s="33">
        <v>2084.9899999999998</v>
      </c>
      <c r="C10" s="25">
        <f ca="1">IF(B10="",0,TREND(IF({0,1},TREND(OFFSET('No.4 S'!A4,MATCH(IF(ISNUMBER(SOUNDING!B10),SOUNDING!B10,0),'No.4 S'!A5:A500),MATCH(SOUNDING!$I$4,'No.4 S'!$B$2:$L$2,-1)+1,2,),OFFSET('No.4 S'!A4,MATCH(IF(ISNUMBER(SOUNDING!B10),SOUNDING!B10,0),'No.4 S'!A5:A500),,2,),IF(ISNUMBER(SOUNDING!B10),SOUNDING!B10,0)),TREND(OFFSET('No.4 S'!A4,MATCH(IF(ISNUMBER(SOUNDING!B10),SOUNDING!B10,0),'No.4 S'!A5:A500),MATCH(SOUNDING!$I$4,'No.4 S'!$B$2:$L$2,-1),2,),OFFSET('No.4 S'!A4,MATCH(IF(ISNUMBER(SOUNDING!B10),SOUNDING!B10,0),'No.4 S'!A5:A500),,2,),IF(ISNUMBER(SOUNDING!B10),SOUNDING!B10,0))),OFFSET('No.4 S'!A2,,MATCH(SOUNDING!$I$4,'No.4 S'!$B$2:$L$2,-1),,2),SOUNDING!$I$4))</f>
        <v>1905.6525202847754</v>
      </c>
      <c r="D10" s="26"/>
      <c r="E10" s="27">
        <f t="shared" ca="1" si="0"/>
        <v>1945.6712232107554</v>
      </c>
      <c r="F10" s="94">
        <f>MAX('No.4 S'!$A$5:$A$500)</f>
        <v>2085</v>
      </c>
      <c r="I10" s="29"/>
    </row>
    <row r="11" spans="1:9" ht="18" customHeight="1" x14ac:dyDescent="0.2">
      <c r="A11" s="153" t="s">
        <v>162</v>
      </c>
      <c r="B11" s="33">
        <v>2097.9899999999998</v>
      </c>
      <c r="C11" s="25">
        <f ca="1">IF(B11="",0,TREND(IF({0,1},TREND(OFFSET('No.5 P'!A4,MATCH(IF(ISNUMBER(SOUNDING!B11),SOUNDING!B11,0),'No.5 P'!A5:A500),MATCH(SOUNDING!$I$4,'No.5 P'!$B$2:$L$2,-1)+1,2,),OFFSET('No.5 P'!A4,MATCH(IF(ISNUMBER(SOUNDING!B11),SOUNDING!B11,0),'No.5 P'!A5:A500),,2,),IF(ISNUMBER(SOUNDING!B11),SOUNDING!B11,0)),TREND(OFFSET('No.5 P'!A4,MATCH(IF(ISNUMBER(SOUNDING!B11),SOUNDING!B11,0),'No.5 P'!A5:A500),MATCH(SOUNDING!$I$4,'No.5 P'!$B$2:$L$2,-1),2,),OFFSET('No.5 P'!A4,MATCH(IF(ISNUMBER(SOUNDING!B11),SOUNDING!B11,0),'No.5 P'!A5:A500),,2,),IF(ISNUMBER(SOUNDING!B11),SOUNDING!B11,0))),OFFSET('No.5 P'!A2,,MATCH(SOUNDING!$I$4,'No.5 P'!$B$2:$L$2,-1),,2),SOUNDING!$I$4))</f>
        <v>850.75</v>
      </c>
      <c r="D11" s="26"/>
      <c r="E11" s="27">
        <f t="shared" ca="1" si="0"/>
        <v>868.61574999999993</v>
      </c>
      <c r="F11" s="94">
        <f>MAX('No.5 P'!$A$5:$A$500)</f>
        <v>2098</v>
      </c>
      <c r="I11" s="29"/>
    </row>
    <row r="12" spans="1:9" ht="18" customHeight="1" x14ac:dyDescent="0.2">
      <c r="A12" s="152" t="s">
        <v>163</v>
      </c>
      <c r="B12" s="33">
        <v>2088.9899999999998</v>
      </c>
      <c r="C12" s="25">
        <f ca="1">IF(B12="",0,TREND(IF({0,1},TREND(OFFSET('No.5 S'!A4,MATCH(IF(ISNUMBER(SOUNDING!B12),SOUNDING!B12,0),'No.5 S'!A5:A500),MATCH(SOUNDING!$I$4,'No.5 S'!$B$2:$L$2,-1)+1,2,),OFFSET('No.5 S'!A4,MATCH(IF(ISNUMBER(SOUNDING!B12),SOUNDING!B12,0),'No.5 S'!A5:A500),,2,),IF(ISNUMBER(SOUNDING!B12),SOUNDING!B12,0)),TREND(OFFSET('No.5 S'!A4,MATCH(IF(ISNUMBER(SOUNDING!B12),SOUNDING!B12,0),'No.5 S'!A5:A500),MATCH(SOUNDING!$I$4,'No.5 S'!$B$2:$L$2,-1),2,),OFFSET('No.5 S'!A4,MATCH(IF(ISNUMBER(SOUNDING!B12),SOUNDING!B12,0),'No.5 S'!A5:A500),,2,),IF(ISNUMBER(SOUNDING!B12),SOUNDING!B12,0))),OFFSET('No.5 S'!A2,,MATCH(SOUNDING!$I$4,'No.5 S'!$B$2:$L$2,-1),,2),SOUNDING!$I$4))</f>
        <v>850.75</v>
      </c>
      <c r="D12" s="26"/>
      <c r="E12" s="27">
        <f t="shared" ca="1" si="0"/>
        <v>868.61574999999993</v>
      </c>
      <c r="F12" s="94">
        <f>MAX('No.5 S'!$A$5:$A$500)</f>
        <v>2098</v>
      </c>
      <c r="I12" s="29"/>
    </row>
    <row r="13" spans="1:9" ht="18" customHeight="1" x14ac:dyDescent="0.2">
      <c r="A13" s="153" t="s">
        <v>164</v>
      </c>
      <c r="B13" s="33">
        <v>333</v>
      </c>
      <c r="C13" s="25">
        <f ca="1">IF(B13="",0,TREND(IF({0,1},TREND(OFFSET('No.6 P'!A4,MATCH(IF(ISNUMBER(SOUNDING!B13),SOUNDING!B13,0),'No.6 P'!A5:A500),MATCH(SOUNDING!$I$4,'No.6 P'!$B$2:$L$2,-1)+1,2,),OFFSET('No.6 P'!A4,MATCH(IF(ISNUMBER(SOUNDING!B13),SOUNDING!B13,0),'No.6 P'!A5:A500),,2,),IF(ISNUMBER(SOUNDING!B13),SOUNDING!B13,0)),TREND(OFFSET('No.6 P'!A4,MATCH(IF(ISNUMBER(SOUNDING!B13),SOUNDING!B13,0),'No.6 P'!A5:A500),MATCH(SOUNDING!$I$4,'No.6 P'!$B$2:$L$2,-1),2,),OFFSET('No.6 P'!A4,MATCH(IF(ISNUMBER(SOUNDING!B13),SOUNDING!B13,0),'No.6 P'!A5:A500),,2,),IF(ISNUMBER(SOUNDING!B13),SOUNDING!B13,0))),OFFSET('No.6 P'!A2,,MATCH(SOUNDING!$I$4,'No.6 P'!$B$2:$L$2,-1),,2),SOUNDING!$I$4))</f>
        <v>560.78783132530123</v>
      </c>
      <c r="D13" s="26"/>
      <c r="E13" s="27">
        <f t="shared" ca="1" si="0"/>
        <v>572.5643757831325</v>
      </c>
      <c r="F13" s="94">
        <f>MAX('No.6 P'!$A$5:$A$500)</f>
        <v>2098</v>
      </c>
      <c r="I13" s="29"/>
    </row>
    <row r="14" spans="1:9" ht="18" customHeight="1" x14ac:dyDescent="0.2">
      <c r="A14" s="152" t="s">
        <v>165</v>
      </c>
      <c r="B14" s="33">
        <v>333</v>
      </c>
      <c r="C14" s="25">
        <f ca="1">IF(B14="",0,TREND(IF({0,1},TREND(OFFSET('No.6 S'!A4,MATCH(IF(ISNUMBER(SOUNDING!B14),SOUNDING!B14,0),'No.6 S'!A5:A500),MATCH(SOUNDING!$I$4,'No.6 S'!$B$2:$L$2,-1)+1,2,),OFFSET('No.6 S'!A4,MATCH(IF(ISNUMBER(SOUNDING!B14),SOUNDING!B14,0),'No.6 S'!A5:A500),,2,),IF(ISNUMBER(SOUNDING!B14),SOUNDING!B14,0)),TREND(OFFSET('No.6 S'!A4,MATCH(IF(ISNUMBER(SOUNDING!B14),SOUNDING!B14,0),'No.6 S'!A5:A500),MATCH(SOUNDING!$I$4,'No.6 S'!$B$2:$L$2,-1),2,),OFFSET('No.6 S'!A4,MATCH(IF(ISNUMBER(SOUNDING!B14),SOUNDING!B14,0),'No.6 S'!A5:A500),,2,),IF(ISNUMBER(SOUNDING!B14),SOUNDING!B14,0))),OFFSET('No.6 S'!A2,,MATCH(SOUNDING!$I$4,'No.6 S'!$B$2:$L$2,-1),,2),SOUNDING!$I$4))</f>
        <v>560.78783132530123</v>
      </c>
      <c r="D14" s="26"/>
      <c r="E14" s="27">
        <f t="shared" ca="1" si="0"/>
        <v>572.5643757831325</v>
      </c>
      <c r="F14" s="94">
        <f>MAX('No.6 S'!$A$5:$A$500)</f>
        <v>2098</v>
      </c>
      <c r="I14" s="29"/>
    </row>
    <row r="15" spans="1:9" ht="18" customHeight="1" x14ac:dyDescent="0.2">
      <c r="A15" s="153" t="s">
        <v>166</v>
      </c>
      <c r="B15" s="33">
        <v>333</v>
      </c>
      <c r="C15" s="25">
        <f ca="1">IF(B15="",0,TREND(IF({0,1},TREND(OFFSET('No.7 P'!A4,MATCH(IF(ISNUMBER(SOUNDING!B15),SOUNDING!B15,0),'No.7 P'!A5:A500),MATCH(SOUNDING!$I$4,'No.7 P'!$B$2:$L$2,-1)+1,2,),OFFSET('No.7 P'!A4,MATCH(IF(ISNUMBER(SOUNDING!B15),SOUNDING!B15,0),'No.7 P'!A5:A500),,2,),IF(ISNUMBER(SOUNDING!B15),SOUNDING!B15,0)),TREND(OFFSET('No.7 P'!A4,MATCH(IF(ISNUMBER(SOUNDING!B15),SOUNDING!B15,0),'No.7 P'!A5:A500),MATCH(SOUNDING!$I$4,'No.7 P'!$B$2:$L$2,-1),2,),OFFSET('No.7 P'!A4,MATCH(IF(ISNUMBER(SOUNDING!B15),SOUNDING!B15,0),'No.7 P'!A5:A500),,2,),IF(ISNUMBER(SOUNDING!B15),SOUNDING!B15,0))),OFFSET('No.7 P'!A2,,MATCH(SOUNDING!$I$4,'No.7 P'!$B$2:$L$2,-1),,2),SOUNDING!$I$4))</f>
        <v>560.78783132530123</v>
      </c>
      <c r="D15" s="26"/>
      <c r="E15" s="27">
        <f t="shared" ca="1" si="0"/>
        <v>572.5643757831325</v>
      </c>
      <c r="F15" s="94">
        <f>MAX('No.7 P'!$A$5:$A$500)</f>
        <v>2098</v>
      </c>
      <c r="I15" s="29"/>
    </row>
    <row r="16" spans="1:9" ht="18" customHeight="1" x14ac:dyDescent="0.2">
      <c r="A16" s="152" t="s">
        <v>167</v>
      </c>
      <c r="B16" s="33">
        <v>333</v>
      </c>
      <c r="C16" s="25">
        <f ca="1">IF(B16="",0,TREND(IF({0,1},TREND(OFFSET('No.7 S'!A4,MATCH(IF(ISNUMBER(SOUNDING!B16),SOUNDING!B16,0),'No.7 S'!A5:A500),MATCH(SOUNDING!$I$4,'No.7 S'!$B$2:$L$2,-1)+1,2,),OFFSET('No.7 S'!A4,MATCH(IF(ISNUMBER(SOUNDING!B16),SOUNDING!B16,0),'No.7 S'!A5:A500),,2,),IF(ISNUMBER(SOUNDING!B16),SOUNDING!B16,0)),TREND(OFFSET('No.7 S'!A4,MATCH(IF(ISNUMBER(SOUNDING!B16),SOUNDING!B16,0),'No.7 S'!A5:A500),MATCH(SOUNDING!$I$4,'No.7 S'!$B$2:$L$2,-1),2,),OFFSET('No.7 S'!A4,MATCH(IF(ISNUMBER(SOUNDING!B16),SOUNDING!B16,0),'No.7 S'!A5:A500),,2,),IF(ISNUMBER(SOUNDING!B16),SOUNDING!B16,0))),OFFSET('No.7 S'!A2,,MATCH(SOUNDING!$I$4,'No.7 S'!$B$2:$L$2,-1),,2),SOUNDING!$I$4))</f>
        <v>560.78783132530123</v>
      </c>
      <c r="D16" s="26"/>
      <c r="E16" s="27">
        <f t="shared" ca="1" si="0"/>
        <v>572.5643757831325</v>
      </c>
      <c r="F16" s="94">
        <f>MAX('No.7 S'!$A$5:$A$500)</f>
        <v>2098</v>
      </c>
      <c r="I16" s="29"/>
    </row>
    <row r="17" spans="1:9" ht="18" customHeight="1" x14ac:dyDescent="0.2">
      <c r="A17" s="153" t="s">
        <v>168</v>
      </c>
      <c r="B17" s="33">
        <v>333</v>
      </c>
      <c r="C17" s="25">
        <f ca="1">IF(B17="",0,TREND(IF({0,1},TREND(OFFSET('No.8 P'!A4,MATCH(IF(ISNUMBER(SOUNDING!B17),SOUNDING!B17,0),'No.8 P'!A5:A500),MATCH(SOUNDING!$I$4,'No.8 P'!$B$2:$L$2,-1)+1,2,),OFFSET('No.8 P'!A4,MATCH(IF(ISNUMBER(SOUNDING!B17),SOUNDING!B17,0),'No.8 P'!A5:A500),,2,),IF(ISNUMBER(SOUNDING!B17),SOUNDING!B17,0)),TREND(OFFSET('No.8 P'!A4,MATCH(IF(ISNUMBER(SOUNDING!B17),SOUNDING!B17,0),'No.8 P'!A5:A500),MATCH(SOUNDING!$I$4,'No.8 P'!$B$2:$L$2,-1),2,),OFFSET('No.8 P'!A4,MATCH(IF(ISNUMBER(SOUNDING!B17),SOUNDING!B17,0),'No.8 P'!A5:A500),,2,),IF(ISNUMBER(SOUNDING!B17),SOUNDING!B17,0))),OFFSET('No.8 P'!A2,,MATCH(SOUNDING!$I$4,'No.8 P'!$B$2:$L$2,-1),,2),SOUNDING!$I$4))</f>
        <v>560.78783132530123</v>
      </c>
      <c r="D17" s="26"/>
      <c r="E17" s="27">
        <f t="shared" ca="1" si="0"/>
        <v>572.5643757831325</v>
      </c>
      <c r="F17" s="94">
        <f>MAX('No.8 P'!$A$5:$A$500)</f>
        <v>2098</v>
      </c>
      <c r="I17" s="29"/>
    </row>
    <row r="18" spans="1:9" ht="18" customHeight="1" x14ac:dyDescent="0.2">
      <c r="A18" s="152" t="s">
        <v>169</v>
      </c>
      <c r="B18" s="33">
        <v>333</v>
      </c>
      <c r="C18" s="25">
        <f ca="1">IF(B18="",0,TREND(IF({0,1},TREND(OFFSET('No.8 S'!A4,MATCH(IF(ISNUMBER(SOUNDING!B18),SOUNDING!B18,0),'No.8 S'!A5:A500),MATCH(SOUNDING!$I$4,'No.8 S'!$B$2:$L$2,-1)+1,2,),OFFSET('No.8 S'!A4,MATCH(IF(ISNUMBER(SOUNDING!B18),SOUNDING!B18,0),'No.8 S'!A5:A500),,2,),IF(ISNUMBER(SOUNDING!B18),SOUNDING!B18,0)),TREND(OFFSET('No.8 S'!A4,MATCH(IF(ISNUMBER(SOUNDING!B18),SOUNDING!B18,0),'No.8 S'!A5:A500),MATCH(SOUNDING!$I$4,'No.8 S'!$B$2:$L$2,-1),2,),OFFSET('No.8 S'!A4,MATCH(IF(ISNUMBER(SOUNDING!B18),SOUNDING!B18,0),'No.8 S'!A5:A500),,2,),IF(ISNUMBER(SOUNDING!B18),SOUNDING!B18,0))),OFFSET('No.8 S'!A2,,MATCH(SOUNDING!$I$4,'No.8 S'!$B$2:$L$2,-1),,2),SOUNDING!$I$4))</f>
        <v>560.78783132530123</v>
      </c>
      <c r="D18" s="26"/>
      <c r="E18" s="27">
        <f t="shared" ca="1" si="0"/>
        <v>572.5643757831325</v>
      </c>
      <c r="F18" s="94">
        <f>MAX('No.8 S'!$A$5:$A$500)</f>
        <v>2098</v>
      </c>
      <c r="I18" s="29"/>
    </row>
    <row r="19" spans="1:9" ht="18" customHeight="1" x14ac:dyDescent="0.2">
      <c r="A19" s="153" t="s">
        <v>170</v>
      </c>
      <c r="B19" s="33"/>
      <c r="C19" s="25">
        <f ca="1">IF(B19="",0,TREND(IF({0,1},TREND(OFFSET('No.9 P'!A4,MATCH(IF(ISNUMBER(SOUNDING!B19),SOUNDING!B19,0),'No.9 P'!A5:A500),MATCH(SOUNDING!$I$4,'No.9 P'!$B$2:$L$2,-1)+1,2,),OFFSET('No.9 P'!A4,MATCH(IF(ISNUMBER(SOUNDING!B19),SOUNDING!B19,0),'No.9 P'!A5:A500),,2,),IF(ISNUMBER(SOUNDING!B19),SOUNDING!B19,0)),TREND(OFFSET('No.9 P'!A4,MATCH(IF(ISNUMBER(SOUNDING!B19),SOUNDING!B19,0),'No.9 P'!A5:A500),MATCH(SOUNDING!$I$4,'No.9 P'!$B$2:$L$2,-1),2,),OFFSET('No.9 P'!A4,MATCH(IF(ISNUMBER(SOUNDING!B19),SOUNDING!B19,0),'No.9 P'!A5:A500),,2,),IF(ISNUMBER(SOUNDING!B19),SOUNDING!B19,0))),OFFSET('No.9 P'!A2,,MATCH(SOUNDING!$I$4,'No.9 P'!$B$2:$L$2,-1),,2),SOUNDING!$I$4))</f>
        <v>0</v>
      </c>
      <c r="D19" s="26"/>
      <c r="E19" s="27">
        <f t="shared" si="0"/>
        <v>0</v>
      </c>
      <c r="F19" s="94">
        <f>MAX('No.9 P'!$A$5:$A$500)</f>
        <v>2098</v>
      </c>
      <c r="I19" s="29"/>
    </row>
    <row r="20" spans="1:9" ht="18" customHeight="1" x14ac:dyDescent="0.2">
      <c r="A20" s="152" t="s">
        <v>171</v>
      </c>
      <c r="B20" s="33"/>
      <c r="C20" s="25">
        <f ca="1">IF(B20="",0,TREND(IF({0,1},TREND(OFFSET('No.9 S'!A4,MATCH(IF(ISNUMBER(SOUNDING!B20),SOUNDING!B20,0),'No.9 S'!A5:A500),MATCH(SOUNDING!$I$4,'No.9 S'!$B$2:$L$2,-1)+1,2,),OFFSET('No.9 S'!A4,MATCH(IF(ISNUMBER(SOUNDING!B20),SOUNDING!B20,0),'No.9 S'!A5:A500),,2,),IF(ISNUMBER(SOUNDING!B20),SOUNDING!B20,0)),TREND(OFFSET('No.9 S'!A4,MATCH(IF(ISNUMBER(SOUNDING!B20),SOUNDING!B20,0),'No.9 S'!A5:A500),MATCH(SOUNDING!$I$4,'No.9 S'!$B$2:$L$2,-1),2,),OFFSET('No.9 S'!A4,MATCH(IF(ISNUMBER(SOUNDING!B20),SOUNDING!B20,0),'No.9 S'!A5:A500),,2,),IF(ISNUMBER(SOUNDING!B20),SOUNDING!B20,0))),OFFSET('No.9 S'!A2,,MATCH(SOUNDING!$I$4,'No.9 S'!$B$2:$L$2,-1),,2),SOUNDING!$I$4))</f>
        <v>0</v>
      </c>
      <c r="D20" s="26"/>
      <c r="E20" s="27">
        <f t="shared" si="0"/>
        <v>0</v>
      </c>
      <c r="F20" s="94">
        <f>MAX('No.9 S'!$A$5:$A$500)</f>
        <v>2098</v>
      </c>
      <c r="I20" s="29"/>
    </row>
    <row r="21" spans="1:9" ht="18" customHeight="1" x14ac:dyDescent="0.2">
      <c r="A21" s="153" t="s">
        <v>172</v>
      </c>
      <c r="B21" s="33"/>
      <c r="C21" s="25">
        <f ca="1">IF(B21="",0,TREND(IF({0,1},TREND(OFFSET('No.10 P'!A4,MATCH(IF(ISNUMBER(SOUNDING!B21),SOUNDING!B21,0),'No.10 P'!A5:A500),MATCH(SOUNDING!$I$4,'No.10 P'!$B$2:$L$2,-1)+1,2,),OFFSET('No.10 P'!A4,MATCH(IF(ISNUMBER(SOUNDING!B21),SOUNDING!B21,0),'No.10 P'!A5:A500),,2,),IF(ISNUMBER(SOUNDING!B21),SOUNDING!B21,0)),TREND(OFFSET('No.10 P'!A4,MATCH(IF(ISNUMBER(SOUNDING!B21),SOUNDING!B21,0),'No.10 P'!A5:A500),MATCH(SOUNDING!$I$4,'No.10 P'!$B$2:$L$2,-1),2,),OFFSET('No.10 P'!A4,MATCH(IF(ISNUMBER(SOUNDING!B21),SOUNDING!B21,0),'No.10 P'!A5:A500),,2,),IF(ISNUMBER(SOUNDING!B21),SOUNDING!B21,0))),OFFSET('No.10 P'!A2,,MATCH(SOUNDING!$I$4,'No.10 P'!$B$2:$L$2,-1),,2),SOUNDING!$I$4))</f>
        <v>0</v>
      </c>
      <c r="D21" s="26"/>
      <c r="E21" s="27">
        <f t="shared" si="0"/>
        <v>0</v>
      </c>
      <c r="F21" s="94">
        <f>MAX('No.10 P'!$A$5:$A$500)</f>
        <v>2098</v>
      </c>
      <c r="I21" s="29"/>
    </row>
    <row r="22" spans="1:9" ht="18" customHeight="1" x14ac:dyDescent="0.2">
      <c r="A22" s="152" t="s">
        <v>173</v>
      </c>
      <c r="B22" s="33"/>
      <c r="C22" s="25">
        <f ca="1">IF(B22="",0,TREND(IF({0,1},TREND(OFFSET('No.10 S'!A4,MATCH(IF(ISNUMBER(SOUNDING!B22),SOUNDING!B22,0),'No.10 S'!A5:A500),MATCH(SOUNDING!$I$4,'No.10 S'!$B$2:$L$2,-1)+1,2,),OFFSET('No.10 S'!A4,MATCH(IF(ISNUMBER(SOUNDING!B22),SOUNDING!B22,0),'No.10 S'!A5:A500),,2,),IF(ISNUMBER(SOUNDING!B22),SOUNDING!B22,0)),TREND(OFFSET('No.10 S'!A4,MATCH(IF(ISNUMBER(SOUNDING!B22),SOUNDING!B22,0),'No.10 S'!A5:A500),MATCH(SOUNDING!$I$4,'No.10 S'!$B$2:$L$2,-1),2,),OFFSET('No.10 S'!A4,MATCH(IF(ISNUMBER(SOUNDING!B22),SOUNDING!B22,0),'No.10 S'!A5:A500),,2,),IF(ISNUMBER(SOUNDING!B22),SOUNDING!B22,0))),OFFSET('No.10 S'!A2,,MATCH(SOUNDING!$I$4,'No.10 S'!$B$2:$L$2,-1),,2),SOUNDING!$I$4))</f>
        <v>0</v>
      </c>
      <c r="D22" s="26"/>
      <c r="E22" s="27">
        <f t="shared" si="0"/>
        <v>0</v>
      </c>
      <c r="F22" s="94">
        <f>MAX('No.10 S'!$A$5:$A$500)</f>
        <v>2098</v>
      </c>
      <c r="I22" s="29"/>
    </row>
    <row r="23" spans="1:9" ht="18" customHeight="1" x14ac:dyDescent="0.2">
      <c r="A23" s="152" t="s">
        <v>82</v>
      </c>
      <c r="B23" s="33">
        <v>1200</v>
      </c>
      <c r="C23" s="25">
        <f ca="1">IF(B23="",0,TREND(IF({0,1},TREND(OFFSET(APT!A4,MATCH(IF(ISNUMBER(SOUNDING!B23),SOUNDING!B23,0),APT!A5:A500),MATCH(SOUNDING!$I$4,APT!$B$2:$L$2,-1)+1,2,),OFFSET(APT!A4,MATCH(IF(ISNUMBER(SOUNDING!B23),SOUNDING!B23,0),APT!A5:A500),,2,),IF(ISNUMBER(SOUNDING!B23),SOUNDING!B23,0)),TREND(OFFSET(APT!A4,MATCH(IF(ISNUMBER(SOUNDING!B23),SOUNDING!B23,0),APT!A5:A500),MATCH(SOUNDING!$I$4,APT!$B$2:$L$2,-1),2,),OFFSET(APT!A4,MATCH(IF(ISNUMBER(SOUNDING!B23),SOUNDING!B23,0),APT!A5:A500),,2,),IF(ISNUMBER(SOUNDING!B23),SOUNDING!B23,0))),OFFSET(APT!A2,,MATCH(SOUNDING!$I$4,APT!$B$2:$L$2,-1),,2),SOUNDING!$I$4))</f>
        <v>1854.8656955093099</v>
      </c>
      <c r="D23" s="26"/>
      <c r="E23" s="27">
        <f t="shared" ca="1" si="0"/>
        <v>1893.8178751150053</v>
      </c>
      <c r="F23" s="94">
        <f>MAX(APT!$A$5:$A$500)</f>
        <v>1404</v>
      </c>
      <c r="I23" s="29"/>
    </row>
    <row r="24" spans="1:9" ht="18" customHeight="1" x14ac:dyDescent="0.2">
      <c r="I24" s="29"/>
    </row>
    <row r="25" spans="1:9" ht="18" customHeight="1" x14ac:dyDescent="0.2">
      <c r="A25" s="21" t="s">
        <v>83</v>
      </c>
      <c r="B25" s="31"/>
      <c r="C25" s="32">
        <f ca="1">SUM(C2:C23)</f>
        <v>24442.970405155174</v>
      </c>
      <c r="D25" s="32"/>
      <c r="E25" s="32">
        <f ca="1">SUM(E2:E23)</f>
        <v>24956.272783663415</v>
      </c>
      <c r="I25" s="29"/>
    </row>
    <row r="26" spans="1:9" ht="18" customHeight="1" x14ac:dyDescent="0.2">
      <c r="I26" s="29"/>
    </row>
    <row r="27" spans="1:9" ht="18" customHeight="1" x14ac:dyDescent="0.2">
      <c r="I27" s="29"/>
    </row>
    <row r="28" spans="1:9" ht="18" customHeight="1" x14ac:dyDescent="0.2">
      <c r="I28" s="29"/>
    </row>
    <row r="29" spans="1:9" ht="18" customHeight="1" x14ac:dyDescent="0.2">
      <c r="A29" s="63" t="s">
        <v>84</v>
      </c>
      <c r="I29" s="29"/>
    </row>
    <row r="30" spans="1:9" ht="18" customHeight="1" x14ac:dyDescent="0.2">
      <c r="I30" s="29"/>
    </row>
    <row r="31" spans="1:9" ht="18" customHeight="1" x14ac:dyDescent="0.2"/>
    <row r="32" spans="1:9" ht="18" customHeight="1" x14ac:dyDescent="0.2"/>
    <row r="33" ht="18" customHeight="1" x14ac:dyDescent="0.2"/>
    <row r="34" ht="18" customHeight="1" x14ac:dyDescent="0.2"/>
    <row r="35" ht="18" customHeight="1" x14ac:dyDescent="0.2"/>
    <row r="36" ht="18" customHeight="1" x14ac:dyDescent="0.2"/>
    <row r="37" ht="18" customHeight="1" x14ac:dyDescent="0.2"/>
    <row r="38" ht="18" customHeight="1" x14ac:dyDescent="0.2"/>
    <row r="39" ht="18" customHeight="1" x14ac:dyDescent="0.2"/>
    <row r="40" ht="18" customHeight="1" x14ac:dyDescent="0.2"/>
    <row r="41" ht="18" customHeight="1" x14ac:dyDescent="0.2"/>
    <row r="42" ht="18" customHeight="1" x14ac:dyDescent="0.2"/>
    <row r="43" ht="18" customHeight="1" x14ac:dyDescent="0.2"/>
    <row r="44" ht="18" customHeight="1" x14ac:dyDescent="0.2"/>
    <row r="45" ht="18" customHeight="1" x14ac:dyDescent="0.2"/>
    <row r="46" ht="18" customHeight="1" x14ac:dyDescent="0.2"/>
    <row r="47" ht="18" customHeight="1" x14ac:dyDescent="0.2"/>
    <row r="48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  <row r="86" ht="18" customHeight="1" x14ac:dyDescent="0.2"/>
    <row r="87" ht="18" customHeight="1" x14ac:dyDescent="0.2"/>
    <row r="88" ht="18" customHeight="1" x14ac:dyDescent="0.2"/>
    <row r="89" ht="18" customHeight="1" x14ac:dyDescent="0.2"/>
    <row r="90" ht="18" customHeight="1" x14ac:dyDescent="0.2"/>
    <row r="91" ht="18" customHeight="1" x14ac:dyDescent="0.2"/>
    <row r="92" ht="18" customHeight="1" x14ac:dyDescent="0.2"/>
    <row r="93" ht="18" customHeight="1" x14ac:dyDescent="0.2"/>
    <row r="94" ht="18" customHeight="1" x14ac:dyDescent="0.2"/>
    <row r="95" ht="18" customHeight="1" x14ac:dyDescent="0.2"/>
    <row r="96" ht="18" customHeight="1" x14ac:dyDescent="0.2"/>
    <row r="97" ht="18" customHeight="1" x14ac:dyDescent="0.2"/>
    <row r="98" ht="18" customHeight="1" x14ac:dyDescent="0.2"/>
    <row r="99" ht="18" customHeight="1" x14ac:dyDescent="0.2"/>
    <row r="100" ht="18" customHeight="1" x14ac:dyDescent="0.2"/>
    <row r="101" ht="18" customHeight="1" x14ac:dyDescent="0.2"/>
    <row r="102" ht="18" customHeight="1" x14ac:dyDescent="0.2"/>
    <row r="103" ht="18" customHeight="1" x14ac:dyDescent="0.2"/>
    <row r="104" ht="18" customHeight="1" x14ac:dyDescent="0.2"/>
  </sheetData>
  <sheetProtection algorithmName="SHA-512" hashValue="0vpb6Y/GK9I5nTdKU9dGRFZuwZqAT0f5aO1L31ia7GNr7J5Dyl6LGdes8mgq5bGHtspW4XVmrXoyWOefxjkv8A==" saltValue="bAP2tpKcHhR50Q4Id3h8XA==" spinCount="100000" sheet="1" objects="1" scenarios="1"/>
  <phoneticPr fontId="1" type="noConversion"/>
  <dataValidations count="6">
    <dataValidation allowBlank="1" showErrorMessage="1" promptTitle="Full:" prompt="2090cm" sqref="B11:B23" xr:uid="{00000000-0002-0000-0800-000001000000}"/>
    <dataValidation allowBlank="1" showErrorMessage="1" promptTitle="Full:" prompt="2080cm" sqref="B10" xr:uid="{00000000-0002-0000-0800-000002000000}"/>
    <dataValidation allowBlank="1" showErrorMessage="1" promptTitle="Full:" prompt="2079cm" sqref="B8:B9 B5:B6" xr:uid="{00000000-0002-0000-0800-000003000000}"/>
    <dataValidation allowBlank="1" showErrorMessage="1" promptTitle="Full:" prompt="2078cm" sqref="B4 B7" xr:uid="{00000000-0002-0000-0800-000004000000}"/>
    <dataValidation allowBlank="1" showErrorMessage="1" promptTitle="Full:" prompt="2077cm" sqref="B3" xr:uid="{00000000-0002-0000-0800-000005000000}"/>
    <dataValidation allowBlank="1" showErrorMessage="1" promptTitle="Full:" prompt="2129cm" sqref="B2" xr:uid="{00000000-0002-0000-0800-000006000000}"/>
  </dataValidations>
  <hyperlinks>
    <hyperlink ref="A2" location="'FPT'!A1" display="FPT" xr:uid="{00000000-0004-0000-0800-000000000000}"/>
    <hyperlink ref="A23" location="'APT'!A1" display="APT" xr:uid="{00000000-0004-0000-0800-00000B000000}"/>
    <hyperlink ref="A3" location="'No.1 P'!A1" display="No.1 P" xr:uid="{B3C8D5B3-AC80-4644-94A8-CE45A5038FF3}"/>
    <hyperlink ref="A5" location="'No.2 P'!A1" display="No.2 P" xr:uid="{E5F0A926-8943-4B88-B25B-81291F322717}"/>
    <hyperlink ref="A7" location="'No.3 P'!A1" display="No.3 P" xr:uid="{FF840713-9257-432C-9B3B-778D62CCB8BD}"/>
    <hyperlink ref="A9" location="'No.4 P'!A1" display="No.4 P" xr:uid="{5F6129B5-4EE6-46DB-86A6-B59B5A6B0DE7}"/>
    <hyperlink ref="A11" location="'No.5 P'!A1" display="No.5 P" xr:uid="{EAB8E5A9-46E3-4989-81AD-0E0E7D8340FA}"/>
    <hyperlink ref="A13" location="'No.6 P'!A1" display="No.6 P" xr:uid="{F20CF7D5-107F-4254-8A06-99B6008159D9}"/>
    <hyperlink ref="A15" location="'No.7 P'!A1" display="No.7 P" xr:uid="{3177E85F-76D1-490D-9B8E-24DED0CAC607}"/>
    <hyperlink ref="A17" location="'No.8 P'!A1" display="No.8 P" xr:uid="{1BDB499A-47EA-4F83-8531-59E4A22BF419}"/>
    <hyperlink ref="A19" location="'No.9 P'!A1" display="No.9 P" xr:uid="{69797F49-69B3-40C9-82B9-7A50481A7840}"/>
    <hyperlink ref="A21" location="'No.10 P'!A1" display="No.10 P" xr:uid="{7DC9B8A1-4369-4F2B-8DA1-293D83C53778}"/>
    <hyperlink ref="A4" location="'No.1 S'!A1" display="No.1 S" xr:uid="{410D920B-8AB6-454F-BBF4-91F2E5FE2DCB}"/>
    <hyperlink ref="A6" location="'No.2 S'!A1" display="No.2 S" xr:uid="{401C9BE5-A6AB-42DE-91F1-F8DD282F9620}"/>
    <hyperlink ref="A8" location="'No.3 S'!A1" display="No.3 S" xr:uid="{7E29F49F-3435-45C9-B652-F676F1B7415F}"/>
    <hyperlink ref="A10" location="'No.4 S'!A1" display="No.4 S" xr:uid="{48813456-6703-4AB7-95DB-FC05EB8D8FB4}"/>
    <hyperlink ref="A12" location="'No.5 S'!A1" display="No.5 S" xr:uid="{04E92167-CDED-453D-A215-878A4DB202CA}"/>
    <hyperlink ref="A14" location="'No.6 S'!A1" display="No.6 S" xr:uid="{5C425F27-A6C4-4725-8877-AA917155F610}"/>
    <hyperlink ref="A16" location="'No.7 S'!A1" display="No.7 S" xr:uid="{1AF2FABD-F520-4091-A032-976843A92811}"/>
    <hyperlink ref="A18" location="'No.8 S'!A1" display="No.8 S" xr:uid="{F3246015-6BC8-4D44-A5FC-544D70205E38}"/>
    <hyperlink ref="A20" location="'No.9 S'!A1" display="No.9 S" xr:uid="{3D05AB04-9842-4005-91B9-32944370565F}"/>
    <hyperlink ref="A22" location="'No.10 S'!A1" display="No.10 S" xr:uid="{D1AF02B8-A2DA-46AD-9EEB-B07A4EFF58D4}"/>
  </hyperlink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2292" r:id="rId4" name="ScrollBar1">
          <controlPr locked="0" defaultSize="0" autoLine="0" r:id="rId5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2292" r:id="rId4" name="ScrollBar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1" tint="0.34998626667073579"/>
  </sheetPr>
  <dimension ref="A1:W261"/>
  <sheetViews>
    <sheetView showRowColHeaders="0" workbookViewId="0">
      <pane xSplit="17" ySplit="4" topLeftCell="R29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8"/>
      <c r="R1" s="214" t="s">
        <v>85</v>
      </c>
      <c r="S1" s="215"/>
      <c r="T1" s="215"/>
      <c r="U1" s="215"/>
      <c r="V1" s="215"/>
      <c r="W1" s="9"/>
    </row>
    <row r="2" spans="1:23" x14ac:dyDescent="0.15">
      <c r="A2" s="6" t="s">
        <v>86</v>
      </c>
      <c r="B2" s="11">
        <v>1</v>
      </c>
      <c r="C2" s="12">
        <v>0.5</v>
      </c>
      <c r="D2" s="12">
        <v>0</v>
      </c>
      <c r="E2" s="12">
        <v>-0.5</v>
      </c>
      <c r="F2" s="12">
        <v>-1</v>
      </c>
      <c r="G2" s="12">
        <v>-1.5</v>
      </c>
      <c r="H2" s="12">
        <v>-2</v>
      </c>
      <c r="I2" s="12">
        <v>-2.5</v>
      </c>
      <c r="J2" s="12">
        <v>-3</v>
      </c>
      <c r="K2" s="12">
        <v>-3.5</v>
      </c>
      <c r="L2" s="12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</row>
    <row r="4" spans="1:23" x14ac:dyDescent="0.15">
      <c r="A4" s="6"/>
      <c r="B4" s="8"/>
      <c r="C4" s="12"/>
      <c r="D4" s="12"/>
      <c r="E4" s="12"/>
      <c r="F4" s="12"/>
      <c r="G4" s="12"/>
      <c r="H4" s="12"/>
      <c r="I4" s="12"/>
      <c r="J4" s="12"/>
      <c r="K4" s="12"/>
      <c r="L4" s="12"/>
      <c r="M4" s="7"/>
      <c r="N4" s="7"/>
      <c r="O4" s="7"/>
      <c r="P4" s="7"/>
      <c r="Q4" s="7"/>
      <c r="R4" s="20" t="s">
        <v>89</v>
      </c>
      <c r="S4" s="7"/>
      <c r="T4" s="7"/>
      <c r="U4" s="7"/>
      <c r="V4" s="7"/>
      <c r="W4" s="7"/>
    </row>
    <row r="5" spans="1:23" x14ac:dyDescent="0.15">
      <c r="A5">
        <v>0</v>
      </c>
      <c r="B5">
        <v>0.13</v>
      </c>
      <c r="C5">
        <v>0.13</v>
      </c>
      <c r="D5">
        <v>0.12</v>
      </c>
      <c r="E5">
        <v>0.12</v>
      </c>
      <c r="F5">
        <v>0.12</v>
      </c>
      <c r="G5">
        <v>0.11</v>
      </c>
      <c r="H5">
        <v>0.11</v>
      </c>
      <c r="I5">
        <v>0.11</v>
      </c>
      <c r="J5">
        <v>0.11</v>
      </c>
      <c r="K5">
        <v>0.11</v>
      </c>
      <c r="L5">
        <v>0.11</v>
      </c>
      <c r="M5" s="7"/>
      <c r="N5" s="8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0.37</v>
      </c>
      <c r="C6">
        <v>0.35</v>
      </c>
      <c r="D6">
        <v>0.34</v>
      </c>
      <c r="E6">
        <v>0.33</v>
      </c>
      <c r="F6">
        <v>0.32</v>
      </c>
      <c r="G6">
        <v>0.31</v>
      </c>
      <c r="H6">
        <v>0.3</v>
      </c>
      <c r="I6">
        <v>0.3</v>
      </c>
      <c r="J6">
        <v>0.28999999999999998</v>
      </c>
      <c r="K6">
        <v>0.28999999999999998</v>
      </c>
      <c r="L6">
        <v>0.28000000000000003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0.76</v>
      </c>
      <c r="C7">
        <v>0.74</v>
      </c>
      <c r="D7">
        <v>0.71</v>
      </c>
      <c r="E7">
        <v>0.69</v>
      </c>
      <c r="F7">
        <v>0.67</v>
      </c>
      <c r="G7">
        <v>0.64</v>
      </c>
      <c r="H7">
        <v>0.62</v>
      </c>
      <c r="I7">
        <v>0.61</v>
      </c>
      <c r="J7">
        <v>0.59</v>
      </c>
      <c r="K7">
        <v>0.56999999999999995</v>
      </c>
      <c r="L7">
        <v>0.56000000000000005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1.3</v>
      </c>
      <c r="C8">
        <v>1.27</v>
      </c>
      <c r="D8">
        <v>1.23</v>
      </c>
      <c r="E8">
        <v>1.19</v>
      </c>
      <c r="F8">
        <v>1.1599999999999999</v>
      </c>
      <c r="G8">
        <v>1.1299999999999999</v>
      </c>
      <c r="H8">
        <v>1.0900000000000001</v>
      </c>
      <c r="I8">
        <v>1.06</v>
      </c>
      <c r="J8">
        <v>1.03</v>
      </c>
      <c r="K8">
        <v>1.01</v>
      </c>
      <c r="L8">
        <v>0.98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1.99</v>
      </c>
      <c r="C9">
        <v>1.94</v>
      </c>
      <c r="D9">
        <v>1.89</v>
      </c>
      <c r="E9">
        <v>1.84</v>
      </c>
      <c r="F9">
        <v>1.79</v>
      </c>
      <c r="G9">
        <v>1.75</v>
      </c>
      <c r="H9">
        <v>1.7</v>
      </c>
      <c r="I9">
        <v>1.66</v>
      </c>
      <c r="J9">
        <v>1.62</v>
      </c>
      <c r="K9">
        <v>1.58</v>
      </c>
      <c r="L9">
        <v>1.54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2.81</v>
      </c>
      <c r="C10">
        <v>2.74</v>
      </c>
      <c r="D10">
        <v>2.68</v>
      </c>
      <c r="E10">
        <v>2.62</v>
      </c>
      <c r="F10">
        <v>2.56</v>
      </c>
      <c r="G10">
        <v>2.5</v>
      </c>
      <c r="H10">
        <v>2.44</v>
      </c>
      <c r="I10">
        <v>2.39</v>
      </c>
      <c r="J10">
        <v>2.34</v>
      </c>
      <c r="K10">
        <v>2.29</v>
      </c>
      <c r="L10">
        <v>2.2400000000000002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3.74</v>
      </c>
      <c r="C11">
        <v>3.67</v>
      </c>
      <c r="D11">
        <v>3.59</v>
      </c>
      <c r="E11">
        <v>3.52</v>
      </c>
      <c r="F11">
        <v>3.45</v>
      </c>
      <c r="G11">
        <v>3.38</v>
      </c>
      <c r="H11">
        <v>3.31</v>
      </c>
      <c r="I11">
        <v>3.24</v>
      </c>
      <c r="J11">
        <v>3.18</v>
      </c>
      <c r="K11">
        <v>3.11</v>
      </c>
      <c r="L11">
        <v>3.05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4.8</v>
      </c>
      <c r="C12">
        <v>4.71</v>
      </c>
      <c r="D12">
        <v>4.63</v>
      </c>
      <c r="E12">
        <v>4.54</v>
      </c>
      <c r="F12">
        <v>4.46</v>
      </c>
      <c r="G12">
        <v>4.38</v>
      </c>
      <c r="H12">
        <v>4.29</v>
      </c>
      <c r="I12">
        <v>4.22</v>
      </c>
      <c r="J12">
        <v>4.1399999999999997</v>
      </c>
      <c r="K12">
        <v>4.0599999999999996</v>
      </c>
      <c r="L12">
        <v>3.99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5.98</v>
      </c>
      <c r="C13">
        <v>5.88</v>
      </c>
      <c r="D13">
        <v>5.78</v>
      </c>
      <c r="E13">
        <v>5.68</v>
      </c>
      <c r="F13">
        <v>5.58</v>
      </c>
      <c r="G13">
        <v>5.49</v>
      </c>
      <c r="H13">
        <v>5.39</v>
      </c>
      <c r="I13">
        <v>5.3</v>
      </c>
      <c r="J13">
        <v>5.21</v>
      </c>
      <c r="K13">
        <v>5.13</v>
      </c>
      <c r="L13">
        <v>5.04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7.15</v>
      </c>
      <c r="C14">
        <v>7.06</v>
      </c>
      <c r="D14">
        <v>6.98</v>
      </c>
      <c r="E14">
        <v>6.9</v>
      </c>
      <c r="F14">
        <v>6.82</v>
      </c>
      <c r="G14">
        <v>6.71</v>
      </c>
      <c r="H14">
        <v>6.61</v>
      </c>
      <c r="I14">
        <v>6.5</v>
      </c>
      <c r="J14">
        <v>6.4</v>
      </c>
      <c r="K14">
        <v>6.3</v>
      </c>
      <c r="L14">
        <v>6.2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8.41</v>
      </c>
      <c r="C15">
        <v>8.31</v>
      </c>
      <c r="D15">
        <v>8.2100000000000009</v>
      </c>
      <c r="E15">
        <v>8.11</v>
      </c>
      <c r="F15">
        <v>8.02</v>
      </c>
      <c r="G15">
        <v>7.93</v>
      </c>
      <c r="H15">
        <v>7.84</v>
      </c>
      <c r="I15">
        <v>7.76</v>
      </c>
      <c r="J15">
        <v>7.68</v>
      </c>
      <c r="K15">
        <v>7.58</v>
      </c>
      <c r="L15">
        <v>7.47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9.7799999999999994</v>
      </c>
      <c r="C16">
        <v>9.67</v>
      </c>
      <c r="D16">
        <v>9.5500000000000007</v>
      </c>
      <c r="E16">
        <v>9.44</v>
      </c>
      <c r="F16">
        <v>9.33</v>
      </c>
      <c r="G16">
        <v>9.23</v>
      </c>
      <c r="H16">
        <v>9.1199999999999992</v>
      </c>
      <c r="I16">
        <v>9.02</v>
      </c>
      <c r="J16">
        <v>8.93</v>
      </c>
      <c r="K16">
        <v>8.83</v>
      </c>
      <c r="L16">
        <v>8.74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11.24</v>
      </c>
      <c r="C17">
        <v>11.11</v>
      </c>
      <c r="D17">
        <v>10.98</v>
      </c>
      <c r="E17">
        <v>10.86</v>
      </c>
      <c r="F17">
        <v>10.74</v>
      </c>
      <c r="G17">
        <v>10.62</v>
      </c>
      <c r="H17">
        <v>10.5</v>
      </c>
      <c r="I17">
        <v>10.39</v>
      </c>
      <c r="J17">
        <v>10.28</v>
      </c>
      <c r="K17">
        <v>10.17</v>
      </c>
      <c r="L17">
        <v>10.06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12.81</v>
      </c>
      <c r="C18">
        <v>12.66</v>
      </c>
      <c r="D18">
        <v>12.52</v>
      </c>
      <c r="E18">
        <v>12.38</v>
      </c>
      <c r="F18">
        <v>12.24</v>
      </c>
      <c r="G18">
        <v>12.11</v>
      </c>
      <c r="H18">
        <v>11.98</v>
      </c>
      <c r="I18">
        <v>11.85</v>
      </c>
      <c r="J18">
        <v>11.72</v>
      </c>
      <c r="K18">
        <v>11.6</v>
      </c>
      <c r="L18">
        <v>11.48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14.47</v>
      </c>
      <c r="C19">
        <v>14.31</v>
      </c>
      <c r="D19">
        <v>14.15</v>
      </c>
      <c r="E19">
        <v>14</v>
      </c>
      <c r="F19">
        <v>13.84</v>
      </c>
      <c r="G19">
        <v>13.69</v>
      </c>
      <c r="H19">
        <v>13.55</v>
      </c>
      <c r="I19">
        <v>13.41</v>
      </c>
      <c r="J19">
        <v>13.27</v>
      </c>
      <c r="K19">
        <v>13.13</v>
      </c>
      <c r="L19">
        <v>13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16.23</v>
      </c>
      <c r="C20">
        <v>16.05</v>
      </c>
      <c r="D20">
        <v>15.88</v>
      </c>
      <c r="E20">
        <v>15.71</v>
      </c>
      <c r="F20">
        <v>15.54</v>
      </c>
      <c r="G20">
        <v>15.38</v>
      </c>
      <c r="H20">
        <v>15.22</v>
      </c>
      <c r="I20">
        <v>15.06</v>
      </c>
      <c r="J20">
        <v>14.91</v>
      </c>
      <c r="K20">
        <v>14.76</v>
      </c>
      <c r="L20">
        <v>14.61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18.079999999999998</v>
      </c>
      <c r="C21">
        <v>17.89</v>
      </c>
      <c r="D21">
        <v>17.7</v>
      </c>
      <c r="E21">
        <v>17.52</v>
      </c>
      <c r="F21">
        <v>17.34</v>
      </c>
      <c r="G21">
        <v>17.16</v>
      </c>
      <c r="H21">
        <v>16.98</v>
      </c>
      <c r="I21">
        <v>16.809999999999999</v>
      </c>
      <c r="J21">
        <v>16.649999999999999</v>
      </c>
      <c r="K21">
        <v>16.48</v>
      </c>
      <c r="L21">
        <v>16.32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20.02</v>
      </c>
      <c r="C22">
        <v>19.809999999999999</v>
      </c>
      <c r="D22">
        <v>19.61</v>
      </c>
      <c r="E22">
        <v>19.41</v>
      </c>
      <c r="F22">
        <v>19.22</v>
      </c>
      <c r="G22">
        <v>19.03</v>
      </c>
      <c r="H22">
        <v>18.84</v>
      </c>
      <c r="I22">
        <v>18.649999999999999</v>
      </c>
      <c r="J22">
        <v>18.47</v>
      </c>
      <c r="K22">
        <v>18.29</v>
      </c>
      <c r="L22">
        <v>18.12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22.13</v>
      </c>
      <c r="C23">
        <v>21.89</v>
      </c>
      <c r="D23">
        <v>21.65</v>
      </c>
      <c r="E23">
        <v>21.41</v>
      </c>
      <c r="F23">
        <v>21.19</v>
      </c>
      <c r="G23">
        <v>20.98</v>
      </c>
      <c r="H23">
        <v>20.78</v>
      </c>
      <c r="I23">
        <v>20.58</v>
      </c>
      <c r="J23">
        <v>20.38</v>
      </c>
      <c r="K23">
        <v>20.190000000000001</v>
      </c>
      <c r="L23">
        <v>20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24.32</v>
      </c>
      <c r="C24">
        <v>24.06</v>
      </c>
      <c r="D24">
        <v>23.81</v>
      </c>
      <c r="E24">
        <v>23.56</v>
      </c>
      <c r="F24">
        <v>23.32</v>
      </c>
      <c r="G24">
        <v>23.08</v>
      </c>
      <c r="H24">
        <v>22.84</v>
      </c>
      <c r="I24">
        <v>22.6</v>
      </c>
      <c r="J24">
        <v>22.38</v>
      </c>
      <c r="K24">
        <v>22.17</v>
      </c>
      <c r="L24">
        <v>21.97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26.6</v>
      </c>
      <c r="C25">
        <v>26.33</v>
      </c>
      <c r="D25">
        <v>26.06</v>
      </c>
      <c r="E25">
        <v>25.8</v>
      </c>
      <c r="F25">
        <v>25.54</v>
      </c>
      <c r="G25">
        <v>25.29</v>
      </c>
      <c r="H25">
        <v>25.03</v>
      </c>
      <c r="I25">
        <v>24.78</v>
      </c>
      <c r="J25">
        <v>24.54</v>
      </c>
      <c r="K25">
        <v>24.29</v>
      </c>
      <c r="L25">
        <v>24.05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28.96</v>
      </c>
      <c r="C26">
        <v>28.68</v>
      </c>
      <c r="D26">
        <v>28.4</v>
      </c>
      <c r="E26">
        <v>28.12</v>
      </c>
      <c r="F26">
        <v>27.85</v>
      </c>
      <c r="G26">
        <v>27.58</v>
      </c>
      <c r="H26">
        <v>27.31</v>
      </c>
      <c r="I26">
        <v>27.05</v>
      </c>
      <c r="J26">
        <v>26.79</v>
      </c>
      <c r="K26">
        <v>26.53</v>
      </c>
      <c r="L26">
        <v>26.28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31.4</v>
      </c>
      <c r="C27">
        <v>31.11</v>
      </c>
      <c r="D27">
        <v>30.82</v>
      </c>
      <c r="E27">
        <v>30.53</v>
      </c>
      <c r="F27">
        <v>30.24</v>
      </c>
      <c r="G27">
        <v>29.96</v>
      </c>
      <c r="H27">
        <v>29.68</v>
      </c>
      <c r="I27">
        <v>29.4</v>
      </c>
      <c r="J27">
        <v>29.13</v>
      </c>
      <c r="K27">
        <v>28.86</v>
      </c>
      <c r="L27">
        <v>28.59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33.94</v>
      </c>
      <c r="C28">
        <v>33.619999999999997</v>
      </c>
      <c r="D28">
        <v>33.32</v>
      </c>
      <c r="E28">
        <v>33.01</v>
      </c>
      <c r="F28">
        <v>32.71</v>
      </c>
      <c r="G28">
        <v>32.42</v>
      </c>
      <c r="H28">
        <v>32.130000000000003</v>
      </c>
      <c r="I28">
        <v>31.84</v>
      </c>
      <c r="J28">
        <v>31.55</v>
      </c>
      <c r="K28">
        <v>31.26</v>
      </c>
      <c r="L28">
        <v>30.98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36.549999999999997</v>
      </c>
      <c r="C29">
        <v>36.22</v>
      </c>
      <c r="D29">
        <v>35.9</v>
      </c>
      <c r="E29">
        <v>35.590000000000003</v>
      </c>
      <c r="F29">
        <v>35.270000000000003</v>
      </c>
      <c r="G29">
        <v>34.96</v>
      </c>
      <c r="H29">
        <v>34.65</v>
      </c>
      <c r="I29">
        <v>34.35</v>
      </c>
      <c r="J29">
        <v>34.049999999999997</v>
      </c>
      <c r="K29">
        <v>33.75</v>
      </c>
      <c r="L29">
        <v>33.46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39.24</v>
      </c>
      <c r="C30">
        <v>38.909999999999997</v>
      </c>
      <c r="D30">
        <v>38.57</v>
      </c>
      <c r="E30">
        <v>38.24</v>
      </c>
      <c r="F30">
        <v>37.909999999999997</v>
      </c>
      <c r="G30">
        <v>37.590000000000003</v>
      </c>
      <c r="H30">
        <v>37.26</v>
      </c>
      <c r="I30">
        <v>36.950000000000003</v>
      </c>
      <c r="J30">
        <v>36.630000000000003</v>
      </c>
      <c r="K30">
        <v>36.32</v>
      </c>
      <c r="L30">
        <v>36.020000000000003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42.02</v>
      </c>
      <c r="C31">
        <v>41.67</v>
      </c>
      <c r="D31">
        <v>41.32</v>
      </c>
      <c r="E31">
        <v>40.97</v>
      </c>
      <c r="F31">
        <v>40.630000000000003</v>
      </c>
      <c r="G31">
        <v>40.29</v>
      </c>
      <c r="H31">
        <v>39.96</v>
      </c>
      <c r="I31">
        <v>39.619999999999997</v>
      </c>
      <c r="J31">
        <v>39.299999999999997</v>
      </c>
      <c r="K31">
        <v>38.97</v>
      </c>
      <c r="L31">
        <v>38.65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44.88</v>
      </c>
      <c r="C32">
        <v>44.51</v>
      </c>
      <c r="D32">
        <v>44.15</v>
      </c>
      <c r="E32">
        <v>43.79</v>
      </c>
      <c r="F32">
        <v>43.43</v>
      </c>
      <c r="G32">
        <v>43.08</v>
      </c>
      <c r="H32">
        <v>42.73</v>
      </c>
      <c r="I32">
        <v>42.38</v>
      </c>
      <c r="J32">
        <v>42.04</v>
      </c>
      <c r="K32">
        <v>41.7</v>
      </c>
      <c r="L32">
        <v>41.37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47.82</v>
      </c>
      <c r="C33">
        <v>47.43</v>
      </c>
      <c r="D33">
        <v>47.05</v>
      </c>
      <c r="E33">
        <v>46.68</v>
      </c>
      <c r="F33">
        <v>46.31</v>
      </c>
      <c r="G33">
        <v>45.94</v>
      </c>
      <c r="H33">
        <v>45.58</v>
      </c>
      <c r="I33">
        <v>45.22</v>
      </c>
      <c r="J33">
        <v>44.86</v>
      </c>
      <c r="K33">
        <v>44.51</v>
      </c>
      <c r="L33">
        <v>44.16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50.78</v>
      </c>
      <c r="C34">
        <v>50.43</v>
      </c>
      <c r="D34">
        <v>50.04</v>
      </c>
      <c r="E34">
        <v>49.65</v>
      </c>
      <c r="F34">
        <v>49.27</v>
      </c>
      <c r="G34">
        <v>48.89</v>
      </c>
      <c r="H34">
        <v>48.51</v>
      </c>
      <c r="I34">
        <v>48.14</v>
      </c>
      <c r="J34">
        <v>47.77</v>
      </c>
      <c r="K34">
        <v>47.4</v>
      </c>
      <c r="L34">
        <v>47.04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53.78</v>
      </c>
      <c r="C35">
        <v>53.4</v>
      </c>
      <c r="D35">
        <v>53.03</v>
      </c>
      <c r="E35">
        <v>52.66</v>
      </c>
      <c r="F35">
        <v>52.3</v>
      </c>
      <c r="G35">
        <v>51.92</v>
      </c>
      <c r="H35">
        <v>51.52</v>
      </c>
      <c r="I35">
        <v>51.14</v>
      </c>
      <c r="J35">
        <v>50.75</v>
      </c>
      <c r="K35">
        <v>50.37</v>
      </c>
      <c r="L35">
        <v>49.99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56.88</v>
      </c>
      <c r="C36">
        <v>56.48</v>
      </c>
      <c r="D36">
        <v>56.09</v>
      </c>
      <c r="E36">
        <v>55.71</v>
      </c>
      <c r="F36">
        <v>55.32</v>
      </c>
      <c r="G36">
        <v>54.95</v>
      </c>
      <c r="H36">
        <v>54.57</v>
      </c>
      <c r="I36">
        <v>54.21</v>
      </c>
      <c r="J36">
        <v>53.83</v>
      </c>
      <c r="K36">
        <v>53.43</v>
      </c>
      <c r="L36">
        <v>53.04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60.06</v>
      </c>
      <c r="C37">
        <v>59.65</v>
      </c>
      <c r="D37">
        <v>59.24</v>
      </c>
      <c r="E37">
        <v>58.84</v>
      </c>
      <c r="F37">
        <v>58.44</v>
      </c>
      <c r="G37">
        <v>58.04</v>
      </c>
      <c r="H37">
        <v>57.65</v>
      </c>
      <c r="I37">
        <v>57.27</v>
      </c>
      <c r="J37">
        <v>56.88</v>
      </c>
      <c r="K37">
        <v>56.51</v>
      </c>
      <c r="L37">
        <v>56.14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63.32</v>
      </c>
      <c r="C38">
        <v>62.89</v>
      </c>
      <c r="D38">
        <v>62.46</v>
      </c>
      <c r="E38">
        <v>62.04</v>
      </c>
      <c r="F38">
        <v>61.63</v>
      </c>
      <c r="G38">
        <v>61.22</v>
      </c>
      <c r="H38">
        <v>60.81</v>
      </c>
      <c r="I38">
        <v>60.41</v>
      </c>
      <c r="J38">
        <v>60.01</v>
      </c>
      <c r="K38">
        <v>59.62</v>
      </c>
      <c r="L38">
        <v>59.23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66.650000000000006</v>
      </c>
      <c r="C39">
        <v>66.2</v>
      </c>
      <c r="D39">
        <v>65.77</v>
      </c>
      <c r="E39">
        <v>65.33</v>
      </c>
      <c r="F39">
        <v>64.900000000000006</v>
      </c>
      <c r="G39">
        <v>64.47</v>
      </c>
      <c r="H39">
        <v>64.05</v>
      </c>
      <c r="I39">
        <v>63.63</v>
      </c>
      <c r="J39">
        <v>63.22</v>
      </c>
      <c r="K39">
        <v>62.81</v>
      </c>
      <c r="L39">
        <v>62.4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70.05</v>
      </c>
      <c r="C40">
        <v>69.599999999999994</v>
      </c>
      <c r="D40">
        <v>69.14</v>
      </c>
      <c r="E40">
        <v>68.69</v>
      </c>
      <c r="F40">
        <v>68.239999999999995</v>
      </c>
      <c r="G40">
        <v>67.8</v>
      </c>
      <c r="H40">
        <v>67.37</v>
      </c>
      <c r="I40">
        <v>66.930000000000007</v>
      </c>
      <c r="J40">
        <v>66.5</v>
      </c>
      <c r="K40">
        <v>66.08</v>
      </c>
      <c r="L40">
        <v>65.650000000000006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73.53</v>
      </c>
      <c r="C41">
        <v>73.06</v>
      </c>
      <c r="D41">
        <v>72.59</v>
      </c>
      <c r="E41">
        <v>72.12</v>
      </c>
      <c r="F41">
        <v>71.66</v>
      </c>
      <c r="G41">
        <v>71.209999999999994</v>
      </c>
      <c r="H41">
        <v>70.75</v>
      </c>
      <c r="I41">
        <v>70.3</v>
      </c>
      <c r="J41">
        <v>69.86</v>
      </c>
      <c r="K41">
        <v>69.42</v>
      </c>
      <c r="L41">
        <v>68.98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77.08</v>
      </c>
      <c r="C42">
        <v>76.59</v>
      </c>
      <c r="D42">
        <v>76.11</v>
      </c>
      <c r="E42">
        <v>75.63</v>
      </c>
      <c r="F42">
        <v>75.150000000000006</v>
      </c>
      <c r="G42">
        <v>74.680000000000007</v>
      </c>
      <c r="H42">
        <v>74.209999999999994</v>
      </c>
      <c r="I42">
        <v>73.75</v>
      </c>
      <c r="J42">
        <v>73.290000000000006</v>
      </c>
      <c r="K42">
        <v>72.83</v>
      </c>
      <c r="L42">
        <v>72.38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80.7</v>
      </c>
      <c r="C43">
        <v>80.2</v>
      </c>
      <c r="D43">
        <v>79.7</v>
      </c>
      <c r="E43">
        <v>79.209999999999994</v>
      </c>
      <c r="F43">
        <v>78.709999999999994</v>
      </c>
      <c r="G43">
        <v>78.23</v>
      </c>
      <c r="H43">
        <v>77.75</v>
      </c>
      <c r="I43">
        <v>77.27</v>
      </c>
      <c r="J43">
        <v>76.790000000000006</v>
      </c>
      <c r="K43">
        <v>76.319999999999993</v>
      </c>
      <c r="L43">
        <v>75.86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84.39</v>
      </c>
      <c r="C44">
        <v>83.87</v>
      </c>
      <c r="D44">
        <v>83.36</v>
      </c>
      <c r="E44">
        <v>82.85</v>
      </c>
      <c r="F44">
        <v>82.35</v>
      </c>
      <c r="G44">
        <v>81.84</v>
      </c>
      <c r="H44">
        <v>81.349999999999994</v>
      </c>
      <c r="I44">
        <v>80.849999999999994</v>
      </c>
      <c r="J44">
        <v>80.36</v>
      </c>
      <c r="K44">
        <v>79.88</v>
      </c>
      <c r="L44">
        <v>79.400000000000006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88.15</v>
      </c>
      <c r="C45">
        <v>87.62</v>
      </c>
      <c r="D45">
        <v>87.09</v>
      </c>
      <c r="E45">
        <v>86.56</v>
      </c>
      <c r="F45">
        <v>86.04</v>
      </c>
      <c r="G45">
        <v>85.53</v>
      </c>
      <c r="H45">
        <v>85.02</v>
      </c>
      <c r="I45">
        <v>84.51</v>
      </c>
      <c r="J45">
        <v>84.01</v>
      </c>
      <c r="K45">
        <v>83.51</v>
      </c>
      <c r="L45">
        <v>83.01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91.97</v>
      </c>
      <c r="C46">
        <v>91.43</v>
      </c>
      <c r="D46">
        <v>90.88</v>
      </c>
      <c r="E46">
        <v>90.35</v>
      </c>
      <c r="F46">
        <v>89.81</v>
      </c>
      <c r="G46">
        <v>89.28</v>
      </c>
      <c r="H46">
        <v>88.76</v>
      </c>
      <c r="I46">
        <v>88.23</v>
      </c>
      <c r="J46">
        <v>87.72</v>
      </c>
      <c r="K46">
        <v>87.2</v>
      </c>
      <c r="L46">
        <v>86.69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95.86</v>
      </c>
      <c r="C47">
        <v>95.3</v>
      </c>
      <c r="D47">
        <v>94.75</v>
      </c>
      <c r="E47">
        <v>94.19</v>
      </c>
      <c r="F47">
        <v>93.65</v>
      </c>
      <c r="G47">
        <v>93.1</v>
      </c>
      <c r="H47">
        <v>92.56</v>
      </c>
      <c r="I47">
        <v>92.02</v>
      </c>
      <c r="J47">
        <v>91.49</v>
      </c>
      <c r="K47">
        <v>90.96</v>
      </c>
      <c r="L47">
        <v>90.44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99.82</v>
      </c>
      <c r="C48">
        <v>99.25</v>
      </c>
      <c r="D48">
        <v>98.68</v>
      </c>
      <c r="E48">
        <v>98.11</v>
      </c>
      <c r="F48">
        <v>97.55</v>
      </c>
      <c r="G48">
        <v>96.99</v>
      </c>
      <c r="H48">
        <v>96.43</v>
      </c>
      <c r="I48">
        <v>95.88</v>
      </c>
      <c r="J48">
        <v>95.34</v>
      </c>
      <c r="K48">
        <v>94.79</v>
      </c>
      <c r="L48">
        <v>94.25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103.84</v>
      </c>
      <c r="C49">
        <v>103.26</v>
      </c>
      <c r="D49">
        <v>102.67</v>
      </c>
      <c r="E49">
        <v>102.09</v>
      </c>
      <c r="F49">
        <v>101.51</v>
      </c>
      <c r="G49">
        <v>100.94</v>
      </c>
      <c r="H49">
        <v>100.37</v>
      </c>
      <c r="I49">
        <v>99.8</v>
      </c>
      <c r="J49">
        <v>99.24</v>
      </c>
      <c r="K49">
        <v>98.69</v>
      </c>
      <c r="L49">
        <v>98.13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107.86</v>
      </c>
      <c r="C50">
        <v>107.29</v>
      </c>
      <c r="D50">
        <v>106.72</v>
      </c>
      <c r="E50">
        <v>106.13</v>
      </c>
      <c r="F50">
        <v>105.54</v>
      </c>
      <c r="G50">
        <v>104.95</v>
      </c>
      <c r="H50">
        <v>104.37</v>
      </c>
      <c r="I50">
        <v>103.79</v>
      </c>
      <c r="J50">
        <v>103.22</v>
      </c>
      <c r="K50">
        <v>102.65</v>
      </c>
      <c r="L50">
        <v>102.08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111.93</v>
      </c>
      <c r="C51">
        <v>111.35</v>
      </c>
      <c r="D51">
        <v>110.76</v>
      </c>
      <c r="E51">
        <v>110.18</v>
      </c>
      <c r="F51">
        <v>109.6</v>
      </c>
      <c r="G51">
        <v>109.03</v>
      </c>
      <c r="H51">
        <v>108.44</v>
      </c>
      <c r="I51">
        <v>107.84</v>
      </c>
      <c r="J51">
        <v>107.25</v>
      </c>
      <c r="K51">
        <v>106.67</v>
      </c>
      <c r="L51">
        <v>106.09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116.07</v>
      </c>
      <c r="C52">
        <v>115.47</v>
      </c>
      <c r="D52">
        <v>114.87</v>
      </c>
      <c r="E52">
        <v>114.27</v>
      </c>
      <c r="F52">
        <v>113.68</v>
      </c>
      <c r="G52">
        <v>113.1</v>
      </c>
      <c r="H52">
        <v>112.52</v>
      </c>
      <c r="I52">
        <v>111.94</v>
      </c>
      <c r="J52">
        <v>111.36</v>
      </c>
      <c r="K52">
        <v>110.76</v>
      </c>
      <c r="L52">
        <v>110.16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120.26</v>
      </c>
      <c r="C53">
        <v>119.64</v>
      </c>
      <c r="D53">
        <v>119.03</v>
      </c>
      <c r="E53">
        <v>118.43</v>
      </c>
      <c r="F53">
        <v>117.83</v>
      </c>
      <c r="G53">
        <v>117.23</v>
      </c>
      <c r="H53">
        <v>116.63</v>
      </c>
      <c r="I53">
        <v>116.04</v>
      </c>
      <c r="J53">
        <v>115.45</v>
      </c>
      <c r="K53">
        <v>114.87</v>
      </c>
      <c r="L53">
        <v>114.29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124.5</v>
      </c>
      <c r="C54">
        <v>123.88</v>
      </c>
      <c r="D54">
        <v>123.26</v>
      </c>
      <c r="E54">
        <v>122.64</v>
      </c>
      <c r="F54">
        <v>122.02</v>
      </c>
      <c r="G54">
        <v>121.41</v>
      </c>
      <c r="H54">
        <v>120.8</v>
      </c>
      <c r="I54">
        <v>120.2</v>
      </c>
      <c r="J54">
        <v>119.6</v>
      </c>
      <c r="K54">
        <v>119</v>
      </c>
      <c r="L54">
        <v>118.41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128.81</v>
      </c>
      <c r="C55">
        <v>128.16999999999999</v>
      </c>
      <c r="D55">
        <v>127.53</v>
      </c>
      <c r="E55">
        <v>126.9</v>
      </c>
      <c r="F55">
        <v>126.28</v>
      </c>
      <c r="G55">
        <v>125.65</v>
      </c>
      <c r="H55">
        <v>125.03</v>
      </c>
      <c r="I55">
        <v>124.42</v>
      </c>
      <c r="J55">
        <v>123.8</v>
      </c>
      <c r="K55">
        <v>123.19</v>
      </c>
      <c r="L55">
        <v>122.59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133.16</v>
      </c>
      <c r="C56">
        <v>132.51</v>
      </c>
      <c r="D56">
        <v>131.87</v>
      </c>
      <c r="E56">
        <v>131.22</v>
      </c>
      <c r="F56">
        <v>130.58000000000001</v>
      </c>
      <c r="G56">
        <v>129.94999999999999</v>
      </c>
      <c r="H56">
        <v>129.32</v>
      </c>
      <c r="I56">
        <v>128.69</v>
      </c>
      <c r="J56">
        <v>128.06</v>
      </c>
      <c r="K56">
        <v>127.44</v>
      </c>
      <c r="L56">
        <v>126.82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137.57</v>
      </c>
      <c r="C57">
        <v>136.91</v>
      </c>
      <c r="D57">
        <v>136.25</v>
      </c>
      <c r="E57">
        <v>135.6</v>
      </c>
      <c r="F57">
        <v>134.94999999999999</v>
      </c>
      <c r="G57">
        <v>134.30000000000001</v>
      </c>
      <c r="H57">
        <v>133.66</v>
      </c>
      <c r="I57">
        <v>133.02000000000001</v>
      </c>
      <c r="J57">
        <v>132.38</v>
      </c>
      <c r="K57">
        <v>131.75</v>
      </c>
      <c r="L57">
        <v>131.12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142.03</v>
      </c>
      <c r="C58">
        <v>141.36000000000001</v>
      </c>
      <c r="D58">
        <v>140.69</v>
      </c>
      <c r="E58">
        <v>140.03</v>
      </c>
      <c r="F58">
        <v>139.36000000000001</v>
      </c>
      <c r="G58">
        <v>138.69999999999999</v>
      </c>
      <c r="H58">
        <v>138.05000000000001</v>
      </c>
      <c r="I58">
        <v>137.4</v>
      </c>
      <c r="J58">
        <v>136.75</v>
      </c>
      <c r="K58">
        <v>136.1</v>
      </c>
      <c r="L58">
        <v>135.46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146.55000000000001</v>
      </c>
      <c r="C59">
        <v>145.86000000000001</v>
      </c>
      <c r="D59">
        <v>145.18</v>
      </c>
      <c r="E59">
        <v>144.5</v>
      </c>
      <c r="F59">
        <v>143.83000000000001</v>
      </c>
      <c r="G59">
        <v>143.16</v>
      </c>
      <c r="H59">
        <v>142.49</v>
      </c>
      <c r="I59">
        <v>141.83000000000001</v>
      </c>
      <c r="J59">
        <v>141.16999999999999</v>
      </c>
      <c r="K59">
        <v>140.51</v>
      </c>
      <c r="L59">
        <v>139.86000000000001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151.16999999999999</v>
      </c>
      <c r="C60">
        <v>150.44999999999999</v>
      </c>
      <c r="D60">
        <v>149.72999999999999</v>
      </c>
      <c r="E60">
        <v>149.03</v>
      </c>
      <c r="F60">
        <v>148.35</v>
      </c>
      <c r="G60">
        <v>147.66999999999999</v>
      </c>
      <c r="H60">
        <v>146.99</v>
      </c>
      <c r="I60">
        <v>146.31</v>
      </c>
      <c r="J60">
        <v>145.63999999999999</v>
      </c>
      <c r="K60">
        <v>144.97999999999999</v>
      </c>
      <c r="L60">
        <v>144.31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155.85</v>
      </c>
      <c r="C61">
        <v>155.12</v>
      </c>
      <c r="D61">
        <v>154.38999999999999</v>
      </c>
      <c r="E61">
        <v>153.66</v>
      </c>
      <c r="F61">
        <v>152.94</v>
      </c>
      <c r="G61">
        <v>152.22</v>
      </c>
      <c r="H61">
        <v>151.53</v>
      </c>
      <c r="I61">
        <v>150.85</v>
      </c>
      <c r="J61">
        <v>150.16999999999999</v>
      </c>
      <c r="K61">
        <v>149.49</v>
      </c>
      <c r="L61">
        <v>148.81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160.58000000000001</v>
      </c>
      <c r="C62">
        <v>159.84</v>
      </c>
      <c r="D62">
        <v>159.09</v>
      </c>
      <c r="E62">
        <v>158.36000000000001</v>
      </c>
      <c r="F62">
        <v>157.62</v>
      </c>
      <c r="G62">
        <v>156.88999999999999</v>
      </c>
      <c r="H62">
        <v>156.16999999999999</v>
      </c>
      <c r="I62">
        <v>155.44999999999999</v>
      </c>
      <c r="J62">
        <v>154.74</v>
      </c>
      <c r="K62">
        <v>154.05000000000001</v>
      </c>
      <c r="L62">
        <v>153.36000000000001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165.37</v>
      </c>
      <c r="C63">
        <v>164.61</v>
      </c>
      <c r="D63">
        <v>163.85</v>
      </c>
      <c r="E63">
        <v>163.1</v>
      </c>
      <c r="F63">
        <v>162.36000000000001</v>
      </c>
      <c r="G63">
        <v>161.62</v>
      </c>
      <c r="H63">
        <v>160.88</v>
      </c>
      <c r="I63">
        <v>160.13999999999999</v>
      </c>
      <c r="J63">
        <v>159.41</v>
      </c>
      <c r="K63">
        <v>158.69</v>
      </c>
      <c r="L63">
        <v>157.96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170.21</v>
      </c>
      <c r="C64">
        <v>169.43</v>
      </c>
      <c r="D64">
        <v>168.67</v>
      </c>
      <c r="E64">
        <v>167.9</v>
      </c>
      <c r="F64">
        <v>167.15</v>
      </c>
      <c r="G64">
        <v>166.39</v>
      </c>
      <c r="H64">
        <v>165.64</v>
      </c>
      <c r="I64">
        <v>164.89</v>
      </c>
      <c r="J64">
        <v>164.15</v>
      </c>
      <c r="K64">
        <v>163.41</v>
      </c>
      <c r="L64">
        <v>162.68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175.1</v>
      </c>
      <c r="C65">
        <v>174.31</v>
      </c>
      <c r="D65">
        <v>173.53</v>
      </c>
      <c r="E65">
        <v>172.76</v>
      </c>
      <c r="F65">
        <v>171.99</v>
      </c>
      <c r="G65">
        <v>171.22</v>
      </c>
      <c r="H65">
        <v>170.45</v>
      </c>
      <c r="I65">
        <v>169.69</v>
      </c>
      <c r="J65">
        <v>168.94</v>
      </c>
      <c r="K65">
        <v>168.19</v>
      </c>
      <c r="L65">
        <v>167.44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180.04</v>
      </c>
      <c r="C66">
        <v>179.24</v>
      </c>
      <c r="D66">
        <v>178.45</v>
      </c>
      <c r="E66">
        <v>177.66</v>
      </c>
      <c r="F66">
        <v>176.88</v>
      </c>
      <c r="G66">
        <v>176.1</v>
      </c>
      <c r="H66">
        <v>175.32</v>
      </c>
      <c r="I66">
        <v>174.55</v>
      </c>
      <c r="J66">
        <v>173.78</v>
      </c>
      <c r="K66">
        <v>173.02</v>
      </c>
      <c r="L66">
        <v>172.26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185.03</v>
      </c>
      <c r="C67">
        <v>184.22</v>
      </c>
      <c r="D67">
        <v>183.42</v>
      </c>
      <c r="E67">
        <v>182.62</v>
      </c>
      <c r="F67">
        <v>181.82</v>
      </c>
      <c r="G67">
        <v>181.03</v>
      </c>
      <c r="H67">
        <v>180.24</v>
      </c>
      <c r="I67">
        <v>179.46</v>
      </c>
      <c r="J67">
        <v>178.68</v>
      </c>
      <c r="K67">
        <v>177.9</v>
      </c>
      <c r="L67">
        <v>177.13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190.08</v>
      </c>
      <c r="C68">
        <v>189.26</v>
      </c>
      <c r="D68">
        <v>188.44</v>
      </c>
      <c r="E68">
        <v>187.63</v>
      </c>
      <c r="F68">
        <v>186.82</v>
      </c>
      <c r="G68">
        <v>186.01</v>
      </c>
      <c r="H68">
        <v>185.21</v>
      </c>
      <c r="I68">
        <v>184.41</v>
      </c>
      <c r="J68">
        <v>183.62</v>
      </c>
      <c r="K68">
        <v>182.83</v>
      </c>
      <c r="L68">
        <v>182.05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195.17</v>
      </c>
      <c r="C69">
        <v>194.34</v>
      </c>
      <c r="D69">
        <v>193.51</v>
      </c>
      <c r="E69">
        <v>192.68</v>
      </c>
      <c r="F69">
        <v>191.86</v>
      </c>
      <c r="G69">
        <v>191.04</v>
      </c>
      <c r="H69">
        <v>190.23</v>
      </c>
      <c r="I69">
        <v>189.42</v>
      </c>
      <c r="J69">
        <v>188.62</v>
      </c>
      <c r="K69">
        <v>187.81</v>
      </c>
      <c r="L69">
        <v>187.02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200.32</v>
      </c>
      <c r="C70">
        <v>199.47</v>
      </c>
      <c r="D70">
        <v>198.63</v>
      </c>
      <c r="E70">
        <v>197.79</v>
      </c>
      <c r="F70">
        <v>196.96</v>
      </c>
      <c r="G70">
        <v>196.13</v>
      </c>
      <c r="H70">
        <v>195.3</v>
      </c>
      <c r="I70">
        <v>194.48</v>
      </c>
      <c r="J70">
        <v>193.66</v>
      </c>
      <c r="K70">
        <v>192.85</v>
      </c>
      <c r="L70">
        <v>192.04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205.49</v>
      </c>
      <c r="C71">
        <v>204.64</v>
      </c>
      <c r="D71">
        <v>203.8</v>
      </c>
      <c r="E71">
        <v>202.95</v>
      </c>
      <c r="F71">
        <v>202.1</v>
      </c>
      <c r="G71">
        <v>201.26</v>
      </c>
      <c r="H71">
        <v>200.42</v>
      </c>
      <c r="I71">
        <v>199.59</v>
      </c>
      <c r="J71">
        <v>198.76</v>
      </c>
      <c r="K71">
        <v>197.93</v>
      </c>
      <c r="L71">
        <v>197.11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210.71</v>
      </c>
      <c r="C72">
        <v>209.85</v>
      </c>
      <c r="D72">
        <v>208.99</v>
      </c>
      <c r="E72">
        <v>208.14</v>
      </c>
      <c r="F72">
        <v>207.29</v>
      </c>
      <c r="G72">
        <v>206.44</v>
      </c>
      <c r="H72">
        <v>205.59</v>
      </c>
      <c r="I72">
        <v>204.74</v>
      </c>
      <c r="J72">
        <v>203.9</v>
      </c>
      <c r="K72">
        <v>203.06</v>
      </c>
      <c r="L72">
        <v>202.23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215.98</v>
      </c>
      <c r="C73">
        <v>215.1</v>
      </c>
      <c r="D73">
        <v>214.23</v>
      </c>
      <c r="E73">
        <v>213.37</v>
      </c>
      <c r="F73">
        <v>212.5</v>
      </c>
      <c r="G73">
        <v>211.65</v>
      </c>
      <c r="H73">
        <v>210.8</v>
      </c>
      <c r="I73">
        <v>209.95</v>
      </c>
      <c r="J73">
        <v>209.09</v>
      </c>
      <c r="K73">
        <v>208.24</v>
      </c>
      <c r="L73">
        <v>207.39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221.3</v>
      </c>
      <c r="C74">
        <v>220.41</v>
      </c>
      <c r="D74">
        <v>219.53</v>
      </c>
      <c r="E74">
        <v>218.65</v>
      </c>
      <c r="F74">
        <v>217.77</v>
      </c>
      <c r="G74">
        <v>216.9</v>
      </c>
      <c r="H74">
        <v>216.04</v>
      </c>
      <c r="I74">
        <v>215.18</v>
      </c>
      <c r="J74">
        <v>214.32</v>
      </c>
      <c r="K74">
        <v>213.47</v>
      </c>
      <c r="L74">
        <v>212.61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226.66</v>
      </c>
      <c r="C75">
        <v>225.76</v>
      </c>
      <c r="D75">
        <v>224.87</v>
      </c>
      <c r="E75">
        <v>223.98</v>
      </c>
      <c r="F75">
        <v>223.09</v>
      </c>
      <c r="G75">
        <v>222.21</v>
      </c>
      <c r="H75">
        <v>221.33</v>
      </c>
      <c r="I75">
        <v>220.45</v>
      </c>
      <c r="J75">
        <v>219.58</v>
      </c>
      <c r="K75">
        <v>218.72</v>
      </c>
      <c r="L75">
        <v>217.86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232.08</v>
      </c>
      <c r="C76">
        <v>231.17</v>
      </c>
      <c r="D76">
        <v>230.26</v>
      </c>
      <c r="E76">
        <v>229.35</v>
      </c>
      <c r="F76">
        <v>228.46</v>
      </c>
      <c r="G76">
        <v>227.56</v>
      </c>
      <c r="H76">
        <v>226.67</v>
      </c>
      <c r="I76">
        <v>225.78</v>
      </c>
      <c r="J76">
        <v>224.9</v>
      </c>
      <c r="K76">
        <v>224.02</v>
      </c>
      <c r="L76">
        <v>223.15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237.54</v>
      </c>
      <c r="C77">
        <v>236.61</v>
      </c>
      <c r="D77">
        <v>235.69</v>
      </c>
      <c r="E77">
        <v>234.78</v>
      </c>
      <c r="F77">
        <v>233.87</v>
      </c>
      <c r="G77">
        <v>232.96</v>
      </c>
      <c r="H77">
        <v>232.06</v>
      </c>
      <c r="I77">
        <v>231.16</v>
      </c>
      <c r="J77">
        <v>230.26</v>
      </c>
      <c r="K77">
        <v>229.37</v>
      </c>
      <c r="L77">
        <v>228.48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243.04</v>
      </c>
      <c r="C78">
        <v>242.1</v>
      </c>
      <c r="D78">
        <v>241.17</v>
      </c>
      <c r="E78">
        <v>240.25</v>
      </c>
      <c r="F78">
        <v>239.32</v>
      </c>
      <c r="G78">
        <v>238.4</v>
      </c>
      <c r="H78">
        <v>237.49</v>
      </c>
      <c r="I78">
        <v>236.58</v>
      </c>
      <c r="J78">
        <v>235.67</v>
      </c>
      <c r="K78">
        <v>234.77</v>
      </c>
      <c r="L78">
        <v>233.87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248.58</v>
      </c>
      <c r="C79">
        <v>247.64</v>
      </c>
      <c r="D79">
        <v>246.7</v>
      </c>
      <c r="E79">
        <v>245.76</v>
      </c>
      <c r="F79">
        <v>244.82</v>
      </c>
      <c r="G79">
        <v>243.89</v>
      </c>
      <c r="H79">
        <v>242.97</v>
      </c>
      <c r="I79">
        <v>242.04</v>
      </c>
      <c r="J79">
        <v>241.12</v>
      </c>
      <c r="K79">
        <v>240.21</v>
      </c>
      <c r="L79">
        <v>239.3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254.17</v>
      </c>
      <c r="C80">
        <v>253.21</v>
      </c>
      <c r="D80">
        <v>252.26</v>
      </c>
      <c r="E80">
        <v>251.31</v>
      </c>
      <c r="F80">
        <v>250.37</v>
      </c>
      <c r="G80">
        <v>249.43</v>
      </c>
      <c r="H80">
        <v>248.49</v>
      </c>
      <c r="I80">
        <v>247.55</v>
      </c>
      <c r="J80">
        <v>246.62</v>
      </c>
      <c r="K80">
        <v>245.7</v>
      </c>
      <c r="L80">
        <v>244.77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259.8</v>
      </c>
      <c r="C81">
        <v>258.83</v>
      </c>
      <c r="D81">
        <v>257.87</v>
      </c>
      <c r="E81">
        <v>256.91000000000003</v>
      </c>
      <c r="F81">
        <v>255.95</v>
      </c>
      <c r="G81">
        <v>255</v>
      </c>
      <c r="H81">
        <v>254.05</v>
      </c>
      <c r="I81">
        <v>253.11</v>
      </c>
      <c r="J81">
        <v>252.17</v>
      </c>
      <c r="K81">
        <v>251.23</v>
      </c>
      <c r="L81">
        <v>250.29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265.47000000000003</v>
      </c>
      <c r="C82">
        <v>264.5</v>
      </c>
      <c r="D82">
        <v>263.52</v>
      </c>
      <c r="E82">
        <v>262.55</v>
      </c>
      <c r="F82">
        <v>261.58</v>
      </c>
      <c r="G82">
        <v>260.62</v>
      </c>
      <c r="H82">
        <v>259.66000000000003</v>
      </c>
      <c r="I82">
        <v>258.7</v>
      </c>
      <c r="J82">
        <v>257.75</v>
      </c>
      <c r="K82">
        <v>256.8</v>
      </c>
      <c r="L82">
        <v>255.86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271.19</v>
      </c>
      <c r="C83">
        <v>270.2</v>
      </c>
      <c r="D83">
        <v>269.20999999999998</v>
      </c>
      <c r="E83">
        <v>268.23</v>
      </c>
      <c r="F83">
        <v>267.25</v>
      </c>
      <c r="G83">
        <v>266.27999999999997</v>
      </c>
      <c r="H83">
        <v>265.31</v>
      </c>
      <c r="I83">
        <v>264.33999999999997</v>
      </c>
      <c r="J83">
        <v>263.38</v>
      </c>
      <c r="K83">
        <v>262.42</v>
      </c>
      <c r="L83">
        <v>261.45999999999998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276.94</v>
      </c>
      <c r="C84">
        <v>275.94</v>
      </c>
      <c r="D84">
        <v>274.95</v>
      </c>
      <c r="E84">
        <v>273.95</v>
      </c>
      <c r="F84">
        <v>272.97000000000003</v>
      </c>
      <c r="G84">
        <v>271.98</v>
      </c>
      <c r="H84">
        <v>271</v>
      </c>
      <c r="I84">
        <v>270.02</v>
      </c>
      <c r="J84">
        <v>269.05</v>
      </c>
      <c r="K84">
        <v>268.08</v>
      </c>
      <c r="L84">
        <v>267.11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282.73</v>
      </c>
      <c r="C85">
        <v>281.72000000000003</v>
      </c>
      <c r="D85">
        <v>280.72000000000003</v>
      </c>
      <c r="E85">
        <v>279.72000000000003</v>
      </c>
      <c r="F85">
        <v>278.72000000000003</v>
      </c>
      <c r="G85">
        <v>277.72000000000003</v>
      </c>
      <c r="H85">
        <v>276.73</v>
      </c>
      <c r="I85">
        <v>275.74</v>
      </c>
      <c r="J85">
        <v>274.76</v>
      </c>
      <c r="K85">
        <v>273.77999999999997</v>
      </c>
      <c r="L85">
        <v>272.8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288.57</v>
      </c>
      <c r="C86">
        <v>287.55</v>
      </c>
      <c r="D86">
        <v>286.52999999999997</v>
      </c>
      <c r="E86">
        <v>285.52</v>
      </c>
      <c r="F86">
        <v>284.51</v>
      </c>
      <c r="G86">
        <v>283.5</v>
      </c>
      <c r="H86">
        <v>282.5</v>
      </c>
      <c r="I86">
        <v>281.5</v>
      </c>
      <c r="J86">
        <v>280.51</v>
      </c>
      <c r="K86">
        <v>279.52</v>
      </c>
      <c r="L86">
        <v>278.52999999999997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294.44</v>
      </c>
      <c r="C87">
        <v>293.41000000000003</v>
      </c>
      <c r="D87">
        <v>292.38</v>
      </c>
      <c r="E87">
        <v>291.36</v>
      </c>
      <c r="F87">
        <v>290.33999999999997</v>
      </c>
      <c r="G87">
        <v>289.32</v>
      </c>
      <c r="H87">
        <v>288.31</v>
      </c>
      <c r="I87">
        <v>287.3</v>
      </c>
      <c r="J87">
        <v>286.3</v>
      </c>
      <c r="K87">
        <v>285.3</v>
      </c>
      <c r="L87">
        <v>284.3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300.35000000000002</v>
      </c>
      <c r="C88">
        <v>299.31</v>
      </c>
      <c r="D88">
        <v>298.27</v>
      </c>
      <c r="E88">
        <v>297.24</v>
      </c>
      <c r="F88">
        <v>296.20999999999998</v>
      </c>
      <c r="G88">
        <v>295.18</v>
      </c>
      <c r="H88">
        <v>294.16000000000003</v>
      </c>
      <c r="I88">
        <v>293.14</v>
      </c>
      <c r="J88">
        <v>292.13</v>
      </c>
      <c r="K88">
        <v>291.11</v>
      </c>
      <c r="L88">
        <v>290.11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306.29000000000002</v>
      </c>
      <c r="C89">
        <v>305.24</v>
      </c>
      <c r="D89">
        <v>304.2</v>
      </c>
      <c r="E89">
        <v>303.16000000000003</v>
      </c>
      <c r="F89">
        <v>302.12</v>
      </c>
      <c r="G89">
        <v>301.08</v>
      </c>
      <c r="H89">
        <v>300.05</v>
      </c>
      <c r="I89">
        <v>299.02</v>
      </c>
      <c r="J89">
        <v>297.99</v>
      </c>
      <c r="K89">
        <v>296.97000000000003</v>
      </c>
      <c r="L89">
        <v>295.95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312.27999999999997</v>
      </c>
      <c r="C90">
        <v>311.22000000000003</v>
      </c>
      <c r="D90">
        <v>310.16000000000003</v>
      </c>
      <c r="E90">
        <v>309.11</v>
      </c>
      <c r="F90">
        <v>308.06</v>
      </c>
      <c r="G90">
        <v>307.01</v>
      </c>
      <c r="H90">
        <v>305.97000000000003</v>
      </c>
      <c r="I90">
        <v>304.93</v>
      </c>
      <c r="J90">
        <v>303.89999999999998</v>
      </c>
      <c r="K90">
        <v>302.87</v>
      </c>
      <c r="L90">
        <v>301.83999999999997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318.3</v>
      </c>
      <c r="C91">
        <v>317.23</v>
      </c>
      <c r="D91">
        <v>316.16000000000003</v>
      </c>
      <c r="E91">
        <v>315.10000000000002</v>
      </c>
      <c r="F91">
        <v>314.04000000000002</v>
      </c>
      <c r="G91">
        <v>312.99</v>
      </c>
      <c r="H91">
        <v>311.93</v>
      </c>
      <c r="I91">
        <v>310.89</v>
      </c>
      <c r="J91">
        <v>309.83999999999997</v>
      </c>
      <c r="K91">
        <v>308.8</v>
      </c>
      <c r="L91">
        <v>307.76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324.35000000000002</v>
      </c>
      <c r="C92">
        <v>323.27</v>
      </c>
      <c r="D92">
        <v>322.2</v>
      </c>
      <c r="E92">
        <v>321.13</v>
      </c>
      <c r="F92">
        <v>320.06</v>
      </c>
      <c r="G92">
        <v>318.99</v>
      </c>
      <c r="H92">
        <v>317.93</v>
      </c>
      <c r="I92">
        <v>316.88</v>
      </c>
      <c r="J92">
        <v>315.82</v>
      </c>
      <c r="K92">
        <v>314.77</v>
      </c>
      <c r="L92">
        <v>313.72000000000003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330.44</v>
      </c>
      <c r="C93">
        <v>329.35</v>
      </c>
      <c r="D93">
        <v>328.27</v>
      </c>
      <c r="E93">
        <v>327.19</v>
      </c>
      <c r="F93">
        <v>326.11</v>
      </c>
      <c r="G93">
        <v>325.04000000000002</v>
      </c>
      <c r="H93">
        <v>323.97000000000003</v>
      </c>
      <c r="I93">
        <v>322.89999999999998</v>
      </c>
      <c r="J93">
        <v>321.83999999999997</v>
      </c>
      <c r="K93">
        <v>320.77</v>
      </c>
      <c r="L93">
        <v>319.72000000000003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336.57</v>
      </c>
      <c r="C94">
        <v>335.47</v>
      </c>
      <c r="D94">
        <v>334.38</v>
      </c>
      <c r="E94">
        <v>333.29</v>
      </c>
      <c r="F94">
        <v>332.2</v>
      </c>
      <c r="G94">
        <v>331.12</v>
      </c>
      <c r="H94">
        <v>330.04</v>
      </c>
      <c r="I94">
        <v>328.96</v>
      </c>
      <c r="J94">
        <v>327.89</v>
      </c>
      <c r="K94">
        <v>326.82</v>
      </c>
      <c r="L94">
        <v>325.75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342.73</v>
      </c>
      <c r="C95">
        <v>341.62</v>
      </c>
      <c r="D95">
        <v>340.52</v>
      </c>
      <c r="E95">
        <v>339.42</v>
      </c>
      <c r="F95">
        <v>338.33</v>
      </c>
      <c r="G95">
        <v>337.23</v>
      </c>
      <c r="H95">
        <v>336.14</v>
      </c>
      <c r="I95">
        <v>335.06</v>
      </c>
      <c r="J95">
        <v>333.97</v>
      </c>
      <c r="K95">
        <v>332.89</v>
      </c>
      <c r="L95">
        <v>331.82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348.92</v>
      </c>
      <c r="C96">
        <v>347.81</v>
      </c>
      <c r="D96">
        <v>346.7</v>
      </c>
      <c r="E96">
        <v>345.59</v>
      </c>
      <c r="F96">
        <v>344.48</v>
      </c>
      <c r="G96">
        <v>343.38</v>
      </c>
      <c r="H96">
        <v>342.28</v>
      </c>
      <c r="I96">
        <v>341.19</v>
      </c>
      <c r="J96">
        <v>340.09</v>
      </c>
      <c r="K96">
        <v>339.01</v>
      </c>
      <c r="L96">
        <v>337.92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355.15</v>
      </c>
      <c r="C97">
        <v>354.02</v>
      </c>
      <c r="D97">
        <v>352.9</v>
      </c>
      <c r="E97">
        <v>351.79</v>
      </c>
      <c r="F97">
        <v>350.67</v>
      </c>
      <c r="G97">
        <v>349.56</v>
      </c>
      <c r="H97">
        <v>348.46</v>
      </c>
      <c r="I97">
        <v>347.35</v>
      </c>
      <c r="J97">
        <v>346.25</v>
      </c>
      <c r="K97">
        <v>345.15</v>
      </c>
      <c r="L97">
        <v>344.06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361.41</v>
      </c>
      <c r="C98">
        <v>360.27</v>
      </c>
      <c r="D98">
        <v>359.15</v>
      </c>
      <c r="E98">
        <v>358.02</v>
      </c>
      <c r="F98">
        <v>356.9</v>
      </c>
      <c r="G98">
        <v>355.78</v>
      </c>
      <c r="H98">
        <v>354.66</v>
      </c>
      <c r="I98">
        <v>353.55</v>
      </c>
      <c r="J98">
        <v>352.44</v>
      </c>
      <c r="K98">
        <v>351.33</v>
      </c>
      <c r="L98">
        <v>350.23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367.7</v>
      </c>
      <c r="C99">
        <v>366.56</v>
      </c>
      <c r="D99">
        <v>365.42</v>
      </c>
      <c r="E99">
        <v>364.29</v>
      </c>
      <c r="F99">
        <v>363.16</v>
      </c>
      <c r="G99">
        <v>362.03</v>
      </c>
      <c r="H99">
        <v>360.9</v>
      </c>
      <c r="I99">
        <v>359.78</v>
      </c>
      <c r="J99">
        <v>358.66</v>
      </c>
      <c r="K99">
        <v>357.55</v>
      </c>
      <c r="L99">
        <v>356.43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374.02</v>
      </c>
      <c r="C100">
        <v>372.87</v>
      </c>
      <c r="D100">
        <v>371.73</v>
      </c>
      <c r="E100">
        <v>370.58</v>
      </c>
      <c r="F100">
        <v>369.44</v>
      </c>
      <c r="G100">
        <v>368.31</v>
      </c>
      <c r="H100">
        <v>367.17</v>
      </c>
      <c r="I100">
        <v>366.04</v>
      </c>
      <c r="J100">
        <v>364.92</v>
      </c>
      <c r="K100">
        <v>363.79</v>
      </c>
      <c r="L100">
        <v>362.67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380.37</v>
      </c>
      <c r="C101">
        <v>379.22</v>
      </c>
      <c r="D101">
        <v>378.06</v>
      </c>
      <c r="E101">
        <v>376.91</v>
      </c>
      <c r="F101">
        <v>375.77</v>
      </c>
      <c r="G101">
        <v>374.62</v>
      </c>
      <c r="H101">
        <v>373.48</v>
      </c>
      <c r="I101">
        <v>372.34</v>
      </c>
      <c r="J101">
        <v>371.2</v>
      </c>
      <c r="K101">
        <v>370.07</v>
      </c>
      <c r="L101">
        <v>368.94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386.74</v>
      </c>
      <c r="C102">
        <v>385.59</v>
      </c>
      <c r="D102">
        <v>384.43</v>
      </c>
      <c r="E102">
        <v>383.27</v>
      </c>
      <c r="F102">
        <v>382.12</v>
      </c>
      <c r="G102">
        <v>380.96</v>
      </c>
      <c r="H102">
        <v>379.81</v>
      </c>
      <c r="I102">
        <v>378.67</v>
      </c>
      <c r="J102">
        <v>377.52</v>
      </c>
      <c r="K102">
        <v>376.38</v>
      </c>
      <c r="L102">
        <v>375.24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393.12</v>
      </c>
      <c r="C103">
        <v>391.97</v>
      </c>
      <c r="D103">
        <v>390.81</v>
      </c>
      <c r="E103">
        <v>389.66</v>
      </c>
      <c r="F103">
        <v>388.5</v>
      </c>
      <c r="G103">
        <v>387.34</v>
      </c>
      <c r="H103">
        <v>386.18</v>
      </c>
      <c r="I103">
        <v>385.02</v>
      </c>
      <c r="J103">
        <v>383.87</v>
      </c>
      <c r="K103">
        <v>382.72</v>
      </c>
      <c r="L103">
        <v>381.57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399.54</v>
      </c>
      <c r="C104">
        <v>398.37</v>
      </c>
      <c r="D104">
        <v>397.21</v>
      </c>
      <c r="E104">
        <v>396.05</v>
      </c>
      <c r="F104">
        <v>394.9</v>
      </c>
      <c r="G104">
        <v>393.74</v>
      </c>
      <c r="H104">
        <v>392.58</v>
      </c>
      <c r="I104">
        <v>391.41</v>
      </c>
      <c r="J104">
        <v>390.25</v>
      </c>
      <c r="K104">
        <v>389.09</v>
      </c>
      <c r="L104">
        <v>387.94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405.99</v>
      </c>
      <c r="C105">
        <v>404.81</v>
      </c>
      <c r="D105">
        <v>403.64</v>
      </c>
      <c r="E105">
        <v>402.47</v>
      </c>
      <c r="F105">
        <v>401.31</v>
      </c>
      <c r="G105">
        <v>400.14</v>
      </c>
      <c r="H105">
        <v>398.99</v>
      </c>
      <c r="I105">
        <v>397.83</v>
      </c>
      <c r="J105">
        <v>396.66</v>
      </c>
      <c r="K105">
        <v>395.5</v>
      </c>
      <c r="L105">
        <v>394.33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412.46</v>
      </c>
      <c r="C106">
        <v>411.28</v>
      </c>
      <c r="D106">
        <v>410.1</v>
      </c>
      <c r="E106">
        <v>408.92</v>
      </c>
      <c r="F106">
        <v>407.75</v>
      </c>
      <c r="G106">
        <v>406.58</v>
      </c>
      <c r="H106">
        <v>405.41</v>
      </c>
      <c r="I106">
        <v>404.25</v>
      </c>
      <c r="J106">
        <v>403.08</v>
      </c>
      <c r="K106">
        <v>401.93</v>
      </c>
      <c r="L106">
        <v>400.76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418.97</v>
      </c>
      <c r="C107">
        <v>417.78</v>
      </c>
      <c r="D107">
        <v>416.59</v>
      </c>
      <c r="E107">
        <v>415.4</v>
      </c>
      <c r="F107">
        <v>414.22</v>
      </c>
      <c r="G107">
        <v>413.04</v>
      </c>
      <c r="H107">
        <v>411.86</v>
      </c>
      <c r="I107">
        <v>410.69</v>
      </c>
      <c r="J107">
        <v>409.52</v>
      </c>
      <c r="K107">
        <v>408.36</v>
      </c>
      <c r="L107">
        <v>407.19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425.51</v>
      </c>
      <c r="C108">
        <v>424.3</v>
      </c>
      <c r="D108">
        <v>423.11</v>
      </c>
      <c r="E108">
        <v>421.91</v>
      </c>
      <c r="F108">
        <v>420.72</v>
      </c>
      <c r="G108">
        <v>419.53</v>
      </c>
      <c r="H108">
        <v>418.35</v>
      </c>
      <c r="I108">
        <v>417.17</v>
      </c>
      <c r="J108">
        <v>415.99</v>
      </c>
      <c r="K108">
        <v>414.81</v>
      </c>
      <c r="L108">
        <v>413.64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432.07</v>
      </c>
      <c r="C109">
        <v>430.86</v>
      </c>
      <c r="D109">
        <v>429.66</v>
      </c>
      <c r="E109">
        <v>428.45</v>
      </c>
      <c r="F109">
        <v>427.25</v>
      </c>
      <c r="G109">
        <v>426.06</v>
      </c>
      <c r="H109">
        <v>424.86</v>
      </c>
      <c r="I109">
        <v>423.67</v>
      </c>
      <c r="J109">
        <v>422.49</v>
      </c>
      <c r="K109">
        <v>421.3</v>
      </c>
      <c r="L109">
        <v>420.12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438.67</v>
      </c>
      <c r="C110">
        <v>437.45</v>
      </c>
      <c r="D110">
        <v>436.23</v>
      </c>
      <c r="E110">
        <v>435.02</v>
      </c>
      <c r="F110">
        <v>433.82</v>
      </c>
      <c r="G110">
        <v>432.61</v>
      </c>
      <c r="H110">
        <v>431.41</v>
      </c>
      <c r="I110">
        <v>430.21</v>
      </c>
      <c r="J110">
        <v>429.02</v>
      </c>
      <c r="K110">
        <v>427.82</v>
      </c>
      <c r="L110">
        <v>426.63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445.29</v>
      </c>
      <c r="C111">
        <v>444.06</v>
      </c>
      <c r="D111">
        <v>442.84</v>
      </c>
      <c r="E111">
        <v>441.62</v>
      </c>
      <c r="F111">
        <v>440.41</v>
      </c>
      <c r="G111">
        <v>439.19</v>
      </c>
      <c r="H111">
        <v>437.98</v>
      </c>
      <c r="I111">
        <v>436.78</v>
      </c>
      <c r="J111">
        <v>435.57</v>
      </c>
      <c r="K111">
        <v>434.37</v>
      </c>
      <c r="L111">
        <v>433.17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451.94</v>
      </c>
      <c r="C112">
        <v>450.71</v>
      </c>
      <c r="D112">
        <v>449.48</v>
      </c>
      <c r="E112">
        <v>448.25</v>
      </c>
      <c r="F112">
        <v>447.02</v>
      </c>
      <c r="G112">
        <v>445.8</v>
      </c>
      <c r="H112">
        <v>444.59</v>
      </c>
      <c r="I112">
        <v>443.37</v>
      </c>
      <c r="J112">
        <v>442.16</v>
      </c>
      <c r="K112">
        <v>440.95</v>
      </c>
      <c r="L112">
        <v>439.74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458.62</v>
      </c>
      <c r="C113">
        <v>457.38</v>
      </c>
      <c r="D113">
        <v>456.14</v>
      </c>
      <c r="E113">
        <v>454.9</v>
      </c>
      <c r="F113">
        <v>453.67</v>
      </c>
      <c r="G113">
        <v>452.44</v>
      </c>
      <c r="H113">
        <v>451.22</v>
      </c>
      <c r="I113">
        <v>449.99</v>
      </c>
      <c r="J113">
        <v>448.77</v>
      </c>
      <c r="K113">
        <v>447.56</v>
      </c>
      <c r="L113">
        <v>446.34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465.32</v>
      </c>
      <c r="C114">
        <v>464.07</v>
      </c>
      <c r="D114">
        <v>462.83</v>
      </c>
      <c r="E114">
        <v>461.58</v>
      </c>
      <c r="F114">
        <v>460.35</v>
      </c>
      <c r="G114">
        <v>459.11</v>
      </c>
      <c r="H114">
        <v>457.87</v>
      </c>
      <c r="I114">
        <v>456.64</v>
      </c>
      <c r="J114">
        <v>455.42</v>
      </c>
      <c r="K114">
        <v>454.19</v>
      </c>
      <c r="L114">
        <v>452.97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472.05</v>
      </c>
      <c r="C115">
        <v>470.8</v>
      </c>
      <c r="D115">
        <v>469.54</v>
      </c>
      <c r="E115">
        <v>468.29</v>
      </c>
      <c r="F115">
        <v>467.05</v>
      </c>
      <c r="G115">
        <v>465.8</v>
      </c>
      <c r="H115">
        <v>464.56</v>
      </c>
      <c r="I115">
        <v>463.32</v>
      </c>
      <c r="J115">
        <v>462.08</v>
      </c>
      <c r="K115">
        <v>460.85</v>
      </c>
      <c r="L115">
        <v>459.62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478.81</v>
      </c>
      <c r="C116">
        <v>477.55</v>
      </c>
      <c r="D116">
        <v>476.29</v>
      </c>
      <c r="E116">
        <v>475.03</v>
      </c>
      <c r="F116">
        <v>473.77</v>
      </c>
      <c r="G116">
        <v>472.52</v>
      </c>
      <c r="H116">
        <v>471.27</v>
      </c>
      <c r="I116">
        <v>470.03</v>
      </c>
      <c r="J116">
        <v>468.78</v>
      </c>
      <c r="K116">
        <v>467.54</v>
      </c>
      <c r="L116">
        <v>466.3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485.59</v>
      </c>
      <c r="C117">
        <v>484.32</v>
      </c>
      <c r="D117">
        <v>483.06</v>
      </c>
      <c r="E117">
        <v>481.79</v>
      </c>
      <c r="F117">
        <v>480.53</v>
      </c>
      <c r="G117">
        <v>479.27</v>
      </c>
      <c r="H117">
        <v>478.01</v>
      </c>
      <c r="I117">
        <v>476.76</v>
      </c>
      <c r="J117">
        <v>475.51</v>
      </c>
      <c r="K117">
        <v>474.26</v>
      </c>
      <c r="L117">
        <v>473.01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492.4</v>
      </c>
      <c r="C118">
        <v>491.13</v>
      </c>
      <c r="D118">
        <v>489.85</v>
      </c>
      <c r="E118">
        <v>488.58</v>
      </c>
      <c r="F118">
        <v>487.31</v>
      </c>
      <c r="G118">
        <v>486.04</v>
      </c>
      <c r="H118">
        <v>484.78</v>
      </c>
      <c r="I118">
        <v>483.51</v>
      </c>
      <c r="J118">
        <v>482.25</v>
      </c>
      <c r="K118">
        <v>481</v>
      </c>
      <c r="L118">
        <v>479.75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15">
      <c r="A119">
        <v>570</v>
      </c>
      <c r="B119">
        <v>499.24</v>
      </c>
      <c r="C119">
        <v>497.95</v>
      </c>
      <c r="D119">
        <v>496.67</v>
      </c>
      <c r="E119">
        <v>495.39</v>
      </c>
      <c r="F119">
        <v>494.11</v>
      </c>
      <c r="G119">
        <v>492.84</v>
      </c>
      <c r="H119">
        <v>491.57</v>
      </c>
      <c r="I119">
        <v>490.3</v>
      </c>
      <c r="J119">
        <v>489.03</v>
      </c>
      <c r="K119">
        <v>487.77</v>
      </c>
      <c r="L119">
        <v>486.51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15">
      <c r="A120">
        <v>575</v>
      </c>
      <c r="B120">
        <v>506.1</v>
      </c>
      <c r="C120">
        <v>504.8</v>
      </c>
      <c r="D120">
        <v>503.51</v>
      </c>
      <c r="E120">
        <v>502.23</v>
      </c>
      <c r="F120">
        <v>500.94</v>
      </c>
      <c r="G120">
        <v>499.66</v>
      </c>
      <c r="H120">
        <v>498.38</v>
      </c>
      <c r="I120">
        <v>497.1</v>
      </c>
      <c r="J120">
        <v>495.83</v>
      </c>
      <c r="K120">
        <v>494.56</v>
      </c>
      <c r="L120">
        <v>493.29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15">
      <c r="A121">
        <v>580</v>
      </c>
      <c r="B121">
        <v>512.98</v>
      </c>
      <c r="C121">
        <v>511.68</v>
      </c>
      <c r="D121">
        <v>510.38</v>
      </c>
      <c r="E121">
        <v>509.09</v>
      </c>
      <c r="F121">
        <v>507.8</v>
      </c>
      <c r="G121">
        <v>506.51</v>
      </c>
      <c r="H121">
        <v>505.22</v>
      </c>
      <c r="I121">
        <v>503.94</v>
      </c>
      <c r="J121">
        <v>502.66</v>
      </c>
      <c r="K121">
        <v>501.38</v>
      </c>
      <c r="L121">
        <v>500.1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15">
      <c r="A122">
        <v>585</v>
      </c>
      <c r="B122">
        <v>519.89</v>
      </c>
      <c r="C122">
        <v>518.58000000000004</v>
      </c>
      <c r="D122">
        <v>517.28</v>
      </c>
      <c r="E122">
        <v>515.97</v>
      </c>
      <c r="F122">
        <v>514.67999999999995</v>
      </c>
      <c r="G122">
        <v>513.38</v>
      </c>
      <c r="H122">
        <v>512.09</v>
      </c>
      <c r="I122">
        <v>510.8</v>
      </c>
      <c r="J122">
        <v>509.51</v>
      </c>
      <c r="K122">
        <v>508.22</v>
      </c>
      <c r="L122">
        <v>506.94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15">
      <c r="A123">
        <v>590</v>
      </c>
      <c r="B123">
        <v>526.82000000000005</v>
      </c>
      <c r="C123">
        <v>525.5</v>
      </c>
      <c r="D123">
        <v>524.19000000000005</v>
      </c>
      <c r="E123">
        <v>522.88</v>
      </c>
      <c r="F123">
        <v>521.58000000000004</v>
      </c>
      <c r="G123">
        <v>520.28</v>
      </c>
      <c r="H123">
        <v>518.98</v>
      </c>
      <c r="I123">
        <v>517.67999999999995</v>
      </c>
      <c r="J123">
        <v>516.38</v>
      </c>
      <c r="K123">
        <v>515.09</v>
      </c>
      <c r="L123">
        <v>513.79999999999995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15">
      <c r="A124">
        <v>595</v>
      </c>
      <c r="B124">
        <v>533.77</v>
      </c>
      <c r="C124">
        <v>532.45000000000005</v>
      </c>
      <c r="D124">
        <v>531.13</v>
      </c>
      <c r="E124">
        <v>529.82000000000005</v>
      </c>
      <c r="F124">
        <v>528.5</v>
      </c>
      <c r="G124">
        <v>527.19000000000005</v>
      </c>
      <c r="H124">
        <v>525.89</v>
      </c>
      <c r="I124">
        <v>524.58000000000004</v>
      </c>
      <c r="J124">
        <v>523.28</v>
      </c>
      <c r="K124">
        <v>521.98</v>
      </c>
      <c r="L124">
        <v>520.69000000000005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15">
      <c r="A125">
        <v>600</v>
      </c>
      <c r="B125">
        <v>540.74</v>
      </c>
      <c r="C125">
        <v>539.41999999999996</v>
      </c>
      <c r="D125">
        <v>538.09</v>
      </c>
      <c r="E125">
        <v>536.77</v>
      </c>
      <c r="F125">
        <v>535.45000000000005</v>
      </c>
      <c r="G125">
        <v>534.14</v>
      </c>
      <c r="H125">
        <v>532.82000000000005</v>
      </c>
      <c r="I125">
        <v>531.51</v>
      </c>
      <c r="J125">
        <v>530.20000000000005</v>
      </c>
      <c r="K125">
        <v>528.9</v>
      </c>
      <c r="L125">
        <v>527.59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15">
      <c r="A126">
        <v>605</v>
      </c>
      <c r="B126">
        <v>547.74</v>
      </c>
      <c r="C126">
        <v>546.41</v>
      </c>
      <c r="D126">
        <v>545.08000000000004</v>
      </c>
      <c r="E126">
        <v>543.75</v>
      </c>
      <c r="F126">
        <v>542.42999999999995</v>
      </c>
      <c r="G126">
        <v>541.1</v>
      </c>
      <c r="H126">
        <v>539.78</v>
      </c>
      <c r="I126">
        <v>538.46</v>
      </c>
      <c r="J126">
        <v>537.15</v>
      </c>
      <c r="K126">
        <v>535.84</v>
      </c>
      <c r="L126">
        <v>534.53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15">
      <c r="A127">
        <v>610</v>
      </c>
      <c r="B127">
        <v>554.76</v>
      </c>
      <c r="C127">
        <v>553.41999999999996</v>
      </c>
      <c r="D127">
        <v>552.09</v>
      </c>
      <c r="E127">
        <v>550.75</v>
      </c>
      <c r="F127">
        <v>549.41999999999996</v>
      </c>
      <c r="G127">
        <v>548.09</v>
      </c>
      <c r="H127">
        <v>546.76</v>
      </c>
      <c r="I127">
        <v>545.44000000000005</v>
      </c>
      <c r="J127">
        <v>544.12</v>
      </c>
      <c r="K127">
        <v>542.79999999999995</v>
      </c>
      <c r="L127">
        <v>541.48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15">
      <c r="A128">
        <v>615</v>
      </c>
      <c r="B128">
        <v>561.80999999999995</v>
      </c>
      <c r="C128">
        <v>560.46</v>
      </c>
      <c r="D128">
        <v>559.12</v>
      </c>
      <c r="E128">
        <v>557.78</v>
      </c>
      <c r="F128">
        <v>556.44000000000005</v>
      </c>
      <c r="G128">
        <v>555.1</v>
      </c>
      <c r="H128">
        <v>553.77</v>
      </c>
      <c r="I128">
        <v>552.44000000000005</v>
      </c>
      <c r="J128">
        <v>551.11</v>
      </c>
      <c r="K128">
        <v>549.78</v>
      </c>
      <c r="L128">
        <v>548.46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15">
      <c r="A129">
        <v>620</v>
      </c>
      <c r="B129">
        <v>568.87</v>
      </c>
      <c r="C129">
        <v>567.52</v>
      </c>
      <c r="D129">
        <v>566.16999999999996</v>
      </c>
      <c r="E129">
        <v>564.82000000000005</v>
      </c>
      <c r="F129">
        <v>563.48</v>
      </c>
      <c r="G129">
        <v>562.13</v>
      </c>
      <c r="H129">
        <v>560.79</v>
      </c>
      <c r="I129">
        <v>559.46</v>
      </c>
      <c r="J129">
        <v>558.12</v>
      </c>
      <c r="K129">
        <v>556.79</v>
      </c>
      <c r="L129">
        <v>555.46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15">
      <c r="A130">
        <v>625</v>
      </c>
      <c r="B130">
        <v>575.96</v>
      </c>
      <c r="C130">
        <v>574.6</v>
      </c>
      <c r="D130">
        <v>573.24</v>
      </c>
      <c r="E130">
        <v>571.89</v>
      </c>
      <c r="F130">
        <v>570.54</v>
      </c>
      <c r="G130">
        <v>569.19000000000005</v>
      </c>
      <c r="H130">
        <v>567.84</v>
      </c>
      <c r="I130">
        <v>566.5</v>
      </c>
      <c r="J130">
        <v>565.15</v>
      </c>
      <c r="K130">
        <v>563.82000000000005</v>
      </c>
      <c r="L130">
        <v>562.48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15">
      <c r="A131">
        <v>630</v>
      </c>
      <c r="B131">
        <v>583.05999999999995</v>
      </c>
      <c r="C131">
        <v>581.70000000000005</v>
      </c>
      <c r="D131">
        <v>580.33000000000004</v>
      </c>
      <c r="E131">
        <v>578.97</v>
      </c>
      <c r="F131">
        <v>577.62</v>
      </c>
      <c r="G131">
        <v>576.26</v>
      </c>
      <c r="H131">
        <v>574.91</v>
      </c>
      <c r="I131">
        <v>573.55999999999995</v>
      </c>
      <c r="J131">
        <v>572.21</v>
      </c>
      <c r="K131">
        <v>570.87</v>
      </c>
      <c r="L131">
        <v>569.52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15">
      <c r="A132">
        <v>635</v>
      </c>
      <c r="B132">
        <v>590.19000000000005</v>
      </c>
      <c r="C132">
        <v>588.82000000000005</v>
      </c>
      <c r="D132">
        <v>587.45000000000005</v>
      </c>
      <c r="E132">
        <v>586.08000000000004</v>
      </c>
      <c r="F132">
        <v>584.72</v>
      </c>
      <c r="G132">
        <v>583.36</v>
      </c>
      <c r="H132">
        <v>582</v>
      </c>
      <c r="I132">
        <v>580.64</v>
      </c>
      <c r="J132">
        <v>579.29</v>
      </c>
      <c r="K132">
        <v>577.94000000000005</v>
      </c>
      <c r="L132">
        <v>576.59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15">
      <c r="A133">
        <v>640</v>
      </c>
      <c r="B133">
        <v>597.33000000000004</v>
      </c>
      <c r="C133">
        <v>595.96</v>
      </c>
      <c r="D133">
        <v>594.58000000000004</v>
      </c>
      <c r="E133">
        <v>593.21</v>
      </c>
      <c r="F133">
        <v>591.84</v>
      </c>
      <c r="G133">
        <v>590.47</v>
      </c>
      <c r="H133">
        <v>589.11</v>
      </c>
      <c r="I133">
        <v>587.75</v>
      </c>
      <c r="J133">
        <v>586.39</v>
      </c>
      <c r="K133">
        <v>585.03</v>
      </c>
      <c r="L133">
        <v>583.66999999999996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15">
      <c r="A134">
        <v>645</v>
      </c>
      <c r="B134">
        <v>604.5</v>
      </c>
      <c r="C134">
        <v>603.12</v>
      </c>
      <c r="D134">
        <v>601.74</v>
      </c>
      <c r="E134">
        <v>600.36</v>
      </c>
      <c r="F134">
        <v>598.98</v>
      </c>
      <c r="G134">
        <v>597.61</v>
      </c>
      <c r="H134">
        <v>596.24</v>
      </c>
      <c r="I134">
        <v>594.87</v>
      </c>
      <c r="J134">
        <v>593.51</v>
      </c>
      <c r="K134">
        <v>592.14</v>
      </c>
      <c r="L134">
        <v>590.78</v>
      </c>
    </row>
    <row r="135" spans="1:23" x14ac:dyDescent="0.15">
      <c r="A135">
        <v>650</v>
      </c>
      <c r="B135">
        <v>611.69000000000005</v>
      </c>
      <c r="C135">
        <v>610.29999999999995</v>
      </c>
      <c r="D135">
        <v>608.91</v>
      </c>
      <c r="E135">
        <v>607.53</v>
      </c>
      <c r="F135">
        <v>606.15</v>
      </c>
      <c r="G135">
        <v>604.77</v>
      </c>
      <c r="H135">
        <v>603.39</v>
      </c>
      <c r="I135">
        <v>602.02</v>
      </c>
      <c r="J135">
        <v>600.64</v>
      </c>
      <c r="K135">
        <v>599.27</v>
      </c>
      <c r="L135">
        <v>597.91</v>
      </c>
    </row>
    <row r="136" spans="1:23" x14ac:dyDescent="0.15">
      <c r="A136">
        <v>655</v>
      </c>
      <c r="B136">
        <v>618.89</v>
      </c>
      <c r="C136">
        <v>617.5</v>
      </c>
      <c r="D136">
        <v>616.11</v>
      </c>
      <c r="E136">
        <v>614.72</v>
      </c>
      <c r="F136">
        <v>613.33000000000004</v>
      </c>
      <c r="G136">
        <v>611.94000000000005</v>
      </c>
      <c r="H136">
        <v>610.55999999999995</v>
      </c>
      <c r="I136">
        <v>609.17999999999995</v>
      </c>
      <c r="J136">
        <v>607.79999999999995</v>
      </c>
      <c r="K136">
        <v>606.42999999999995</v>
      </c>
      <c r="L136">
        <v>605.04999999999995</v>
      </c>
    </row>
    <row r="137" spans="1:23" x14ac:dyDescent="0.15">
      <c r="A137">
        <v>660</v>
      </c>
      <c r="B137">
        <v>626.11</v>
      </c>
      <c r="C137">
        <v>624.72</v>
      </c>
      <c r="D137">
        <v>623.32000000000005</v>
      </c>
      <c r="E137">
        <v>621.91999999999996</v>
      </c>
      <c r="F137">
        <v>620.53</v>
      </c>
      <c r="G137">
        <v>619.14</v>
      </c>
      <c r="H137">
        <v>617.75</v>
      </c>
      <c r="I137">
        <v>616.37</v>
      </c>
      <c r="J137">
        <v>614.98</v>
      </c>
      <c r="K137">
        <v>613.6</v>
      </c>
      <c r="L137">
        <v>612.22</v>
      </c>
    </row>
    <row r="138" spans="1:23" x14ac:dyDescent="0.15">
      <c r="A138">
        <v>665</v>
      </c>
      <c r="B138">
        <v>633.36</v>
      </c>
      <c r="C138">
        <v>631.95000000000005</v>
      </c>
      <c r="D138">
        <v>630.54999999999995</v>
      </c>
      <c r="E138">
        <v>629.15</v>
      </c>
      <c r="F138">
        <v>627.75</v>
      </c>
      <c r="G138">
        <v>626.35</v>
      </c>
      <c r="H138">
        <v>624.96</v>
      </c>
      <c r="I138">
        <v>623.57000000000005</v>
      </c>
      <c r="J138">
        <v>622.17999999999995</v>
      </c>
      <c r="K138">
        <v>620.79</v>
      </c>
      <c r="L138">
        <v>619.41</v>
      </c>
    </row>
    <row r="139" spans="1:23" x14ac:dyDescent="0.15">
      <c r="A139">
        <v>670</v>
      </c>
      <c r="B139">
        <v>640.62</v>
      </c>
      <c r="C139">
        <v>639.21</v>
      </c>
      <c r="D139">
        <v>637.79999999999995</v>
      </c>
      <c r="E139">
        <v>636.39</v>
      </c>
      <c r="F139">
        <v>634.99</v>
      </c>
      <c r="G139">
        <v>633.59</v>
      </c>
      <c r="H139">
        <v>632.19000000000005</v>
      </c>
      <c r="I139">
        <v>630.79</v>
      </c>
      <c r="J139">
        <v>629.4</v>
      </c>
      <c r="K139">
        <v>628</v>
      </c>
      <c r="L139">
        <v>626.61</v>
      </c>
    </row>
    <row r="140" spans="1:23" x14ac:dyDescent="0.15">
      <c r="A140">
        <v>675</v>
      </c>
      <c r="B140">
        <v>647.9</v>
      </c>
      <c r="C140">
        <v>646.48</v>
      </c>
      <c r="D140">
        <v>645.07000000000005</v>
      </c>
      <c r="E140">
        <v>643.66</v>
      </c>
      <c r="F140">
        <v>642.25</v>
      </c>
      <c r="G140">
        <v>640.84</v>
      </c>
      <c r="H140">
        <v>639.42999999999995</v>
      </c>
      <c r="I140">
        <v>638.03</v>
      </c>
      <c r="J140">
        <v>636.63</v>
      </c>
      <c r="K140">
        <v>635.23</v>
      </c>
      <c r="L140">
        <v>633.84</v>
      </c>
    </row>
    <row r="141" spans="1:23" x14ac:dyDescent="0.15">
      <c r="A141">
        <v>680</v>
      </c>
      <c r="B141">
        <v>655.19000000000005</v>
      </c>
      <c r="C141">
        <v>653.77</v>
      </c>
      <c r="D141">
        <v>652.35</v>
      </c>
      <c r="E141">
        <v>650.94000000000005</v>
      </c>
      <c r="F141">
        <v>649.52</v>
      </c>
      <c r="G141">
        <v>648.11</v>
      </c>
      <c r="H141">
        <v>646.70000000000005</v>
      </c>
      <c r="I141">
        <v>645.29</v>
      </c>
      <c r="J141">
        <v>643.88</v>
      </c>
      <c r="K141">
        <v>642.48</v>
      </c>
      <c r="L141">
        <v>641.08000000000004</v>
      </c>
    </row>
    <row r="142" spans="1:23" x14ac:dyDescent="0.15">
      <c r="A142">
        <v>685</v>
      </c>
      <c r="B142">
        <v>662.51</v>
      </c>
      <c r="C142">
        <v>661.08</v>
      </c>
      <c r="D142">
        <v>659.66</v>
      </c>
      <c r="E142">
        <v>658.23</v>
      </c>
      <c r="F142">
        <v>656.81</v>
      </c>
      <c r="G142">
        <v>655.4</v>
      </c>
      <c r="H142">
        <v>653.98</v>
      </c>
      <c r="I142">
        <v>652.57000000000005</v>
      </c>
      <c r="J142">
        <v>651.16</v>
      </c>
      <c r="K142">
        <v>649.75</v>
      </c>
      <c r="L142">
        <v>648.34</v>
      </c>
    </row>
    <row r="143" spans="1:23" x14ac:dyDescent="0.15">
      <c r="A143">
        <v>690</v>
      </c>
      <c r="B143">
        <v>669.84</v>
      </c>
      <c r="C143">
        <v>668.41</v>
      </c>
      <c r="D143">
        <v>666.98</v>
      </c>
      <c r="E143">
        <v>665.55</v>
      </c>
      <c r="F143">
        <v>664.12</v>
      </c>
      <c r="G143">
        <v>662.7</v>
      </c>
      <c r="H143">
        <v>661.28</v>
      </c>
      <c r="I143">
        <v>659.86</v>
      </c>
      <c r="J143">
        <v>658.45</v>
      </c>
      <c r="K143">
        <v>657.03</v>
      </c>
      <c r="L143">
        <v>655.62</v>
      </c>
    </row>
    <row r="144" spans="1:23" x14ac:dyDescent="0.15">
      <c r="A144">
        <v>695</v>
      </c>
      <c r="B144">
        <v>677.18</v>
      </c>
      <c r="C144">
        <v>675.75</v>
      </c>
      <c r="D144">
        <v>674.31</v>
      </c>
      <c r="E144">
        <v>672.88</v>
      </c>
      <c r="F144">
        <v>671.45</v>
      </c>
      <c r="G144">
        <v>670.02</v>
      </c>
      <c r="H144">
        <v>668.6</v>
      </c>
      <c r="I144">
        <v>667.17</v>
      </c>
      <c r="J144">
        <v>665.75</v>
      </c>
      <c r="K144">
        <v>664.33</v>
      </c>
      <c r="L144">
        <v>662.91</v>
      </c>
    </row>
    <row r="145" spans="1:12" x14ac:dyDescent="0.15">
      <c r="A145">
        <v>700</v>
      </c>
      <c r="B145">
        <v>684.55</v>
      </c>
      <c r="C145">
        <v>683.11</v>
      </c>
      <c r="D145">
        <v>681.67</v>
      </c>
      <c r="E145">
        <v>680.23</v>
      </c>
      <c r="F145">
        <v>678.8</v>
      </c>
      <c r="G145">
        <v>677.36</v>
      </c>
      <c r="H145">
        <v>675.93</v>
      </c>
      <c r="I145">
        <v>674.5</v>
      </c>
      <c r="J145">
        <v>673.08</v>
      </c>
      <c r="K145">
        <v>671.65</v>
      </c>
      <c r="L145">
        <v>670.23</v>
      </c>
    </row>
    <row r="146" spans="1:12" x14ac:dyDescent="0.15">
      <c r="A146">
        <v>705</v>
      </c>
      <c r="B146">
        <v>691.93</v>
      </c>
      <c r="C146">
        <v>690.48</v>
      </c>
      <c r="D146">
        <v>689.04</v>
      </c>
      <c r="E146">
        <v>687.6</v>
      </c>
      <c r="F146">
        <v>686.16</v>
      </c>
      <c r="G146">
        <v>684.72</v>
      </c>
      <c r="H146">
        <v>683.28</v>
      </c>
      <c r="I146">
        <v>681.85</v>
      </c>
      <c r="J146">
        <v>680.42</v>
      </c>
      <c r="K146">
        <v>678.99</v>
      </c>
      <c r="L146">
        <v>677.56</v>
      </c>
    </row>
    <row r="147" spans="1:12" x14ac:dyDescent="0.15">
      <c r="A147">
        <v>710</v>
      </c>
      <c r="B147">
        <v>699.32</v>
      </c>
      <c r="C147">
        <v>697.87</v>
      </c>
      <c r="D147">
        <v>696.42</v>
      </c>
      <c r="E147">
        <v>694.98</v>
      </c>
      <c r="F147">
        <v>693.53</v>
      </c>
      <c r="G147">
        <v>692.09</v>
      </c>
      <c r="H147">
        <v>690.65</v>
      </c>
      <c r="I147">
        <v>689.21</v>
      </c>
      <c r="J147">
        <v>687.77</v>
      </c>
      <c r="K147">
        <v>686.34</v>
      </c>
      <c r="L147">
        <v>684.9</v>
      </c>
    </row>
    <row r="148" spans="1:12" x14ac:dyDescent="0.15">
      <c r="A148">
        <v>715</v>
      </c>
      <c r="B148">
        <v>706.74</v>
      </c>
      <c r="C148">
        <v>705.28</v>
      </c>
      <c r="D148">
        <v>703.83</v>
      </c>
      <c r="E148">
        <v>702.37</v>
      </c>
      <c r="F148">
        <v>700.92</v>
      </c>
      <c r="G148">
        <v>699.48</v>
      </c>
      <c r="H148">
        <v>698.03</v>
      </c>
      <c r="I148">
        <v>696.59</v>
      </c>
      <c r="J148">
        <v>695.15</v>
      </c>
      <c r="K148">
        <v>693.71</v>
      </c>
      <c r="L148">
        <v>692.27</v>
      </c>
    </row>
    <row r="149" spans="1:12" x14ac:dyDescent="0.15">
      <c r="A149">
        <v>720</v>
      </c>
      <c r="B149">
        <v>714.17</v>
      </c>
      <c r="C149">
        <v>712.71</v>
      </c>
      <c r="D149">
        <v>711.25</v>
      </c>
      <c r="E149">
        <v>709.79</v>
      </c>
      <c r="F149">
        <v>708.34</v>
      </c>
      <c r="G149">
        <v>706.88</v>
      </c>
      <c r="H149">
        <v>705.43</v>
      </c>
      <c r="I149">
        <v>703.98</v>
      </c>
      <c r="J149">
        <v>702.54</v>
      </c>
      <c r="K149">
        <v>701.09</v>
      </c>
      <c r="L149">
        <v>699.65</v>
      </c>
    </row>
    <row r="150" spans="1:12" x14ac:dyDescent="0.15">
      <c r="A150">
        <v>725</v>
      </c>
      <c r="B150">
        <v>721.61</v>
      </c>
      <c r="C150">
        <v>720.15</v>
      </c>
      <c r="D150">
        <v>718.69</v>
      </c>
      <c r="E150">
        <v>717.22</v>
      </c>
      <c r="F150">
        <v>715.76</v>
      </c>
      <c r="G150">
        <v>714.3</v>
      </c>
      <c r="H150">
        <v>712.85</v>
      </c>
      <c r="I150">
        <v>711.39</v>
      </c>
      <c r="J150">
        <v>709.94</v>
      </c>
      <c r="K150">
        <v>708.49</v>
      </c>
      <c r="L150">
        <v>707.04</v>
      </c>
    </row>
    <row r="151" spans="1:12" x14ac:dyDescent="0.15">
      <c r="A151">
        <v>730</v>
      </c>
      <c r="B151">
        <v>729.07</v>
      </c>
      <c r="C151">
        <v>727.6</v>
      </c>
      <c r="D151">
        <v>726.14</v>
      </c>
      <c r="E151">
        <v>724.67</v>
      </c>
      <c r="F151">
        <v>723.21</v>
      </c>
      <c r="G151">
        <v>721.74</v>
      </c>
      <c r="H151">
        <v>720.28</v>
      </c>
      <c r="I151">
        <v>718.82</v>
      </c>
      <c r="J151">
        <v>717.36</v>
      </c>
      <c r="K151">
        <v>715.91</v>
      </c>
      <c r="L151">
        <v>714.45</v>
      </c>
    </row>
    <row r="152" spans="1:12" x14ac:dyDescent="0.15">
      <c r="A152">
        <v>735</v>
      </c>
      <c r="B152">
        <v>736.55</v>
      </c>
      <c r="C152">
        <v>735.07</v>
      </c>
      <c r="D152">
        <v>733.6</v>
      </c>
      <c r="E152">
        <v>732.13</v>
      </c>
      <c r="F152">
        <v>730.66</v>
      </c>
      <c r="G152">
        <v>729.19</v>
      </c>
      <c r="H152">
        <v>727.73</v>
      </c>
      <c r="I152">
        <v>726.27</v>
      </c>
      <c r="J152">
        <v>724.8</v>
      </c>
      <c r="K152">
        <v>723.34</v>
      </c>
      <c r="L152">
        <v>721.88</v>
      </c>
    </row>
    <row r="153" spans="1:12" x14ac:dyDescent="0.15">
      <c r="A153">
        <v>740</v>
      </c>
      <c r="B153">
        <v>744.04</v>
      </c>
      <c r="C153">
        <v>742.56</v>
      </c>
      <c r="D153">
        <v>741.08</v>
      </c>
      <c r="E153">
        <v>739.61</v>
      </c>
      <c r="F153">
        <v>738.13</v>
      </c>
      <c r="G153">
        <v>736.66</v>
      </c>
      <c r="H153">
        <v>735.19</v>
      </c>
      <c r="I153">
        <v>733.72</v>
      </c>
      <c r="J153">
        <v>732.26</v>
      </c>
      <c r="K153">
        <v>730.79</v>
      </c>
      <c r="L153">
        <v>729.33</v>
      </c>
    </row>
    <row r="154" spans="1:12" x14ac:dyDescent="0.15">
      <c r="A154">
        <v>745</v>
      </c>
      <c r="B154">
        <v>751.54</v>
      </c>
      <c r="C154">
        <v>750.06</v>
      </c>
      <c r="D154">
        <v>748.58</v>
      </c>
      <c r="E154">
        <v>747.1</v>
      </c>
      <c r="F154">
        <v>745.62</v>
      </c>
      <c r="G154">
        <v>744.14</v>
      </c>
      <c r="H154">
        <v>742.67</v>
      </c>
      <c r="I154">
        <v>741.2</v>
      </c>
      <c r="J154">
        <v>739.73</v>
      </c>
      <c r="K154">
        <v>738.26</v>
      </c>
      <c r="L154">
        <v>736.79</v>
      </c>
    </row>
    <row r="155" spans="1:12" x14ac:dyDescent="0.15">
      <c r="A155">
        <v>750</v>
      </c>
      <c r="B155">
        <v>759.06</v>
      </c>
      <c r="C155">
        <v>757.57</v>
      </c>
      <c r="D155">
        <v>756.09</v>
      </c>
      <c r="E155">
        <v>754.6</v>
      </c>
      <c r="F155">
        <v>753.12</v>
      </c>
      <c r="G155">
        <v>751.64</v>
      </c>
      <c r="H155">
        <v>750.16</v>
      </c>
      <c r="I155">
        <v>748.69</v>
      </c>
      <c r="J155">
        <v>747.21</v>
      </c>
      <c r="K155">
        <v>745.74</v>
      </c>
      <c r="L155">
        <v>744.26</v>
      </c>
    </row>
    <row r="156" spans="1:12" x14ac:dyDescent="0.15">
      <c r="A156">
        <v>755</v>
      </c>
      <c r="B156">
        <v>766.59</v>
      </c>
      <c r="C156">
        <v>765.1</v>
      </c>
      <c r="D156">
        <v>763.61</v>
      </c>
      <c r="E156">
        <v>762.12</v>
      </c>
      <c r="F156">
        <v>760.63</v>
      </c>
      <c r="G156">
        <v>759.15</v>
      </c>
      <c r="H156">
        <v>757.67</v>
      </c>
      <c r="I156">
        <v>756.19</v>
      </c>
      <c r="J156">
        <v>754.71</v>
      </c>
      <c r="K156">
        <v>753.23</v>
      </c>
      <c r="L156">
        <v>751.75</v>
      </c>
    </row>
    <row r="157" spans="1:12" x14ac:dyDescent="0.15">
      <c r="A157">
        <v>760</v>
      </c>
      <c r="B157">
        <v>774.36</v>
      </c>
      <c r="C157">
        <v>772.85</v>
      </c>
      <c r="D157">
        <v>771.34</v>
      </c>
      <c r="E157">
        <v>769.83</v>
      </c>
      <c r="F157">
        <v>768.32</v>
      </c>
      <c r="G157">
        <v>766.82</v>
      </c>
      <c r="H157">
        <v>765.31</v>
      </c>
      <c r="I157">
        <v>763.81</v>
      </c>
      <c r="J157">
        <v>762.31</v>
      </c>
      <c r="K157">
        <v>760.82</v>
      </c>
      <c r="L157">
        <v>759.33</v>
      </c>
    </row>
    <row r="158" spans="1:12" x14ac:dyDescent="0.15">
      <c r="A158">
        <v>765</v>
      </c>
      <c r="B158">
        <v>782.27</v>
      </c>
      <c r="C158">
        <v>780.75</v>
      </c>
      <c r="D158">
        <v>779.24</v>
      </c>
      <c r="E158">
        <v>777.73</v>
      </c>
      <c r="F158">
        <v>776.21</v>
      </c>
      <c r="G158">
        <v>774.7</v>
      </c>
      <c r="H158">
        <v>773.2</v>
      </c>
      <c r="I158">
        <v>771.69</v>
      </c>
      <c r="J158">
        <v>770.19</v>
      </c>
      <c r="K158">
        <v>768.68</v>
      </c>
      <c r="L158">
        <v>767.18</v>
      </c>
    </row>
    <row r="159" spans="1:12" x14ac:dyDescent="0.15">
      <c r="A159">
        <v>770</v>
      </c>
      <c r="B159">
        <v>790.19</v>
      </c>
      <c r="C159">
        <v>788.67</v>
      </c>
      <c r="D159">
        <v>787.15</v>
      </c>
      <c r="E159">
        <v>785.63</v>
      </c>
      <c r="F159">
        <v>784.12</v>
      </c>
      <c r="G159">
        <v>782.6</v>
      </c>
      <c r="H159">
        <v>781.09</v>
      </c>
      <c r="I159">
        <v>779.58</v>
      </c>
      <c r="J159">
        <v>778.07</v>
      </c>
      <c r="K159">
        <v>776.57</v>
      </c>
      <c r="L159">
        <v>775.06</v>
      </c>
    </row>
    <row r="160" spans="1:12" x14ac:dyDescent="0.15">
      <c r="A160">
        <v>775</v>
      </c>
      <c r="B160">
        <v>798.12</v>
      </c>
      <c r="C160">
        <v>796.6</v>
      </c>
      <c r="D160">
        <v>795.07</v>
      </c>
      <c r="E160">
        <v>793.55</v>
      </c>
      <c r="F160">
        <v>792.04</v>
      </c>
      <c r="G160">
        <v>790.52</v>
      </c>
      <c r="H160">
        <v>789</v>
      </c>
      <c r="I160">
        <v>787.49</v>
      </c>
      <c r="J160">
        <v>785.98</v>
      </c>
      <c r="K160">
        <v>784.46</v>
      </c>
      <c r="L160">
        <v>782.95</v>
      </c>
    </row>
    <row r="161" spans="1:12" x14ac:dyDescent="0.15">
      <c r="A161">
        <v>780</v>
      </c>
      <c r="B161">
        <v>806.06</v>
      </c>
      <c r="C161">
        <v>804.54</v>
      </c>
      <c r="D161">
        <v>803.01</v>
      </c>
      <c r="E161">
        <v>801.49</v>
      </c>
      <c r="F161">
        <v>799.97</v>
      </c>
      <c r="G161">
        <v>798.44</v>
      </c>
      <c r="H161">
        <v>796.93</v>
      </c>
      <c r="I161">
        <v>795.41</v>
      </c>
      <c r="J161">
        <v>793.89</v>
      </c>
      <c r="K161">
        <v>792.38</v>
      </c>
      <c r="L161">
        <v>790.86</v>
      </c>
    </row>
    <row r="162" spans="1:12" x14ac:dyDescent="0.15">
      <c r="A162">
        <v>785</v>
      </c>
      <c r="B162">
        <v>814.02</v>
      </c>
      <c r="C162">
        <v>812.49</v>
      </c>
      <c r="D162">
        <v>810.96</v>
      </c>
      <c r="E162">
        <v>809.44</v>
      </c>
      <c r="F162">
        <v>807.91</v>
      </c>
      <c r="G162">
        <v>806.38</v>
      </c>
      <c r="H162">
        <v>804.86</v>
      </c>
      <c r="I162">
        <v>803.34</v>
      </c>
      <c r="J162">
        <v>801.82</v>
      </c>
      <c r="K162">
        <v>800.3</v>
      </c>
      <c r="L162">
        <v>798.78</v>
      </c>
    </row>
    <row r="163" spans="1:12" x14ac:dyDescent="0.15">
      <c r="A163">
        <v>790</v>
      </c>
      <c r="B163">
        <v>821.99</v>
      </c>
      <c r="C163">
        <v>820.46</v>
      </c>
      <c r="D163">
        <v>818.93</v>
      </c>
      <c r="E163">
        <v>817.39</v>
      </c>
      <c r="F163">
        <v>815.86</v>
      </c>
      <c r="G163">
        <v>814.34</v>
      </c>
      <c r="H163">
        <v>812.81</v>
      </c>
      <c r="I163">
        <v>811.28</v>
      </c>
      <c r="J163">
        <v>809.76</v>
      </c>
      <c r="K163">
        <v>808.24</v>
      </c>
      <c r="L163">
        <v>806.72</v>
      </c>
    </row>
    <row r="164" spans="1:12" x14ac:dyDescent="0.15">
      <c r="A164">
        <v>795</v>
      </c>
      <c r="B164">
        <v>829.98</v>
      </c>
      <c r="C164">
        <v>828.44</v>
      </c>
      <c r="D164">
        <v>826.9</v>
      </c>
      <c r="E164">
        <v>825.37</v>
      </c>
      <c r="F164">
        <v>823.83</v>
      </c>
      <c r="G164">
        <v>822.3</v>
      </c>
      <c r="H164">
        <v>820.77</v>
      </c>
      <c r="I164">
        <v>819.24</v>
      </c>
      <c r="J164">
        <v>817.71</v>
      </c>
      <c r="K164">
        <v>816.19</v>
      </c>
      <c r="L164">
        <v>814.66</v>
      </c>
    </row>
    <row r="165" spans="1:12" x14ac:dyDescent="0.15">
      <c r="A165">
        <v>800</v>
      </c>
      <c r="B165">
        <v>837.97</v>
      </c>
      <c r="C165">
        <v>836.43</v>
      </c>
      <c r="D165">
        <v>834.89</v>
      </c>
      <c r="E165">
        <v>833.35</v>
      </c>
      <c r="F165">
        <v>831.81</v>
      </c>
      <c r="G165">
        <v>830.28</v>
      </c>
      <c r="H165">
        <v>828.74</v>
      </c>
      <c r="I165">
        <v>827.21</v>
      </c>
      <c r="J165">
        <v>825.68</v>
      </c>
      <c r="K165">
        <v>824.15</v>
      </c>
      <c r="L165">
        <v>822.62</v>
      </c>
    </row>
    <row r="166" spans="1:12" x14ac:dyDescent="0.15">
      <c r="A166">
        <v>805</v>
      </c>
      <c r="B166">
        <v>845.98</v>
      </c>
      <c r="C166">
        <v>844.43</v>
      </c>
      <c r="D166">
        <v>842.89</v>
      </c>
      <c r="E166">
        <v>841.35</v>
      </c>
      <c r="F166">
        <v>839.81</v>
      </c>
      <c r="G166">
        <v>838.27</v>
      </c>
      <c r="H166">
        <v>836.73</v>
      </c>
      <c r="I166">
        <v>835.19</v>
      </c>
      <c r="J166">
        <v>833.66</v>
      </c>
      <c r="K166">
        <v>832.12</v>
      </c>
      <c r="L166">
        <v>830.59</v>
      </c>
    </row>
    <row r="167" spans="1:12" x14ac:dyDescent="0.15">
      <c r="A167">
        <v>810</v>
      </c>
      <c r="B167">
        <v>854</v>
      </c>
      <c r="C167">
        <v>852.45</v>
      </c>
      <c r="D167">
        <v>850.9</v>
      </c>
      <c r="E167">
        <v>849.36</v>
      </c>
      <c r="F167">
        <v>847.81</v>
      </c>
      <c r="G167">
        <v>846.27</v>
      </c>
      <c r="H167">
        <v>844.73</v>
      </c>
      <c r="I167">
        <v>843.19</v>
      </c>
      <c r="J167">
        <v>841.65</v>
      </c>
      <c r="K167">
        <v>840.11</v>
      </c>
      <c r="L167">
        <v>838.57</v>
      </c>
    </row>
    <row r="168" spans="1:12" x14ac:dyDescent="0.15">
      <c r="A168">
        <v>815</v>
      </c>
      <c r="B168">
        <v>862.03</v>
      </c>
      <c r="C168">
        <v>860.48</v>
      </c>
      <c r="D168">
        <v>858.93</v>
      </c>
      <c r="E168">
        <v>857.38</v>
      </c>
      <c r="F168">
        <v>855.83</v>
      </c>
      <c r="G168">
        <v>854.28</v>
      </c>
      <c r="H168">
        <v>852.74</v>
      </c>
      <c r="I168">
        <v>851.19</v>
      </c>
      <c r="J168">
        <v>849.65</v>
      </c>
      <c r="K168">
        <v>848.11</v>
      </c>
      <c r="L168">
        <v>846.57</v>
      </c>
    </row>
    <row r="169" spans="1:12" x14ac:dyDescent="0.15">
      <c r="A169">
        <v>820</v>
      </c>
      <c r="B169">
        <v>870.07</v>
      </c>
      <c r="C169">
        <v>868.52</v>
      </c>
      <c r="D169">
        <v>866.96</v>
      </c>
      <c r="E169">
        <v>865.41</v>
      </c>
      <c r="F169">
        <v>863.86</v>
      </c>
      <c r="G169">
        <v>862.31</v>
      </c>
      <c r="H169">
        <v>860.76</v>
      </c>
      <c r="I169">
        <v>859.21</v>
      </c>
      <c r="J169">
        <v>857.67</v>
      </c>
      <c r="K169">
        <v>856.12</v>
      </c>
      <c r="L169">
        <v>854.58</v>
      </c>
    </row>
    <row r="170" spans="1:12" x14ac:dyDescent="0.15">
      <c r="A170">
        <v>825</v>
      </c>
      <c r="B170">
        <v>878.13</v>
      </c>
      <c r="C170">
        <v>876.57</v>
      </c>
      <c r="D170">
        <v>875.01</v>
      </c>
      <c r="E170">
        <v>873.45</v>
      </c>
      <c r="F170">
        <v>871.9</v>
      </c>
      <c r="G170">
        <v>870.35</v>
      </c>
      <c r="H170">
        <v>868.79</v>
      </c>
      <c r="I170">
        <v>867.24</v>
      </c>
      <c r="J170">
        <v>865.69</v>
      </c>
      <c r="K170">
        <v>864.14</v>
      </c>
      <c r="L170">
        <v>862.6</v>
      </c>
    </row>
    <row r="171" spans="1:12" x14ac:dyDescent="0.15">
      <c r="A171">
        <v>830</v>
      </c>
      <c r="B171">
        <v>886.19</v>
      </c>
      <c r="C171">
        <v>884.63</v>
      </c>
      <c r="D171">
        <v>883.07</v>
      </c>
      <c r="E171">
        <v>881.51</v>
      </c>
      <c r="F171">
        <v>879.95</v>
      </c>
      <c r="G171">
        <v>878.39</v>
      </c>
      <c r="H171">
        <v>876.84</v>
      </c>
      <c r="I171">
        <v>875.28</v>
      </c>
      <c r="J171">
        <v>873.73</v>
      </c>
      <c r="K171">
        <v>872.18</v>
      </c>
      <c r="L171">
        <v>870.63</v>
      </c>
    </row>
    <row r="172" spans="1:12" x14ac:dyDescent="0.15">
      <c r="A172">
        <v>835</v>
      </c>
      <c r="B172">
        <v>894.27</v>
      </c>
      <c r="C172">
        <v>892.7</v>
      </c>
      <c r="D172">
        <v>891.14</v>
      </c>
      <c r="E172">
        <v>889.58</v>
      </c>
      <c r="F172">
        <v>888.01</v>
      </c>
      <c r="G172">
        <v>886.45</v>
      </c>
      <c r="H172">
        <v>884.9</v>
      </c>
      <c r="I172">
        <v>883.34</v>
      </c>
      <c r="J172">
        <v>881.78</v>
      </c>
      <c r="K172">
        <v>880.23</v>
      </c>
      <c r="L172">
        <v>878.67</v>
      </c>
    </row>
    <row r="173" spans="1:12" x14ac:dyDescent="0.15">
      <c r="A173">
        <v>840</v>
      </c>
      <c r="B173">
        <v>902.36</v>
      </c>
      <c r="C173">
        <v>900.79</v>
      </c>
      <c r="D173">
        <v>899.22</v>
      </c>
      <c r="E173">
        <v>897.66</v>
      </c>
      <c r="F173">
        <v>896.09</v>
      </c>
      <c r="G173">
        <v>894.53</v>
      </c>
      <c r="H173">
        <v>892.96</v>
      </c>
      <c r="I173">
        <v>891.4</v>
      </c>
      <c r="J173">
        <v>889.84</v>
      </c>
      <c r="K173">
        <v>888.28</v>
      </c>
      <c r="L173">
        <v>886.73</v>
      </c>
    </row>
    <row r="174" spans="1:12" x14ac:dyDescent="0.15">
      <c r="A174">
        <v>845</v>
      </c>
      <c r="B174">
        <v>910.46</v>
      </c>
      <c r="C174">
        <v>908.88</v>
      </c>
      <c r="D174">
        <v>907.31</v>
      </c>
      <c r="E174">
        <v>905.74</v>
      </c>
      <c r="F174">
        <v>904.18</v>
      </c>
      <c r="G174">
        <v>902.61</v>
      </c>
      <c r="H174">
        <v>901.04</v>
      </c>
      <c r="I174">
        <v>899.48</v>
      </c>
      <c r="J174">
        <v>897.91</v>
      </c>
      <c r="K174">
        <v>896.35</v>
      </c>
      <c r="L174">
        <v>894.79</v>
      </c>
    </row>
    <row r="175" spans="1:12" x14ac:dyDescent="0.15">
      <c r="A175">
        <v>850</v>
      </c>
      <c r="B175">
        <v>918.57</v>
      </c>
      <c r="C175">
        <v>916.99</v>
      </c>
      <c r="D175">
        <v>915.42</v>
      </c>
      <c r="E175">
        <v>913.84</v>
      </c>
      <c r="F175">
        <v>912.27</v>
      </c>
      <c r="G175">
        <v>910.7</v>
      </c>
      <c r="H175">
        <v>909.13</v>
      </c>
      <c r="I175">
        <v>907.56</v>
      </c>
      <c r="J175">
        <v>906</v>
      </c>
      <c r="K175">
        <v>904.43</v>
      </c>
      <c r="L175">
        <v>902.87</v>
      </c>
    </row>
    <row r="176" spans="1:12" x14ac:dyDescent="0.15">
      <c r="A176">
        <v>855</v>
      </c>
      <c r="B176">
        <v>926.69</v>
      </c>
      <c r="C176">
        <v>925.11</v>
      </c>
      <c r="D176">
        <v>923.53</v>
      </c>
      <c r="E176">
        <v>921.95</v>
      </c>
      <c r="F176">
        <v>920.38</v>
      </c>
      <c r="G176">
        <v>918.81</v>
      </c>
      <c r="H176">
        <v>917.23</v>
      </c>
      <c r="I176">
        <v>915.66</v>
      </c>
      <c r="J176">
        <v>914.09</v>
      </c>
      <c r="K176">
        <v>912.52</v>
      </c>
      <c r="L176">
        <v>910.96</v>
      </c>
    </row>
    <row r="177" spans="1:12" x14ac:dyDescent="0.15">
      <c r="A177">
        <v>860</v>
      </c>
      <c r="B177">
        <v>934.82</v>
      </c>
      <c r="C177">
        <v>933.24</v>
      </c>
      <c r="D177">
        <v>931.65</v>
      </c>
      <c r="E177">
        <v>930.08</v>
      </c>
      <c r="F177">
        <v>928.5</v>
      </c>
      <c r="G177">
        <v>926.92</v>
      </c>
      <c r="H177">
        <v>925.34</v>
      </c>
      <c r="I177">
        <v>923.77</v>
      </c>
      <c r="J177">
        <v>922.2</v>
      </c>
      <c r="K177">
        <v>920.63</v>
      </c>
      <c r="L177">
        <v>919.05</v>
      </c>
    </row>
    <row r="178" spans="1:12" x14ac:dyDescent="0.15">
      <c r="A178">
        <v>865</v>
      </c>
      <c r="B178">
        <v>942.96</v>
      </c>
      <c r="C178">
        <v>941.37</v>
      </c>
      <c r="D178">
        <v>939.79</v>
      </c>
      <c r="E178">
        <v>938.21</v>
      </c>
      <c r="F178">
        <v>936.63</v>
      </c>
      <c r="G178">
        <v>935.05</v>
      </c>
      <c r="H178">
        <v>933.47</v>
      </c>
      <c r="I178">
        <v>931.89</v>
      </c>
      <c r="J178">
        <v>930.31</v>
      </c>
      <c r="K178">
        <v>928.74</v>
      </c>
      <c r="L178">
        <v>927.16</v>
      </c>
    </row>
    <row r="179" spans="1:12" x14ac:dyDescent="0.15">
      <c r="A179">
        <v>870</v>
      </c>
      <c r="B179">
        <v>951.11</v>
      </c>
      <c r="C179">
        <v>949.52</v>
      </c>
      <c r="D179">
        <v>947.93</v>
      </c>
      <c r="E179">
        <v>946.35</v>
      </c>
      <c r="F179">
        <v>944.76</v>
      </c>
      <c r="G179">
        <v>943.18</v>
      </c>
      <c r="H179">
        <v>941.6</v>
      </c>
      <c r="I179">
        <v>940.02</v>
      </c>
      <c r="J179">
        <v>938.44</v>
      </c>
      <c r="K179">
        <v>936.86</v>
      </c>
      <c r="L179">
        <v>935.28</v>
      </c>
    </row>
    <row r="180" spans="1:12" x14ac:dyDescent="0.15">
      <c r="A180">
        <v>875</v>
      </c>
      <c r="B180">
        <v>959.27</v>
      </c>
      <c r="C180">
        <v>957.68</v>
      </c>
      <c r="D180">
        <v>956.09</v>
      </c>
      <c r="E180">
        <v>954.5</v>
      </c>
      <c r="F180">
        <v>952.91</v>
      </c>
      <c r="G180">
        <v>951.33</v>
      </c>
      <c r="H180">
        <v>949.74</v>
      </c>
      <c r="I180">
        <v>948.16</v>
      </c>
      <c r="J180">
        <v>946.58</v>
      </c>
      <c r="K180">
        <v>944.99</v>
      </c>
      <c r="L180">
        <v>943.41</v>
      </c>
    </row>
    <row r="181" spans="1:12" x14ac:dyDescent="0.15">
      <c r="A181">
        <v>880</v>
      </c>
      <c r="B181">
        <v>967.44</v>
      </c>
      <c r="C181">
        <v>965.85</v>
      </c>
      <c r="D181">
        <v>964.25</v>
      </c>
      <c r="E181">
        <v>962.66</v>
      </c>
      <c r="F181">
        <v>961.07</v>
      </c>
      <c r="G181">
        <v>959.48</v>
      </c>
      <c r="H181">
        <v>957.89</v>
      </c>
      <c r="I181">
        <v>956.31</v>
      </c>
      <c r="J181">
        <v>954.72</v>
      </c>
      <c r="K181">
        <v>953.14</v>
      </c>
      <c r="L181">
        <v>951.55</v>
      </c>
    </row>
    <row r="182" spans="1:12" x14ac:dyDescent="0.15">
      <c r="A182">
        <v>885</v>
      </c>
      <c r="B182">
        <v>975.62</v>
      </c>
      <c r="C182">
        <v>974.02</v>
      </c>
      <c r="D182">
        <v>972.43</v>
      </c>
      <c r="E182">
        <v>970.83</v>
      </c>
      <c r="F182">
        <v>969.24</v>
      </c>
      <c r="G182">
        <v>967.65</v>
      </c>
      <c r="H182">
        <v>966.06</v>
      </c>
      <c r="I182">
        <v>964.47</v>
      </c>
      <c r="J182">
        <v>962.88</v>
      </c>
      <c r="K182">
        <v>961.29</v>
      </c>
      <c r="L182">
        <v>959.71</v>
      </c>
    </row>
    <row r="183" spans="1:12" x14ac:dyDescent="0.15">
      <c r="A183">
        <v>890</v>
      </c>
      <c r="B183">
        <v>983.81</v>
      </c>
      <c r="C183">
        <v>982.21</v>
      </c>
      <c r="D183">
        <v>980.61</v>
      </c>
      <c r="E183">
        <v>979.01</v>
      </c>
      <c r="F183">
        <v>977.42</v>
      </c>
      <c r="G183">
        <v>975.82</v>
      </c>
      <c r="H183">
        <v>974.23</v>
      </c>
      <c r="I183">
        <v>972.64</v>
      </c>
      <c r="J183">
        <v>971.05</v>
      </c>
      <c r="K183">
        <v>969.45</v>
      </c>
      <c r="L183">
        <v>967.87</v>
      </c>
    </row>
    <row r="184" spans="1:12" x14ac:dyDescent="0.15">
      <c r="A184">
        <v>895</v>
      </c>
      <c r="B184">
        <v>992.01</v>
      </c>
      <c r="C184">
        <v>990.41</v>
      </c>
      <c r="D184">
        <v>988.81</v>
      </c>
      <c r="E184">
        <v>987.21</v>
      </c>
      <c r="F184">
        <v>985.61</v>
      </c>
      <c r="G184">
        <v>984.01</v>
      </c>
      <c r="H184">
        <v>982.41</v>
      </c>
      <c r="I184">
        <v>980.82</v>
      </c>
      <c r="J184">
        <v>979.22</v>
      </c>
      <c r="K184">
        <v>977.63</v>
      </c>
      <c r="L184">
        <v>976.04</v>
      </c>
    </row>
    <row r="185" spans="1:12" x14ac:dyDescent="0.15">
      <c r="A185">
        <v>900</v>
      </c>
      <c r="B185">
        <v>1000.22</v>
      </c>
      <c r="C185">
        <v>998.61</v>
      </c>
      <c r="D185">
        <v>997.01</v>
      </c>
      <c r="E185">
        <v>995.41</v>
      </c>
      <c r="F185">
        <v>993.8</v>
      </c>
      <c r="G185">
        <v>992.2</v>
      </c>
      <c r="H185">
        <v>990.6</v>
      </c>
      <c r="I185">
        <v>989</v>
      </c>
      <c r="J185">
        <v>987.41</v>
      </c>
      <c r="K185">
        <v>985.81</v>
      </c>
      <c r="L185">
        <v>984.22</v>
      </c>
    </row>
    <row r="186" spans="1:12" x14ac:dyDescent="0.15">
      <c r="A186">
        <v>905</v>
      </c>
      <c r="B186">
        <v>1008.44</v>
      </c>
      <c r="C186">
        <v>1006.83</v>
      </c>
      <c r="D186">
        <v>1005.22</v>
      </c>
      <c r="E186">
        <v>1003.62</v>
      </c>
      <c r="F186">
        <v>1002.01</v>
      </c>
      <c r="G186">
        <v>1000.41</v>
      </c>
      <c r="H186">
        <v>998.8</v>
      </c>
      <c r="I186">
        <v>997.2</v>
      </c>
      <c r="J186">
        <v>995.6</v>
      </c>
      <c r="K186">
        <v>994</v>
      </c>
      <c r="L186">
        <v>992.41</v>
      </c>
    </row>
    <row r="187" spans="1:12" x14ac:dyDescent="0.15">
      <c r="A187">
        <v>910</v>
      </c>
      <c r="B187">
        <v>1016.66</v>
      </c>
      <c r="C187">
        <v>1015.05</v>
      </c>
      <c r="D187">
        <v>1013.44</v>
      </c>
      <c r="E187">
        <v>1011.83</v>
      </c>
      <c r="F187">
        <v>1010.23</v>
      </c>
      <c r="G187">
        <v>1008.62</v>
      </c>
      <c r="H187">
        <v>1007.01</v>
      </c>
      <c r="I187">
        <v>1005.41</v>
      </c>
      <c r="J187">
        <v>1003.81</v>
      </c>
      <c r="K187">
        <v>1002.21</v>
      </c>
      <c r="L187">
        <v>1000.6</v>
      </c>
    </row>
    <row r="188" spans="1:12" x14ac:dyDescent="0.15">
      <c r="A188">
        <v>915</v>
      </c>
      <c r="B188">
        <v>1024.9000000000001</v>
      </c>
      <c r="C188">
        <v>1023.29</v>
      </c>
      <c r="D188">
        <v>1021.67</v>
      </c>
      <c r="E188">
        <v>1020.06</v>
      </c>
      <c r="F188">
        <v>1018.45</v>
      </c>
      <c r="G188">
        <v>1016.84</v>
      </c>
      <c r="H188">
        <v>1015.23</v>
      </c>
      <c r="I188">
        <v>1013.63</v>
      </c>
      <c r="J188">
        <v>1012.02</v>
      </c>
      <c r="K188">
        <v>1010.42</v>
      </c>
      <c r="L188">
        <v>1008.81</v>
      </c>
    </row>
    <row r="189" spans="1:12" x14ac:dyDescent="0.15">
      <c r="A189">
        <v>920</v>
      </c>
      <c r="B189">
        <v>1033.1400000000001</v>
      </c>
      <c r="C189">
        <v>1031.53</v>
      </c>
      <c r="D189">
        <v>1029.9100000000001</v>
      </c>
      <c r="E189">
        <v>1028.3</v>
      </c>
      <c r="F189">
        <v>1026.68</v>
      </c>
      <c r="G189">
        <v>1025.07</v>
      </c>
      <c r="H189">
        <v>1023.46</v>
      </c>
      <c r="I189">
        <v>1021.85</v>
      </c>
      <c r="J189">
        <v>1020.24</v>
      </c>
      <c r="K189">
        <v>1018.64</v>
      </c>
      <c r="L189">
        <v>1017.03</v>
      </c>
    </row>
    <row r="190" spans="1:12" x14ac:dyDescent="0.15">
      <c r="A190">
        <v>925</v>
      </c>
      <c r="B190">
        <v>1041.4000000000001</v>
      </c>
      <c r="C190">
        <v>1039.78</v>
      </c>
      <c r="D190">
        <v>1038.1600000000001</v>
      </c>
      <c r="E190">
        <v>1036.54</v>
      </c>
      <c r="F190">
        <v>1034.93</v>
      </c>
      <c r="G190">
        <v>1033.31</v>
      </c>
      <c r="H190">
        <v>1031.7</v>
      </c>
      <c r="I190">
        <v>1030.0899999999999</v>
      </c>
      <c r="J190">
        <v>1028.48</v>
      </c>
      <c r="K190">
        <v>1026.8699999999999</v>
      </c>
      <c r="L190">
        <v>1025.26</v>
      </c>
    </row>
    <row r="191" spans="1:12" x14ac:dyDescent="0.15">
      <c r="A191">
        <v>930</v>
      </c>
      <c r="B191">
        <v>1049.6600000000001</v>
      </c>
      <c r="C191">
        <v>1048.04</v>
      </c>
      <c r="D191">
        <v>1046.42</v>
      </c>
      <c r="E191">
        <v>1044.8</v>
      </c>
      <c r="F191">
        <v>1043.18</v>
      </c>
      <c r="G191">
        <v>1041.56</v>
      </c>
      <c r="H191">
        <v>1039.95</v>
      </c>
      <c r="I191">
        <v>1038.33</v>
      </c>
      <c r="J191">
        <v>1036.72</v>
      </c>
      <c r="K191">
        <v>1035.0999999999999</v>
      </c>
      <c r="L191">
        <v>1033.49</v>
      </c>
    </row>
    <row r="192" spans="1:12" x14ac:dyDescent="0.15">
      <c r="A192">
        <v>935</v>
      </c>
      <c r="B192">
        <v>1057.93</v>
      </c>
      <c r="C192">
        <v>1056.3</v>
      </c>
      <c r="D192">
        <v>1054.68</v>
      </c>
      <c r="E192">
        <v>1053.06</v>
      </c>
      <c r="F192">
        <v>1051.44</v>
      </c>
      <c r="G192">
        <v>1049.82</v>
      </c>
      <c r="H192">
        <v>1048.2</v>
      </c>
      <c r="I192">
        <v>1046.58</v>
      </c>
      <c r="J192">
        <v>1044.97</v>
      </c>
      <c r="K192">
        <v>1043.3499999999999</v>
      </c>
      <c r="L192">
        <v>1041.74</v>
      </c>
    </row>
    <row r="193" spans="1:12" x14ac:dyDescent="0.15">
      <c r="A193">
        <v>940</v>
      </c>
      <c r="B193">
        <v>1066.21</v>
      </c>
      <c r="C193">
        <v>1064.58</v>
      </c>
      <c r="D193">
        <v>1062.95</v>
      </c>
      <c r="E193">
        <v>1061.33</v>
      </c>
      <c r="F193">
        <v>1059.71</v>
      </c>
      <c r="G193">
        <v>1058.08</v>
      </c>
      <c r="H193">
        <v>1056.46</v>
      </c>
      <c r="I193">
        <v>1054.8399999999999</v>
      </c>
      <c r="J193">
        <v>1053.22</v>
      </c>
      <c r="K193">
        <v>1051.5999999999999</v>
      </c>
      <c r="L193">
        <v>1049.99</v>
      </c>
    </row>
    <row r="194" spans="1:12" x14ac:dyDescent="0.15">
      <c r="A194">
        <v>945</v>
      </c>
      <c r="B194">
        <v>1074.49</v>
      </c>
      <c r="C194">
        <v>1072.8599999999999</v>
      </c>
      <c r="D194">
        <v>1071.23</v>
      </c>
      <c r="E194">
        <v>1069.6099999999999</v>
      </c>
      <c r="F194">
        <v>1067.98</v>
      </c>
      <c r="G194">
        <v>1066.3599999999999</v>
      </c>
      <c r="H194">
        <v>1064.73</v>
      </c>
      <c r="I194">
        <v>1063.1099999999999</v>
      </c>
      <c r="J194">
        <v>1061.49</v>
      </c>
      <c r="K194">
        <v>1059.8699999999999</v>
      </c>
      <c r="L194">
        <v>1058.25</v>
      </c>
    </row>
    <row r="195" spans="1:12" x14ac:dyDescent="0.15">
      <c r="A195">
        <v>950</v>
      </c>
      <c r="B195">
        <v>1082.79</v>
      </c>
      <c r="C195">
        <v>1081.1500000000001</v>
      </c>
      <c r="D195">
        <v>1079.52</v>
      </c>
      <c r="E195">
        <v>1077.8900000000001</v>
      </c>
      <c r="F195">
        <v>1076.27</v>
      </c>
      <c r="G195">
        <v>1074.6400000000001</v>
      </c>
      <c r="H195">
        <v>1073.01</v>
      </c>
      <c r="I195">
        <v>1071.3900000000001</v>
      </c>
      <c r="J195">
        <v>1069.76</v>
      </c>
      <c r="K195">
        <v>1068.1400000000001</v>
      </c>
      <c r="L195">
        <v>1066.52</v>
      </c>
    </row>
    <row r="196" spans="1:12" x14ac:dyDescent="0.15">
      <c r="A196">
        <v>955</v>
      </c>
      <c r="B196">
        <v>1091.0899999999999</v>
      </c>
      <c r="C196">
        <v>1089.45</v>
      </c>
      <c r="D196">
        <v>1087.82</v>
      </c>
      <c r="E196">
        <v>1086.19</v>
      </c>
      <c r="F196">
        <v>1084.56</v>
      </c>
      <c r="G196">
        <v>1082.93</v>
      </c>
      <c r="H196">
        <v>1081.3</v>
      </c>
      <c r="I196">
        <v>1079.67</v>
      </c>
      <c r="J196">
        <v>1078.05</v>
      </c>
      <c r="K196">
        <v>1076.42</v>
      </c>
      <c r="L196">
        <v>1074.8</v>
      </c>
    </row>
    <row r="197" spans="1:12" x14ac:dyDescent="0.15">
      <c r="A197">
        <v>960</v>
      </c>
      <c r="B197">
        <v>1099.4000000000001</v>
      </c>
      <c r="C197">
        <v>1097.76</v>
      </c>
      <c r="D197">
        <v>1096.1300000000001</v>
      </c>
      <c r="E197">
        <v>1094.49</v>
      </c>
      <c r="F197">
        <v>1092.8599999999999</v>
      </c>
      <c r="G197">
        <v>1091.23</v>
      </c>
      <c r="H197">
        <v>1089.5999999999999</v>
      </c>
      <c r="I197">
        <v>1087.97</v>
      </c>
      <c r="J197">
        <v>1086.3399999999999</v>
      </c>
      <c r="K197">
        <v>1084.71</v>
      </c>
      <c r="L197">
        <v>1083.08</v>
      </c>
    </row>
    <row r="198" spans="1:12" x14ac:dyDescent="0.15">
      <c r="A198">
        <v>965</v>
      </c>
      <c r="B198">
        <v>1107.72</v>
      </c>
      <c r="C198">
        <v>1106.08</v>
      </c>
      <c r="D198">
        <v>1104.44</v>
      </c>
      <c r="E198">
        <v>1102.8</v>
      </c>
      <c r="F198">
        <v>1101.17</v>
      </c>
      <c r="G198">
        <v>1099.53</v>
      </c>
      <c r="H198">
        <v>1097.9000000000001</v>
      </c>
      <c r="I198">
        <v>1096.27</v>
      </c>
      <c r="J198">
        <v>1094.6400000000001</v>
      </c>
      <c r="K198">
        <v>1093.01</v>
      </c>
      <c r="L198">
        <v>1091.3800000000001</v>
      </c>
    </row>
    <row r="199" spans="1:12" x14ac:dyDescent="0.15">
      <c r="A199">
        <v>970</v>
      </c>
      <c r="B199">
        <v>1116.04</v>
      </c>
      <c r="C199">
        <v>1114.4000000000001</v>
      </c>
      <c r="D199">
        <v>1112.76</v>
      </c>
      <c r="E199">
        <v>1111.1199999999999</v>
      </c>
      <c r="F199">
        <v>1109.48</v>
      </c>
      <c r="G199">
        <v>1107.8499999999999</v>
      </c>
      <c r="H199">
        <v>1106.21</v>
      </c>
      <c r="I199">
        <v>1104.58</v>
      </c>
      <c r="J199">
        <v>1102.94</v>
      </c>
      <c r="K199">
        <v>1101.31</v>
      </c>
      <c r="L199">
        <v>1099.68</v>
      </c>
    </row>
    <row r="200" spans="1:12" x14ac:dyDescent="0.15">
      <c r="A200">
        <v>975</v>
      </c>
      <c r="B200">
        <v>1124.3699999999999</v>
      </c>
      <c r="C200">
        <v>1122.73</v>
      </c>
      <c r="D200">
        <v>1121.0899999999999</v>
      </c>
      <c r="E200">
        <v>1119.45</v>
      </c>
      <c r="F200">
        <v>1117.81</v>
      </c>
      <c r="G200">
        <v>1116.17</v>
      </c>
      <c r="H200">
        <v>1114.53</v>
      </c>
      <c r="I200">
        <v>1112.8900000000001</v>
      </c>
      <c r="J200">
        <v>1111.26</v>
      </c>
      <c r="K200">
        <v>1109.6199999999999</v>
      </c>
      <c r="L200">
        <v>1107.99</v>
      </c>
    </row>
    <row r="201" spans="1:12" x14ac:dyDescent="0.15">
      <c r="A201">
        <v>980</v>
      </c>
      <c r="B201">
        <v>1132.71</v>
      </c>
      <c r="C201">
        <v>1131.07</v>
      </c>
      <c r="D201">
        <v>1129.42</v>
      </c>
      <c r="E201">
        <v>1127.78</v>
      </c>
      <c r="F201">
        <v>1126.1400000000001</v>
      </c>
      <c r="G201">
        <v>1124.5</v>
      </c>
      <c r="H201">
        <v>1122.8599999999999</v>
      </c>
      <c r="I201">
        <v>1121.22</v>
      </c>
      <c r="J201">
        <v>1119.58</v>
      </c>
      <c r="K201">
        <v>1117.94</v>
      </c>
      <c r="L201">
        <v>1116.3</v>
      </c>
    </row>
    <row r="202" spans="1:12" x14ac:dyDescent="0.15">
      <c r="A202">
        <v>985</v>
      </c>
      <c r="B202">
        <v>1141.06</v>
      </c>
      <c r="C202">
        <v>1139.4100000000001</v>
      </c>
      <c r="D202">
        <v>1137.77</v>
      </c>
      <c r="E202">
        <v>1136.1199999999999</v>
      </c>
      <c r="F202">
        <v>1134.48</v>
      </c>
      <c r="G202">
        <v>1132.83</v>
      </c>
      <c r="H202">
        <v>1131.19</v>
      </c>
      <c r="I202">
        <v>1129.55</v>
      </c>
      <c r="J202">
        <v>1127.9100000000001</v>
      </c>
      <c r="K202">
        <v>1126.27</v>
      </c>
      <c r="L202">
        <v>1124.6300000000001</v>
      </c>
    </row>
    <row r="203" spans="1:12" x14ac:dyDescent="0.15">
      <c r="A203">
        <v>990</v>
      </c>
      <c r="B203">
        <v>1149.4100000000001</v>
      </c>
      <c r="C203">
        <v>1147.77</v>
      </c>
      <c r="D203">
        <v>1146.1199999999999</v>
      </c>
      <c r="E203">
        <v>1144.47</v>
      </c>
      <c r="F203">
        <v>1142.82</v>
      </c>
      <c r="G203">
        <v>1141.18</v>
      </c>
      <c r="H203">
        <v>1139.53</v>
      </c>
      <c r="I203">
        <v>1137.8900000000001</v>
      </c>
      <c r="J203">
        <v>1136.24</v>
      </c>
      <c r="K203">
        <v>1134.5999999999999</v>
      </c>
      <c r="L203">
        <v>1132.96</v>
      </c>
    </row>
    <row r="204" spans="1:12" x14ac:dyDescent="0.15">
      <c r="A204">
        <v>995</v>
      </c>
      <c r="B204">
        <v>1157.78</v>
      </c>
      <c r="C204">
        <v>1156.1300000000001</v>
      </c>
      <c r="D204">
        <v>1154.47</v>
      </c>
      <c r="E204">
        <v>1152.82</v>
      </c>
      <c r="F204">
        <v>1151.18</v>
      </c>
      <c r="G204">
        <v>1149.53</v>
      </c>
      <c r="H204">
        <v>1147.8800000000001</v>
      </c>
      <c r="I204">
        <v>1146.23</v>
      </c>
      <c r="J204">
        <v>1144.5899999999999</v>
      </c>
      <c r="K204">
        <v>1142.94</v>
      </c>
      <c r="L204">
        <v>1141.3</v>
      </c>
    </row>
    <row r="205" spans="1:12" x14ac:dyDescent="0.15">
      <c r="A205">
        <v>1000</v>
      </c>
      <c r="B205">
        <v>1166.1500000000001</v>
      </c>
      <c r="C205">
        <v>1164.49</v>
      </c>
      <c r="D205">
        <v>1162.8399999999999</v>
      </c>
      <c r="E205">
        <v>1161.19</v>
      </c>
      <c r="F205">
        <v>1159.54</v>
      </c>
      <c r="G205">
        <v>1157.8900000000001</v>
      </c>
      <c r="H205">
        <v>1156.24</v>
      </c>
      <c r="I205">
        <v>1154.5899999999999</v>
      </c>
      <c r="J205">
        <v>1152.94</v>
      </c>
      <c r="K205">
        <v>1151.29</v>
      </c>
      <c r="L205">
        <v>1149.6500000000001</v>
      </c>
    </row>
    <row r="206" spans="1:12" x14ac:dyDescent="0.15">
      <c r="A206">
        <v>1005</v>
      </c>
      <c r="B206">
        <v>1174.52</v>
      </c>
      <c r="C206">
        <v>1172.8699999999999</v>
      </c>
      <c r="D206">
        <v>1171.21</v>
      </c>
      <c r="E206">
        <v>1169.56</v>
      </c>
      <c r="F206">
        <v>1167.9000000000001</v>
      </c>
      <c r="G206">
        <v>1166.25</v>
      </c>
      <c r="H206">
        <v>1164.5999999999999</v>
      </c>
      <c r="I206">
        <v>1162.95</v>
      </c>
      <c r="J206">
        <v>1161.3</v>
      </c>
      <c r="K206">
        <v>1159.6500000000001</v>
      </c>
      <c r="L206">
        <v>1158</v>
      </c>
    </row>
    <row r="207" spans="1:12" x14ac:dyDescent="0.15">
      <c r="A207">
        <v>1010</v>
      </c>
      <c r="B207">
        <v>1182.9000000000001</v>
      </c>
      <c r="C207">
        <v>1181.25</v>
      </c>
      <c r="D207">
        <v>1179.5899999999999</v>
      </c>
      <c r="E207">
        <v>1177.93</v>
      </c>
      <c r="F207">
        <v>1176.28</v>
      </c>
      <c r="G207">
        <v>1174.6199999999999</v>
      </c>
      <c r="H207">
        <v>1172.97</v>
      </c>
      <c r="I207">
        <v>1171.32</v>
      </c>
      <c r="J207">
        <v>1169.6600000000001</v>
      </c>
      <c r="K207">
        <v>1168.01</v>
      </c>
      <c r="L207">
        <v>1166.3599999999999</v>
      </c>
    </row>
    <row r="208" spans="1:12" x14ac:dyDescent="0.15">
      <c r="A208">
        <v>1015</v>
      </c>
      <c r="B208">
        <v>1191.29</v>
      </c>
      <c r="C208">
        <v>1189.6300000000001</v>
      </c>
      <c r="D208">
        <v>1187.97</v>
      </c>
      <c r="E208">
        <v>1186.32</v>
      </c>
      <c r="F208">
        <v>1184.6600000000001</v>
      </c>
      <c r="G208">
        <v>1183</v>
      </c>
      <c r="H208">
        <v>1181.3499999999999</v>
      </c>
      <c r="I208">
        <v>1179.69</v>
      </c>
      <c r="J208">
        <v>1178.04</v>
      </c>
      <c r="K208">
        <v>1176.3800000000001</v>
      </c>
      <c r="L208">
        <v>1174.73</v>
      </c>
    </row>
    <row r="209" spans="1:12" x14ac:dyDescent="0.15">
      <c r="A209">
        <v>1020</v>
      </c>
      <c r="B209">
        <v>1199.69</v>
      </c>
      <c r="C209">
        <v>1198.03</v>
      </c>
      <c r="D209">
        <v>1196.3599999999999</v>
      </c>
      <c r="E209">
        <v>1194.7</v>
      </c>
      <c r="F209">
        <v>1193.05</v>
      </c>
      <c r="G209">
        <v>1191.3900000000001</v>
      </c>
      <c r="H209">
        <v>1189.73</v>
      </c>
      <c r="I209">
        <v>1188.07</v>
      </c>
      <c r="J209">
        <v>1186.42</v>
      </c>
      <c r="K209">
        <v>1184.76</v>
      </c>
      <c r="L209">
        <v>1183.1099999999999</v>
      </c>
    </row>
    <row r="210" spans="1:12" x14ac:dyDescent="0.15">
      <c r="A210">
        <v>1025</v>
      </c>
      <c r="B210">
        <v>1208.0899999999999</v>
      </c>
      <c r="C210">
        <v>1206.43</v>
      </c>
      <c r="D210">
        <v>1204.76</v>
      </c>
      <c r="E210">
        <v>1203.0999999999999</v>
      </c>
      <c r="F210">
        <v>1201.44</v>
      </c>
      <c r="G210">
        <v>1199.78</v>
      </c>
      <c r="H210">
        <v>1198.1199999999999</v>
      </c>
      <c r="I210">
        <v>1196.46</v>
      </c>
      <c r="J210">
        <v>1194.8</v>
      </c>
      <c r="K210">
        <v>1193.1400000000001</v>
      </c>
      <c r="L210">
        <v>1191.49</v>
      </c>
    </row>
    <row r="211" spans="1:12" x14ac:dyDescent="0.15">
      <c r="A211">
        <v>1030</v>
      </c>
      <c r="B211">
        <v>1216.46</v>
      </c>
      <c r="C211">
        <v>1214.82</v>
      </c>
      <c r="D211">
        <v>1213.17</v>
      </c>
      <c r="E211">
        <v>1211.5</v>
      </c>
      <c r="F211">
        <v>1209.8399999999999</v>
      </c>
      <c r="G211">
        <v>1208.18</v>
      </c>
      <c r="H211">
        <v>1206.52</v>
      </c>
      <c r="I211">
        <v>1204.8599999999999</v>
      </c>
      <c r="J211">
        <v>1203.2</v>
      </c>
      <c r="K211">
        <v>1201.54</v>
      </c>
      <c r="L211">
        <v>1199.8800000000001</v>
      </c>
    </row>
    <row r="212" spans="1:12" x14ac:dyDescent="0.15">
      <c r="A212">
        <v>1035</v>
      </c>
      <c r="B212">
        <v>1224.82</v>
      </c>
      <c r="C212">
        <v>1223.18</v>
      </c>
      <c r="D212">
        <v>1221.54</v>
      </c>
      <c r="E212">
        <v>1219.9000000000001</v>
      </c>
      <c r="F212">
        <v>1218.25</v>
      </c>
      <c r="G212">
        <v>1216.58</v>
      </c>
      <c r="H212">
        <v>1214.92</v>
      </c>
      <c r="I212">
        <v>1213.26</v>
      </c>
      <c r="J212">
        <v>1211.5899999999999</v>
      </c>
      <c r="K212">
        <v>1209.93</v>
      </c>
      <c r="L212">
        <v>1208.27</v>
      </c>
    </row>
    <row r="213" spans="1:12" x14ac:dyDescent="0.15">
      <c r="A213">
        <v>1040</v>
      </c>
      <c r="B213">
        <v>1233.19</v>
      </c>
      <c r="C213">
        <v>1231.55</v>
      </c>
      <c r="D213">
        <v>1229.9100000000001</v>
      </c>
      <c r="E213">
        <v>1228.27</v>
      </c>
      <c r="F213">
        <v>1226.6300000000001</v>
      </c>
      <c r="G213">
        <v>1224.99</v>
      </c>
      <c r="H213">
        <v>1223.33</v>
      </c>
      <c r="I213">
        <v>1221.6600000000001</v>
      </c>
      <c r="J213">
        <v>1220</v>
      </c>
      <c r="K213">
        <v>1218.3399999999999</v>
      </c>
      <c r="L213">
        <v>1216.68</v>
      </c>
    </row>
    <row r="214" spans="1:12" x14ac:dyDescent="0.15">
      <c r="A214">
        <v>1045</v>
      </c>
      <c r="B214">
        <v>1241.57</v>
      </c>
      <c r="C214">
        <v>1239.93</v>
      </c>
      <c r="D214">
        <v>1238.28</v>
      </c>
      <c r="E214">
        <v>1236.6400000000001</v>
      </c>
      <c r="F214">
        <v>1235</v>
      </c>
      <c r="G214">
        <v>1233.3599999999999</v>
      </c>
      <c r="H214">
        <v>1231.72</v>
      </c>
      <c r="I214">
        <v>1230.08</v>
      </c>
      <c r="J214">
        <v>1228.4100000000001</v>
      </c>
      <c r="K214">
        <v>1226.75</v>
      </c>
      <c r="L214">
        <v>1225.08</v>
      </c>
    </row>
    <row r="215" spans="1:12" x14ac:dyDescent="0.15">
      <c r="A215">
        <v>1050</v>
      </c>
      <c r="B215">
        <v>1249.95</v>
      </c>
      <c r="C215">
        <v>1248.31</v>
      </c>
      <c r="D215">
        <v>1246.6600000000001</v>
      </c>
      <c r="E215">
        <v>1245.02</v>
      </c>
      <c r="F215">
        <v>1243.3800000000001</v>
      </c>
      <c r="G215">
        <v>1241.73</v>
      </c>
      <c r="H215">
        <v>1240.0899999999999</v>
      </c>
      <c r="I215">
        <v>1238.45</v>
      </c>
      <c r="J215">
        <v>1236.81</v>
      </c>
      <c r="K215">
        <v>1235.1600000000001</v>
      </c>
      <c r="L215">
        <v>1233.5</v>
      </c>
    </row>
    <row r="216" spans="1:12" x14ac:dyDescent="0.15">
      <c r="A216">
        <v>1055</v>
      </c>
      <c r="B216">
        <v>1258.3399999999999</v>
      </c>
      <c r="C216">
        <v>1256.69</v>
      </c>
      <c r="D216">
        <v>1255.04</v>
      </c>
      <c r="E216">
        <v>1253.4000000000001</v>
      </c>
      <c r="F216">
        <v>1251.76</v>
      </c>
      <c r="G216">
        <v>1250.1099999999999</v>
      </c>
      <c r="H216">
        <v>1248.47</v>
      </c>
      <c r="I216">
        <v>1246.83</v>
      </c>
      <c r="J216">
        <v>1245.19</v>
      </c>
      <c r="K216">
        <v>1243.54</v>
      </c>
      <c r="L216">
        <v>1241.9000000000001</v>
      </c>
    </row>
    <row r="217" spans="1:12" x14ac:dyDescent="0.15">
      <c r="A217">
        <v>1060</v>
      </c>
      <c r="B217">
        <v>1266.73</v>
      </c>
      <c r="C217">
        <v>1265.08</v>
      </c>
      <c r="D217">
        <v>1263.43</v>
      </c>
      <c r="E217">
        <v>1261.79</v>
      </c>
      <c r="F217">
        <v>1260.1400000000001</v>
      </c>
      <c r="G217">
        <v>1258.5</v>
      </c>
      <c r="H217">
        <v>1256.8499999999999</v>
      </c>
      <c r="I217">
        <v>1255.21</v>
      </c>
      <c r="J217">
        <v>1253.57</v>
      </c>
      <c r="K217">
        <v>1251.92</v>
      </c>
      <c r="L217">
        <v>1250.28</v>
      </c>
    </row>
    <row r="218" spans="1:12" x14ac:dyDescent="0.15">
      <c r="A218">
        <v>1065</v>
      </c>
      <c r="B218">
        <v>1275.1199999999999</v>
      </c>
      <c r="C218">
        <v>1273.47</v>
      </c>
      <c r="D218">
        <v>1271.83</v>
      </c>
      <c r="E218">
        <v>1270.18</v>
      </c>
      <c r="F218">
        <v>1268.53</v>
      </c>
      <c r="G218">
        <v>1266.8900000000001</v>
      </c>
      <c r="H218">
        <v>1265.24</v>
      </c>
      <c r="I218">
        <v>1263.5999999999999</v>
      </c>
      <c r="J218">
        <v>1261.95</v>
      </c>
      <c r="K218">
        <v>1260.31</v>
      </c>
      <c r="L218">
        <v>1258.6600000000001</v>
      </c>
    </row>
    <row r="219" spans="1:12" x14ac:dyDescent="0.15">
      <c r="A219">
        <v>1070</v>
      </c>
      <c r="B219">
        <v>1283.52</v>
      </c>
      <c r="C219">
        <v>1281.8699999999999</v>
      </c>
      <c r="D219">
        <v>1280.22</v>
      </c>
      <c r="E219">
        <v>1278.58</v>
      </c>
      <c r="F219">
        <v>1276.93</v>
      </c>
      <c r="G219">
        <v>1275.28</v>
      </c>
      <c r="H219">
        <v>1273.6400000000001</v>
      </c>
      <c r="I219">
        <v>1271.99</v>
      </c>
      <c r="J219">
        <v>1270.3399999999999</v>
      </c>
      <c r="K219">
        <v>1268.7</v>
      </c>
      <c r="L219">
        <v>1267.05</v>
      </c>
    </row>
    <row r="220" spans="1:12" x14ac:dyDescent="0.15">
      <c r="A220">
        <v>1075</v>
      </c>
      <c r="B220">
        <v>1291.93</v>
      </c>
      <c r="C220">
        <v>1290.28</v>
      </c>
      <c r="D220">
        <v>1288.6300000000001</v>
      </c>
      <c r="E220">
        <v>1286.98</v>
      </c>
      <c r="F220">
        <v>1285.33</v>
      </c>
      <c r="G220">
        <v>1283.68</v>
      </c>
      <c r="H220">
        <v>1282.03</v>
      </c>
      <c r="I220">
        <v>1280.3900000000001</v>
      </c>
      <c r="J220">
        <v>1278.74</v>
      </c>
      <c r="K220">
        <v>1277.0899999999999</v>
      </c>
      <c r="L220">
        <v>1275.45</v>
      </c>
    </row>
    <row r="221" spans="1:12" x14ac:dyDescent="0.15">
      <c r="A221">
        <v>1080</v>
      </c>
      <c r="B221">
        <v>1300.3399999999999</v>
      </c>
      <c r="C221">
        <v>1298.68</v>
      </c>
      <c r="D221">
        <v>1297.03</v>
      </c>
      <c r="E221">
        <v>1295.3800000000001</v>
      </c>
      <c r="F221">
        <v>1293.74</v>
      </c>
      <c r="G221">
        <v>1292.0899999999999</v>
      </c>
      <c r="H221">
        <v>1290.44</v>
      </c>
      <c r="I221">
        <v>1288.79</v>
      </c>
      <c r="J221">
        <v>1287.1400000000001</v>
      </c>
      <c r="K221">
        <v>1285.49</v>
      </c>
      <c r="L221">
        <v>1283.8399999999999</v>
      </c>
    </row>
    <row r="222" spans="1:12" x14ac:dyDescent="0.15">
      <c r="A222">
        <v>1085</v>
      </c>
      <c r="B222">
        <v>1308.75</v>
      </c>
      <c r="C222">
        <v>1307.0999999999999</v>
      </c>
      <c r="D222">
        <v>1305.45</v>
      </c>
      <c r="E222">
        <v>1303.8</v>
      </c>
      <c r="F222">
        <v>1302.1400000000001</v>
      </c>
      <c r="G222">
        <v>1300.49</v>
      </c>
      <c r="H222">
        <v>1298.8399999999999</v>
      </c>
      <c r="I222">
        <v>1297.19</v>
      </c>
      <c r="J222">
        <v>1295.55</v>
      </c>
      <c r="K222">
        <v>1293.9000000000001</v>
      </c>
      <c r="L222">
        <v>1292.25</v>
      </c>
    </row>
    <row r="223" spans="1:12" x14ac:dyDescent="0.15">
      <c r="A223">
        <v>1090</v>
      </c>
      <c r="B223">
        <v>1317.17</v>
      </c>
      <c r="C223">
        <v>1315.51</v>
      </c>
      <c r="D223">
        <v>1313.86</v>
      </c>
      <c r="E223">
        <v>1312.21</v>
      </c>
      <c r="F223">
        <v>1310.56</v>
      </c>
      <c r="G223">
        <v>1308.9100000000001</v>
      </c>
      <c r="H223">
        <v>1307.26</v>
      </c>
      <c r="I223">
        <v>1305.6099999999999</v>
      </c>
      <c r="J223">
        <v>1303.96</v>
      </c>
      <c r="K223">
        <v>1302.31</v>
      </c>
      <c r="L223">
        <v>1300.6600000000001</v>
      </c>
    </row>
    <row r="224" spans="1:12" x14ac:dyDescent="0.15">
      <c r="A224">
        <v>1095</v>
      </c>
      <c r="B224">
        <v>1325.59</v>
      </c>
      <c r="C224">
        <v>1323.94</v>
      </c>
      <c r="D224">
        <v>1322.28</v>
      </c>
      <c r="E224">
        <v>1320.63</v>
      </c>
      <c r="F224">
        <v>1318.98</v>
      </c>
      <c r="G224">
        <v>1317.32</v>
      </c>
      <c r="H224">
        <v>1315.67</v>
      </c>
      <c r="I224">
        <v>1314.02</v>
      </c>
      <c r="J224">
        <v>1312.37</v>
      </c>
      <c r="K224">
        <v>1310.72</v>
      </c>
      <c r="L224">
        <v>1309.07</v>
      </c>
    </row>
    <row r="225" spans="1:12" x14ac:dyDescent="0.15">
      <c r="A225">
        <v>1100</v>
      </c>
      <c r="B225">
        <v>1334.02</v>
      </c>
      <c r="C225">
        <v>1332.36</v>
      </c>
      <c r="D225">
        <v>1330.71</v>
      </c>
      <c r="E225">
        <v>1329.05</v>
      </c>
      <c r="F225">
        <v>1327.4</v>
      </c>
      <c r="G225">
        <v>1325.75</v>
      </c>
      <c r="H225">
        <v>1324.09</v>
      </c>
      <c r="I225">
        <v>1322.44</v>
      </c>
      <c r="J225">
        <v>1320.79</v>
      </c>
      <c r="K225">
        <v>1319.14</v>
      </c>
      <c r="L225">
        <v>1317.49</v>
      </c>
    </row>
    <row r="226" spans="1:12" x14ac:dyDescent="0.15">
      <c r="A226">
        <v>1105</v>
      </c>
      <c r="B226">
        <v>1342.45</v>
      </c>
      <c r="C226">
        <v>1340.79</v>
      </c>
      <c r="D226">
        <v>1339.14</v>
      </c>
      <c r="E226">
        <v>1337.48</v>
      </c>
      <c r="F226">
        <v>1335.83</v>
      </c>
      <c r="G226">
        <v>1334.17</v>
      </c>
      <c r="H226">
        <v>1332.52</v>
      </c>
      <c r="I226">
        <v>1330.86</v>
      </c>
      <c r="J226">
        <v>1329.21</v>
      </c>
      <c r="K226">
        <v>1327.56</v>
      </c>
      <c r="L226">
        <v>1325.91</v>
      </c>
    </row>
    <row r="227" spans="1:12" x14ac:dyDescent="0.15">
      <c r="A227">
        <v>1110</v>
      </c>
      <c r="B227">
        <v>1350.88</v>
      </c>
      <c r="C227">
        <v>1349.22</v>
      </c>
      <c r="D227">
        <v>1347.57</v>
      </c>
      <c r="E227">
        <v>1345.91</v>
      </c>
      <c r="F227">
        <v>1344.26</v>
      </c>
      <c r="G227">
        <v>1342.6</v>
      </c>
      <c r="H227">
        <v>1340.95</v>
      </c>
      <c r="I227">
        <v>1339.29</v>
      </c>
      <c r="J227">
        <v>1337.64</v>
      </c>
      <c r="K227">
        <v>1335.99</v>
      </c>
      <c r="L227">
        <v>1334.33</v>
      </c>
    </row>
    <row r="228" spans="1:12" x14ac:dyDescent="0.15">
      <c r="A228">
        <v>1115</v>
      </c>
      <c r="B228">
        <v>1359.32</v>
      </c>
      <c r="C228">
        <v>1357.66</v>
      </c>
      <c r="D228">
        <v>1356</v>
      </c>
      <c r="E228">
        <v>1354.35</v>
      </c>
      <c r="F228">
        <v>1352.69</v>
      </c>
      <c r="G228">
        <v>1351.04</v>
      </c>
      <c r="H228">
        <v>1349.38</v>
      </c>
      <c r="I228">
        <v>1347.73</v>
      </c>
      <c r="J228">
        <v>1346.07</v>
      </c>
      <c r="K228">
        <v>1344.42</v>
      </c>
      <c r="L228">
        <v>1342.76</v>
      </c>
    </row>
    <row r="229" spans="1:12" x14ac:dyDescent="0.15">
      <c r="A229">
        <v>1120</v>
      </c>
      <c r="B229">
        <v>1367.76</v>
      </c>
      <c r="C229">
        <v>1366.1</v>
      </c>
      <c r="D229">
        <v>1364.44</v>
      </c>
      <c r="E229">
        <v>1362.79</v>
      </c>
      <c r="F229">
        <v>1361.13</v>
      </c>
      <c r="G229">
        <v>1359.47</v>
      </c>
      <c r="H229">
        <v>1357.82</v>
      </c>
      <c r="I229">
        <v>1356.16</v>
      </c>
      <c r="J229">
        <v>1354.51</v>
      </c>
      <c r="K229">
        <v>1352.85</v>
      </c>
      <c r="L229">
        <v>1351.19</v>
      </c>
    </row>
    <row r="230" spans="1:12" x14ac:dyDescent="0.15">
      <c r="A230">
        <v>1125</v>
      </c>
      <c r="B230">
        <v>1376.2</v>
      </c>
      <c r="C230">
        <v>1374.54</v>
      </c>
      <c r="D230">
        <v>1372.89</v>
      </c>
      <c r="E230">
        <v>1371.23</v>
      </c>
      <c r="F230">
        <v>1369.57</v>
      </c>
      <c r="G230">
        <v>1367.91</v>
      </c>
      <c r="H230">
        <v>1366.26</v>
      </c>
      <c r="I230">
        <v>1364.6</v>
      </c>
      <c r="J230">
        <v>1362.94</v>
      </c>
      <c r="K230">
        <v>1361.29</v>
      </c>
      <c r="L230">
        <v>1359.63</v>
      </c>
    </row>
    <row r="231" spans="1:12" x14ac:dyDescent="0.15">
      <c r="A231">
        <v>1130</v>
      </c>
      <c r="B231">
        <v>1384.65</v>
      </c>
      <c r="C231">
        <v>1382.99</v>
      </c>
      <c r="D231">
        <v>1381.33</v>
      </c>
      <c r="E231">
        <v>1379.68</v>
      </c>
      <c r="F231">
        <v>1378.02</v>
      </c>
      <c r="G231">
        <v>1376.36</v>
      </c>
      <c r="H231">
        <v>1374.7</v>
      </c>
      <c r="I231">
        <v>1373.04</v>
      </c>
      <c r="J231">
        <v>1371.39</v>
      </c>
      <c r="K231">
        <v>1369.73</v>
      </c>
      <c r="L231">
        <v>1368.07</v>
      </c>
    </row>
    <row r="232" spans="1:12" x14ac:dyDescent="0.15">
      <c r="A232">
        <v>1135</v>
      </c>
      <c r="B232">
        <v>1393.1</v>
      </c>
      <c r="C232">
        <v>1391.44</v>
      </c>
      <c r="D232">
        <v>1389.78</v>
      </c>
      <c r="E232">
        <v>1388.13</v>
      </c>
      <c r="F232">
        <v>1386.47</v>
      </c>
      <c r="G232">
        <v>1384.81</v>
      </c>
      <c r="H232">
        <v>1383.15</v>
      </c>
      <c r="I232">
        <v>1381.49</v>
      </c>
      <c r="J232">
        <v>1379.83</v>
      </c>
      <c r="K232">
        <v>1378.18</v>
      </c>
      <c r="L232">
        <v>1376.52</v>
      </c>
    </row>
    <row r="233" spans="1:12" x14ac:dyDescent="0.15">
      <c r="A233">
        <v>1140</v>
      </c>
      <c r="B233">
        <v>1401.56</v>
      </c>
      <c r="C233">
        <v>1399.9</v>
      </c>
      <c r="D233">
        <v>1398.24</v>
      </c>
      <c r="E233">
        <v>1396.58</v>
      </c>
      <c r="F233">
        <v>1394.92</v>
      </c>
      <c r="G233">
        <v>1393.26</v>
      </c>
      <c r="H233">
        <v>1391.6</v>
      </c>
      <c r="I233">
        <v>1389.94</v>
      </c>
      <c r="J233">
        <v>1388.28</v>
      </c>
      <c r="K233">
        <v>1386.63</v>
      </c>
      <c r="L233">
        <v>1384.97</v>
      </c>
    </row>
    <row r="234" spans="1:12" x14ac:dyDescent="0.15">
      <c r="A234">
        <v>1145</v>
      </c>
      <c r="B234">
        <v>1410.01</v>
      </c>
      <c r="C234">
        <v>1408.35</v>
      </c>
      <c r="D234">
        <v>1406.69</v>
      </c>
      <c r="E234">
        <v>1405.03</v>
      </c>
      <c r="F234">
        <v>1403.38</v>
      </c>
      <c r="G234">
        <v>1401.72</v>
      </c>
      <c r="H234">
        <v>1400.06</v>
      </c>
      <c r="I234">
        <v>1398.4</v>
      </c>
      <c r="J234">
        <v>1396.74</v>
      </c>
      <c r="K234">
        <v>1395.08</v>
      </c>
      <c r="L234">
        <v>1393.42</v>
      </c>
    </row>
    <row r="235" spans="1:12" x14ac:dyDescent="0.15">
      <c r="A235">
        <v>1150</v>
      </c>
      <c r="B235">
        <v>1418.53</v>
      </c>
      <c r="C235">
        <v>1416.82</v>
      </c>
      <c r="D235">
        <v>1415.15</v>
      </c>
      <c r="E235">
        <v>1413.49</v>
      </c>
      <c r="F235">
        <v>1411.83</v>
      </c>
      <c r="G235">
        <v>1410.17</v>
      </c>
      <c r="H235">
        <v>1408.51</v>
      </c>
      <c r="I235">
        <v>1406.85</v>
      </c>
      <c r="J235">
        <v>1405.19</v>
      </c>
      <c r="K235">
        <v>1403.53</v>
      </c>
      <c r="L235">
        <v>1401.88</v>
      </c>
    </row>
    <row r="236" spans="1:12" x14ac:dyDescent="0.15">
      <c r="A236">
        <v>1155</v>
      </c>
      <c r="B236">
        <v>1427.06</v>
      </c>
      <c r="C236">
        <v>1425.36</v>
      </c>
      <c r="D236">
        <v>1423.66</v>
      </c>
      <c r="E236">
        <v>1421.96</v>
      </c>
      <c r="F236">
        <v>1420.3</v>
      </c>
      <c r="G236">
        <v>1418.64</v>
      </c>
      <c r="H236">
        <v>1416.98</v>
      </c>
      <c r="I236">
        <v>1415.31</v>
      </c>
      <c r="J236">
        <v>1413.65</v>
      </c>
      <c r="K236">
        <v>1411.99</v>
      </c>
      <c r="L236">
        <v>1410.33</v>
      </c>
    </row>
    <row r="237" spans="1:12" x14ac:dyDescent="0.15">
      <c r="A237">
        <v>1160</v>
      </c>
      <c r="B237">
        <v>1435.58</v>
      </c>
      <c r="C237">
        <v>1433.89</v>
      </c>
      <c r="D237">
        <v>1432.2</v>
      </c>
      <c r="E237">
        <v>1430.5</v>
      </c>
      <c r="F237">
        <v>1428.8</v>
      </c>
      <c r="G237">
        <v>1427.1</v>
      </c>
      <c r="H237">
        <v>1425.44</v>
      </c>
      <c r="I237">
        <v>1423.78</v>
      </c>
      <c r="J237">
        <v>1422.12</v>
      </c>
      <c r="K237">
        <v>1420.46</v>
      </c>
      <c r="L237">
        <v>1418.8</v>
      </c>
    </row>
    <row r="238" spans="1:12" x14ac:dyDescent="0.15">
      <c r="A238">
        <v>1165</v>
      </c>
      <c r="B238">
        <v>1444.11</v>
      </c>
      <c r="C238">
        <v>1442.42</v>
      </c>
      <c r="D238">
        <v>1440.73</v>
      </c>
      <c r="E238">
        <v>1439.03</v>
      </c>
      <c r="F238">
        <v>1437.33</v>
      </c>
      <c r="G238">
        <v>1435.64</v>
      </c>
      <c r="H238">
        <v>1433.94</v>
      </c>
      <c r="I238">
        <v>1432.25</v>
      </c>
      <c r="J238">
        <v>1430.58</v>
      </c>
      <c r="K238">
        <v>1428.92</v>
      </c>
      <c r="L238">
        <v>1427.26</v>
      </c>
    </row>
    <row r="239" spans="1:12" x14ac:dyDescent="0.15">
      <c r="A239">
        <v>1170</v>
      </c>
      <c r="B239">
        <v>1452.63</v>
      </c>
      <c r="C239">
        <v>1450.94</v>
      </c>
      <c r="D239">
        <v>1449.25</v>
      </c>
      <c r="E239">
        <v>1447.56</v>
      </c>
      <c r="F239">
        <v>1445.87</v>
      </c>
      <c r="G239">
        <v>1444.17</v>
      </c>
      <c r="H239">
        <v>1442.48</v>
      </c>
      <c r="I239">
        <v>1440.78</v>
      </c>
      <c r="J239">
        <v>1439.07</v>
      </c>
      <c r="K239">
        <v>1437.39</v>
      </c>
      <c r="L239">
        <v>1435.73</v>
      </c>
    </row>
    <row r="240" spans="1:12" x14ac:dyDescent="0.15">
      <c r="A240">
        <v>1175</v>
      </c>
      <c r="B240">
        <v>1461.14</v>
      </c>
      <c r="C240">
        <v>1459.46</v>
      </c>
      <c r="D240">
        <v>1457.77</v>
      </c>
      <c r="E240">
        <v>1456.08</v>
      </c>
      <c r="F240">
        <v>1454.4</v>
      </c>
      <c r="G240">
        <v>1452.71</v>
      </c>
      <c r="H240">
        <v>1451.01</v>
      </c>
      <c r="I240">
        <v>1449.32</v>
      </c>
      <c r="J240">
        <v>1447.62</v>
      </c>
      <c r="K240">
        <v>1445.92</v>
      </c>
      <c r="L240">
        <v>1444.22</v>
      </c>
    </row>
    <row r="241" spans="1:12" x14ac:dyDescent="0.15">
      <c r="A241">
        <v>1180</v>
      </c>
      <c r="B241">
        <v>1469.64</v>
      </c>
      <c r="C241">
        <v>1467.97</v>
      </c>
      <c r="D241">
        <v>1466.29</v>
      </c>
      <c r="E241">
        <v>1464.6</v>
      </c>
      <c r="F241">
        <v>1462.92</v>
      </c>
      <c r="G241">
        <v>1461.23</v>
      </c>
      <c r="H241">
        <v>1459.54</v>
      </c>
      <c r="I241">
        <v>1457.85</v>
      </c>
      <c r="J241">
        <v>1456.16</v>
      </c>
      <c r="K241">
        <v>1454.46</v>
      </c>
      <c r="L241">
        <v>1452.76</v>
      </c>
    </row>
    <row r="242" spans="1:12" x14ac:dyDescent="0.15">
      <c r="A242">
        <v>1185</v>
      </c>
      <c r="B242">
        <v>1478.14</v>
      </c>
      <c r="C242">
        <v>1476.47</v>
      </c>
      <c r="D242">
        <v>1474.79</v>
      </c>
      <c r="E242">
        <v>1473.12</v>
      </c>
      <c r="F242">
        <v>1471.44</v>
      </c>
      <c r="G242">
        <v>1469.75</v>
      </c>
      <c r="H242">
        <v>1468.07</v>
      </c>
      <c r="I242">
        <v>1466.38</v>
      </c>
      <c r="J242">
        <v>1464.69</v>
      </c>
      <c r="K242">
        <v>1463</v>
      </c>
      <c r="L242">
        <v>1461.3</v>
      </c>
    </row>
    <row r="243" spans="1:12" x14ac:dyDescent="0.15">
      <c r="A243">
        <v>1190</v>
      </c>
      <c r="B243">
        <v>1486.63</v>
      </c>
      <c r="C243">
        <v>1484.96</v>
      </c>
      <c r="D243">
        <v>1483.3</v>
      </c>
      <c r="E243">
        <v>1481.62</v>
      </c>
      <c r="F243">
        <v>1479.95</v>
      </c>
      <c r="G243">
        <v>1478.27</v>
      </c>
      <c r="H243">
        <v>1476.59</v>
      </c>
      <c r="I243">
        <v>1474.91</v>
      </c>
      <c r="J243">
        <v>1473.22</v>
      </c>
      <c r="K243">
        <v>1471.53</v>
      </c>
      <c r="L243">
        <v>1469.84</v>
      </c>
    </row>
    <row r="244" spans="1:12" x14ac:dyDescent="0.15">
      <c r="A244">
        <v>1195</v>
      </c>
      <c r="B244">
        <v>1495.11</v>
      </c>
      <c r="C244">
        <v>1493.45</v>
      </c>
      <c r="D244">
        <v>1491.79</v>
      </c>
      <c r="E244">
        <v>1490.12</v>
      </c>
      <c r="F244">
        <v>1488.45</v>
      </c>
      <c r="G244">
        <v>1486.78</v>
      </c>
      <c r="H244">
        <v>1485.1</v>
      </c>
      <c r="I244">
        <v>1483.42</v>
      </c>
      <c r="J244">
        <v>1481.74</v>
      </c>
      <c r="K244">
        <v>1480.06</v>
      </c>
      <c r="L244">
        <v>1478.37</v>
      </c>
    </row>
    <row r="245" spans="1:12" x14ac:dyDescent="0.15">
      <c r="A245">
        <v>1200</v>
      </c>
      <c r="B245">
        <v>1503.59</v>
      </c>
      <c r="C245">
        <v>1501.93</v>
      </c>
      <c r="D245">
        <v>1500.27</v>
      </c>
      <c r="E245">
        <v>1498.61</v>
      </c>
      <c r="F245">
        <v>1496.95</v>
      </c>
      <c r="G245">
        <v>1495.28</v>
      </c>
      <c r="H245">
        <v>1493.61</v>
      </c>
      <c r="I245">
        <v>1491.93</v>
      </c>
      <c r="J245">
        <v>1490.26</v>
      </c>
      <c r="K245">
        <v>1488.58</v>
      </c>
      <c r="L245">
        <v>1486.9</v>
      </c>
    </row>
    <row r="246" spans="1:12" x14ac:dyDescent="0.15">
      <c r="A246">
        <v>1205</v>
      </c>
      <c r="B246">
        <v>1512.05</v>
      </c>
      <c r="C246">
        <v>1510.4</v>
      </c>
      <c r="D246">
        <v>1508.75</v>
      </c>
      <c r="E246">
        <v>1507.09</v>
      </c>
      <c r="F246">
        <v>1505.44</v>
      </c>
      <c r="G246">
        <v>1503.77</v>
      </c>
      <c r="H246">
        <v>1502.11</v>
      </c>
      <c r="I246">
        <v>1500.44</v>
      </c>
      <c r="J246">
        <v>1498.77</v>
      </c>
      <c r="K246">
        <v>1497.09</v>
      </c>
      <c r="L246">
        <v>1495.42</v>
      </c>
    </row>
    <row r="247" spans="1:12" x14ac:dyDescent="0.15">
      <c r="A247">
        <v>1210</v>
      </c>
      <c r="B247">
        <v>1520.51</v>
      </c>
      <c r="C247">
        <v>1518.86</v>
      </c>
      <c r="D247">
        <v>1517.21</v>
      </c>
      <c r="E247">
        <v>1515.57</v>
      </c>
      <c r="F247">
        <v>1513.91</v>
      </c>
      <c r="G247">
        <v>1512.26</v>
      </c>
      <c r="H247">
        <v>1510.6</v>
      </c>
      <c r="I247">
        <v>1508.94</v>
      </c>
      <c r="J247">
        <v>1507.27</v>
      </c>
      <c r="K247">
        <v>1505.6</v>
      </c>
      <c r="L247">
        <v>1503.93</v>
      </c>
    </row>
    <row r="248" spans="1:12" x14ac:dyDescent="0.15">
      <c r="A248">
        <v>1215</v>
      </c>
      <c r="B248">
        <v>1528.98</v>
      </c>
      <c r="C248">
        <v>1527.33</v>
      </c>
      <c r="D248">
        <v>1525.68</v>
      </c>
      <c r="E248">
        <v>1524.03</v>
      </c>
      <c r="F248">
        <v>1522.38</v>
      </c>
      <c r="G248">
        <v>1520.73</v>
      </c>
      <c r="H248">
        <v>1519.08</v>
      </c>
      <c r="I248">
        <v>1517.42</v>
      </c>
      <c r="J248">
        <v>1515.76</v>
      </c>
      <c r="K248">
        <v>1514.1</v>
      </c>
      <c r="L248">
        <v>1512.43</v>
      </c>
    </row>
    <row r="249" spans="1:12" x14ac:dyDescent="0.15">
      <c r="A249">
        <v>1220</v>
      </c>
      <c r="B249">
        <v>1537.44</v>
      </c>
      <c r="C249">
        <v>1535.8</v>
      </c>
      <c r="D249">
        <v>1534.15</v>
      </c>
      <c r="E249">
        <v>1532.5</v>
      </c>
      <c r="F249">
        <v>1530.85</v>
      </c>
      <c r="G249">
        <v>1529.19</v>
      </c>
      <c r="H249">
        <v>1527.55</v>
      </c>
      <c r="I249">
        <v>1525.9</v>
      </c>
      <c r="J249">
        <v>1524.25</v>
      </c>
      <c r="K249">
        <v>1522.59</v>
      </c>
      <c r="L249">
        <v>1520.93</v>
      </c>
    </row>
    <row r="250" spans="1:12" x14ac:dyDescent="0.15">
      <c r="A250">
        <v>1225</v>
      </c>
      <c r="B250">
        <v>1545.89</v>
      </c>
      <c r="C250">
        <v>1544.25</v>
      </c>
      <c r="D250">
        <v>1542.62</v>
      </c>
      <c r="E250">
        <v>1540.97</v>
      </c>
      <c r="F250">
        <v>1539.33</v>
      </c>
      <c r="G250">
        <v>1537.67</v>
      </c>
      <c r="H250">
        <v>1536.02</v>
      </c>
      <c r="I250">
        <v>1534.36</v>
      </c>
      <c r="J250">
        <v>1532.72</v>
      </c>
      <c r="K250">
        <v>1531.07</v>
      </c>
      <c r="L250">
        <v>1529.41</v>
      </c>
    </row>
    <row r="251" spans="1:12" x14ac:dyDescent="0.15">
      <c r="A251">
        <v>1230</v>
      </c>
      <c r="B251">
        <v>1554.31</v>
      </c>
      <c r="C251">
        <v>1552.69</v>
      </c>
      <c r="D251">
        <v>1551.06</v>
      </c>
      <c r="E251">
        <v>1549.43</v>
      </c>
      <c r="F251">
        <v>1547.79</v>
      </c>
      <c r="G251">
        <v>1546.15</v>
      </c>
      <c r="H251">
        <v>1544.5</v>
      </c>
      <c r="I251">
        <v>1542.85</v>
      </c>
      <c r="J251">
        <v>1541.19</v>
      </c>
      <c r="K251">
        <v>1539.54</v>
      </c>
      <c r="L251">
        <v>1537.89</v>
      </c>
    </row>
    <row r="252" spans="1:12" x14ac:dyDescent="0.15">
      <c r="A252">
        <v>1235</v>
      </c>
      <c r="B252">
        <v>1562.71</v>
      </c>
      <c r="C252">
        <v>1561.1</v>
      </c>
      <c r="D252">
        <v>1559.49</v>
      </c>
      <c r="E252">
        <v>1557.87</v>
      </c>
      <c r="F252">
        <v>1556.24</v>
      </c>
      <c r="G252">
        <v>1554.6</v>
      </c>
      <c r="H252">
        <v>1552.97</v>
      </c>
      <c r="I252">
        <v>1551.32</v>
      </c>
      <c r="J252">
        <v>1549.67</v>
      </c>
      <c r="K252">
        <v>1548.02</v>
      </c>
      <c r="L252">
        <v>1546.36</v>
      </c>
    </row>
    <row r="253" spans="1:12" x14ac:dyDescent="0.15">
      <c r="A253">
        <v>1240</v>
      </c>
      <c r="B253">
        <v>1571.08</v>
      </c>
      <c r="C253">
        <v>1569.49</v>
      </c>
      <c r="D253">
        <v>1567.89</v>
      </c>
      <c r="E253">
        <v>1566.29</v>
      </c>
      <c r="F253">
        <v>1564.67</v>
      </c>
      <c r="G253">
        <v>1563.05</v>
      </c>
      <c r="H253">
        <v>1561.42</v>
      </c>
      <c r="I253">
        <v>1559.78</v>
      </c>
      <c r="J253">
        <v>1558.14</v>
      </c>
      <c r="K253">
        <v>1556.5</v>
      </c>
      <c r="L253">
        <v>1554.85</v>
      </c>
    </row>
    <row r="254" spans="1:12" x14ac:dyDescent="0.15">
      <c r="A254">
        <v>1245</v>
      </c>
      <c r="B254">
        <v>1579.76</v>
      </c>
      <c r="C254">
        <v>1577.84</v>
      </c>
      <c r="D254">
        <v>1576.26</v>
      </c>
      <c r="E254">
        <v>1574.67</v>
      </c>
      <c r="F254">
        <v>1573.08</v>
      </c>
      <c r="G254">
        <v>1571.47</v>
      </c>
      <c r="H254">
        <v>1569.85</v>
      </c>
      <c r="I254">
        <v>1568.23</v>
      </c>
      <c r="J254">
        <v>1566.6</v>
      </c>
      <c r="K254">
        <v>1564.96</v>
      </c>
      <c r="L254">
        <v>1563.32</v>
      </c>
    </row>
    <row r="255" spans="1:12" x14ac:dyDescent="0.15">
      <c r="A255">
        <v>1250</v>
      </c>
      <c r="B255">
        <v>1583.62</v>
      </c>
      <c r="C255">
        <v>1583.62</v>
      </c>
      <c r="D255">
        <v>1583.62</v>
      </c>
      <c r="E255">
        <v>1582.07</v>
      </c>
      <c r="F255">
        <v>1581.22</v>
      </c>
      <c r="G255">
        <v>1579.65</v>
      </c>
      <c r="H255">
        <v>1578.11</v>
      </c>
      <c r="I255">
        <v>1576.52</v>
      </c>
      <c r="J255">
        <v>1574.9</v>
      </c>
      <c r="K255">
        <v>1573.27</v>
      </c>
      <c r="L255">
        <v>1571.63</v>
      </c>
    </row>
    <row r="256" spans="1:12" x14ac:dyDescent="0.15">
      <c r="A256">
        <v>1255</v>
      </c>
      <c r="B256">
        <v>1583.62</v>
      </c>
      <c r="C256">
        <v>1583.62</v>
      </c>
      <c r="D256">
        <v>1583.62</v>
      </c>
      <c r="E256">
        <v>1583.62</v>
      </c>
      <c r="F256">
        <v>1583.62</v>
      </c>
      <c r="G256">
        <v>1583.03</v>
      </c>
      <c r="H256">
        <v>1582.52</v>
      </c>
      <c r="I256">
        <v>1579.64</v>
      </c>
      <c r="J256">
        <v>1578.37</v>
      </c>
      <c r="K256">
        <v>1578.38</v>
      </c>
      <c r="L256">
        <v>1577.74</v>
      </c>
    </row>
    <row r="257" spans="1:12" x14ac:dyDescent="0.15">
      <c r="A257">
        <v>1260</v>
      </c>
      <c r="B257">
        <v>1583.62</v>
      </c>
      <c r="C257">
        <v>1583.62</v>
      </c>
      <c r="D257">
        <v>1583.62</v>
      </c>
      <c r="E257">
        <v>1583.62</v>
      </c>
      <c r="F257">
        <v>1583.62</v>
      </c>
      <c r="G257">
        <v>1583.62</v>
      </c>
      <c r="H257">
        <v>1583.62</v>
      </c>
      <c r="I257">
        <v>1583.21</v>
      </c>
      <c r="J257">
        <v>1582.82</v>
      </c>
      <c r="K257">
        <v>1582.27</v>
      </c>
      <c r="L257">
        <v>1581.31</v>
      </c>
    </row>
    <row r="258" spans="1:12" x14ac:dyDescent="0.15">
      <c r="A258">
        <v>1265</v>
      </c>
      <c r="B258">
        <v>1583.62</v>
      </c>
      <c r="C258">
        <v>1583.62</v>
      </c>
      <c r="D258">
        <v>1583.62</v>
      </c>
      <c r="E258">
        <v>1583.62</v>
      </c>
      <c r="F258">
        <v>1583.62</v>
      </c>
      <c r="G258">
        <v>1583.62</v>
      </c>
      <c r="H258">
        <v>1583.62</v>
      </c>
      <c r="I258">
        <v>1583.62</v>
      </c>
      <c r="J258">
        <v>1583.62</v>
      </c>
      <c r="K258">
        <v>1583.23</v>
      </c>
      <c r="L258">
        <v>1582.94</v>
      </c>
    </row>
    <row r="259" spans="1:12" x14ac:dyDescent="0.15">
      <c r="A259">
        <v>1270</v>
      </c>
      <c r="B259">
        <v>1583.62</v>
      </c>
      <c r="C259">
        <v>1583.62</v>
      </c>
      <c r="D259">
        <v>1583.62</v>
      </c>
      <c r="E259">
        <v>1583.62</v>
      </c>
      <c r="F259">
        <v>1583.62</v>
      </c>
      <c r="G259">
        <v>1583.62</v>
      </c>
      <c r="H259">
        <v>1583.62</v>
      </c>
      <c r="I259">
        <v>1583.62</v>
      </c>
      <c r="J259">
        <v>1583.62</v>
      </c>
      <c r="K259">
        <v>1583.62</v>
      </c>
      <c r="L259">
        <v>1583.62</v>
      </c>
    </row>
    <row r="260" spans="1:12" x14ac:dyDescent="0.15">
      <c r="A260">
        <v>1275</v>
      </c>
      <c r="B260">
        <v>1583.62</v>
      </c>
      <c r="C260">
        <v>1583.62</v>
      </c>
      <c r="D260">
        <v>1583.62</v>
      </c>
      <c r="E260">
        <v>1583.62</v>
      </c>
      <c r="F260">
        <v>1583.62</v>
      </c>
      <c r="G260">
        <v>1583.62</v>
      </c>
      <c r="H260">
        <v>1583.62</v>
      </c>
      <c r="I260">
        <v>1583.62</v>
      </c>
      <c r="J260">
        <v>1583.62</v>
      </c>
      <c r="K260">
        <v>1583.62</v>
      </c>
      <c r="L260">
        <v>1583.62</v>
      </c>
    </row>
    <row r="261" spans="1:12" x14ac:dyDescent="0.15">
      <c r="A261">
        <v>2127</v>
      </c>
      <c r="B261">
        <v>1583.62</v>
      </c>
      <c r="C261">
        <v>1583.62</v>
      </c>
      <c r="D261">
        <v>1583.62</v>
      </c>
      <c r="E261">
        <v>1583.62</v>
      </c>
      <c r="F261">
        <v>1583.62</v>
      </c>
      <c r="G261">
        <v>1583.62</v>
      </c>
      <c r="H261">
        <v>1583.62</v>
      </c>
      <c r="I261">
        <v>1583.62</v>
      </c>
      <c r="J261">
        <v>1583.62</v>
      </c>
      <c r="K261">
        <v>1583.62</v>
      </c>
      <c r="L261">
        <v>1583.62</v>
      </c>
    </row>
  </sheetData>
  <mergeCells count="1">
    <mergeCell ref="R1:V1"/>
  </mergeCells>
  <phoneticPr fontId="1" type="noConversion"/>
  <hyperlinks>
    <hyperlink ref="R4" location="SOUNDING!A1" display="Back" xr:uid="{00000000-0004-0000-0900-000000000000}"/>
  </hyperlinks>
  <pageMargins left="0.75" right="0.75" top="1" bottom="1" header="0.5" footer="0.5"/>
  <pageSetup orientation="portrait" horizontalDpi="200" verticalDpi="2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theme="1" tint="0.34998626667073579"/>
  </sheetPr>
  <dimension ref="A1:W425"/>
  <sheetViews>
    <sheetView showRowColHeaders="0" workbookViewId="0">
      <pane xSplit="17" ySplit="4" topLeftCell="R404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2" width="9" style="7"/>
    <col min="13" max="13" width="9" style="10"/>
    <col min="14" max="17" width="9" style="10" hidden="1" customWidth="1"/>
    <col min="18" max="16384" width="9" style="10"/>
  </cols>
  <sheetData>
    <row r="1" spans="1:23" x14ac:dyDescent="0.15">
      <c r="A1" s="6"/>
      <c r="Q1" s="13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7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R4" s="16" t="s">
        <v>90</v>
      </c>
    </row>
    <row r="5" spans="1:23" x14ac:dyDescent="0.15">
      <c r="A5">
        <v>0</v>
      </c>
      <c r="B5">
        <v>16.02</v>
      </c>
      <c r="C5">
        <v>10.59</v>
      </c>
      <c r="D5">
        <v>5.37</v>
      </c>
      <c r="E5">
        <v>1.52</v>
      </c>
      <c r="F5">
        <v>0.69</v>
      </c>
      <c r="G5">
        <v>0.4</v>
      </c>
      <c r="H5">
        <v>0.26</v>
      </c>
      <c r="I5">
        <v>0.18</v>
      </c>
      <c r="J5">
        <v>0.14000000000000001</v>
      </c>
      <c r="K5">
        <v>0.09</v>
      </c>
      <c r="L5">
        <v>7.0000000000000007E-2</v>
      </c>
    </row>
    <row r="6" spans="1:23" x14ac:dyDescent="0.15">
      <c r="A6">
        <v>5</v>
      </c>
      <c r="B6">
        <v>27.7</v>
      </c>
      <c r="C6">
        <v>22.08</v>
      </c>
      <c r="D6">
        <v>16.600000000000001</v>
      </c>
      <c r="E6">
        <v>11.31</v>
      </c>
      <c r="F6">
        <v>6.88</v>
      </c>
      <c r="G6">
        <v>4.6100000000000003</v>
      </c>
      <c r="H6">
        <v>3.37</v>
      </c>
      <c r="I6">
        <v>2.61</v>
      </c>
      <c r="J6">
        <v>2.1</v>
      </c>
      <c r="K6">
        <v>1.73</v>
      </c>
      <c r="L6">
        <v>1.44</v>
      </c>
    </row>
    <row r="7" spans="1:23" x14ac:dyDescent="0.15">
      <c r="A7">
        <v>10</v>
      </c>
      <c r="B7">
        <v>39.67</v>
      </c>
      <c r="C7">
        <v>33.880000000000003</v>
      </c>
      <c r="D7">
        <v>28.22</v>
      </c>
      <c r="E7">
        <v>22.69</v>
      </c>
      <c r="F7">
        <v>17.350000000000001</v>
      </c>
      <c r="G7">
        <v>12.72</v>
      </c>
      <c r="H7">
        <v>9.7200000000000006</v>
      </c>
      <c r="I7">
        <v>7.76</v>
      </c>
      <c r="J7">
        <v>6.38</v>
      </c>
      <c r="K7">
        <v>5.37</v>
      </c>
      <c r="L7">
        <v>4.5999999999999996</v>
      </c>
    </row>
    <row r="8" spans="1:23" x14ac:dyDescent="0.15">
      <c r="A8">
        <v>15</v>
      </c>
      <c r="B8">
        <v>51.87</v>
      </c>
      <c r="C8">
        <v>45.95</v>
      </c>
      <c r="D8">
        <v>40.130000000000003</v>
      </c>
      <c r="E8">
        <v>34.42</v>
      </c>
      <c r="F8">
        <v>28.86</v>
      </c>
      <c r="G8">
        <v>23.47</v>
      </c>
      <c r="H8">
        <v>18.73</v>
      </c>
      <c r="I8">
        <v>15.31</v>
      </c>
      <c r="J8">
        <v>12.79</v>
      </c>
      <c r="K8">
        <v>10.94</v>
      </c>
      <c r="L8">
        <v>9.48</v>
      </c>
    </row>
    <row r="9" spans="1:23" x14ac:dyDescent="0.15">
      <c r="A9">
        <v>20</v>
      </c>
      <c r="B9">
        <v>64.28</v>
      </c>
      <c r="C9">
        <v>58.23</v>
      </c>
      <c r="D9">
        <v>52.28</v>
      </c>
      <c r="E9">
        <v>46.43</v>
      </c>
      <c r="F9">
        <v>40.69</v>
      </c>
      <c r="G9">
        <v>35.090000000000003</v>
      </c>
      <c r="H9">
        <v>29.66</v>
      </c>
      <c r="I9">
        <v>24.85</v>
      </c>
      <c r="J9">
        <v>21.13</v>
      </c>
      <c r="K9">
        <v>18.23</v>
      </c>
      <c r="L9">
        <v>15.95</v>
      </c>
    </row>
    <row r="10" spans="1:23" x14ac:dyDescent="0.15">
      <c r="A10">
        <v>25</v>
      </c>
      <c r="B10">
        <v>76.87</v>
      </c>
      <c r="C10">
        <v>70.709999999999994</v>
      </c>
      <c r="D10">
        <v>64.64</v>
      </c>
      <c r="E10">
        <v>58.65</v>
      </c>
      <c r="F10">
        <v>52.77</v>
      </c>
      <c r="G10">
        <v>47.01</v>
      </c>
      <c r="H10">
        <v>41.37</v>
      </c>
      <c r="I10">
        <v>35.909999999999997</v>
      </c>
      <c r="J10">
        <v>31.04</v>
      </c>
      <c r="K10">
        <v>27.1</v>
      </c>
      <c r="L10">
        <v>23.93</v>
      </c>
    </row>
    <row r="11" spans="1:23" x14ac:dyDescent="0.15">
      <c r="A11">
        <v>30</v>
      </c>
      <c r="B11">
        <v>89.63</v>
      </c>
      <c r="C11">
        <v>83.37</v>
      </c>
      <c r="D11">
        <v>77.180000000000007</v>
      </c>
      <c r="E11">
        <v>71.08</v>
      </c>
      <c r="F11">
        <v>65.08</v>
      </c>
      <c r="G11">
        <v>59.17</v>
      </c>
      <c r="H11">
        <v>53.37</v>
      </c>
      <c r="I11">
        <v>47.71</v>
      </c>
      <c r="J11">
        <v>42.21</v>
      </c>
      <c r="K11">
        <v>37.299999999999997</v>
      </c>
      <c r="L11">
        <v>33.19</v>
      </c>
    </row>
    <row r="12" spans="1:23" x14ac:dyDescent="0.15">
      <c r="A12">
        <v>35</v>
      </c>
      <c r="B12">
        <v>102.54</v>
      </c>
      <c r="C12">
        <v>96.18</v>
      </c>
      <c r="D12">
        <v>89.9</v>
      </c>
      <c r="E12">
        <v>83.69</v>
      </c>
      <c r="F12">
        <v>77.569999999999993</v>
      </c>
      <c r="G12">
        <v>71.540000000000006</v>
      </c>
      <c r="H12">
        <v>65.599999999999994</v>
      </c>
      <c r="I12">
        <v>59.78</v>
      </c>
      <c r="J12">
        <v>54.09</v>
      </c>
      <c r="K12">
        <v>48.57</v>
      </c>
      <c r="L12">
        <v>43.62</v>
      </c>
    </row>
    <row r="13" spans="1:23" x14ac:dyDescent="0.15">
      <c r="A13">
        <v>40</v>
      </c>
      <c r="B13">
        <v>115.59</v>
      </c>
      <c r="C13">
        <v>109.15</v>
      </c>
      <c r="D13">
        <v>102.77</v>
      </c>
      <c r="E13">
        <v>96.47</v>
      </c>
      <c r="F13">
        <v>90.24</v>
      </c>
      <c r="G13">
        <v>84.1</v>
      </c>
      <c r="H13">
        <v>78.040000000000006</v>
      </c>
      <c r="I13">
        <v>72.08</v>
      </c>
      <c r="J13">
        <v>66.23</v>
      </c>
      <c r="K13">
        <v>60.51</v>
      </c>
      <c r="L13">
        <v>54.97</v>
      </c>
    </row>
    <row r="14" spans="1:23" x14ac:dyDescent="0.15">
      <c r="A14">
        <v>45</v>
      </c>
      <c r="B14">
        <v>128.78</v>
      </c>
      <c r="C14">
        <v>122.25</v>
      </c>
      <c r="D14">
        <v>115.79</v>
      </c>
      <c r="E14">
        <v>109.39</v>
      </c>
      <c r="F14">
        <v>103.07</v>
      </c>
      <c r="G14">
        <v>96.82</v>
      </c>
      <c r="H14">
        <v>90.65</v>
      </c>
      <c r="I14">
        <v>84.57</v>
      </c>
      <c r="J14">
        <v>78.59</v>
      </c>
      <c r="K14">
        <v>72.72</v>
      </c>
      <c r="L14">
        <v>66.97</v>
      </c>
    </row>
    <row r="15" spans="1:23" x14ac:dyDescent="0.15">
      <c r="A15">
        <v>50</v>
      </c>
      <c r="B15">
        <v>142.09</v>
      </c>
      <c r="C15">
        <v>135.49</v>
      </c>
      <c r="D15">
        <v>128.94</v>
      </c>
      <c r="E15">
        <v>122.46</v>
      </c>
      <c r="F15">
        <v>116.05</v>
      </c>
      <c r="G15">
        <v>109.7</v>
      </c>
      <c r="H15">
        <v>103.43</v>
      </c>
      <c r="I15">
        <v>97.25</v>
      </c>
      <c r="J15">
        <v>91.14</v>
      </c>
      <c r="K15">
        <v>85.14</v>
      </c>
      <c r="L15">
        <v>79.239999999999995</v>
      </c>
    </row>
    <row r="16" spans="1:23" x14ac:dyDescent="0.15">
      <c r="A16">
        <v>55</v>
      </c>
      <c r="B16">
        <v>155.52000000000001</v>
      </c>
      <c r="C16">
        <v>148.84</v>
      </c>
      <c r="D16">
        <v>142.22</v>
      </c>
      <c r="E16">
        <v>135.66</v>
      </c>
      <c r="F16">
        <v>129.16</v>
      </c>
      <c r="G16">
        <v>122.73</v>
      </c>
      <c r="H16">
        <v>116.36</v>
      </c>
      <c r="I16">
        <v>110.08</v>
      </c>
      <c r="J16">
        <v>103.87</v>
      </c>
      <c r="K16">
        <v>97.75</v>
      </c>
      <c r="L16">
        <v>91.72</v>
      </c>
    </row>
    <row r="17" spans="1:12" x14ac:dyDescent="0.15">
      <c r="A17">
        <v>60</v>
      </c>
      <c r="B17">
        <v>169.06</v>
      </c>
      <c r="C17">
        <v>162.31</v>
      </c>
      <c r="D17">
        <v>155.62</v>
      </c>
      <c r="E17">
        <v>148.97999999999999</v>
      </c>
      <c r="F17">
        <v>142.4</v>
      </c>
      <c r="G17">
        <v>135.88</v>
      </c>
      <c r="H17">
        <v>129.43</v>
      </c>
      <c r="I17">
        <v>123.05</v>
      </c>
      <c r="J17">
        <v>116.75</v>
      </c>
      <c r="K17">
        <v>110.52</v>
      </c>
      <c r="L17">
        <v>104.38</v>
      </c>
    </row>
    <row r="18" spans="1:12" x14ac:dyDescent="0.15">
      <c r="A18">
        <v>65</v>
      </c>
      <c r="B18">
        <v>182.7</v>
      </c>
      <c r="C18">
        <v>175.89</v>
      </c>
      <c r="D18">
        <v>169.13</v>
      </c>
      <c r="E18">
        <v>162.41999999999999</v>
      </c>
      <c r="F18">
        <v>155.76</v>
      </c>
      <c r="G18">
        <v>149.16999999999999</v>
      </c>
      <c r="H18">
        <v>142.63999999999999</v>
      </c>
      <c r="I18">
        <v>136.16999999999999</v>
      </c>
      <c r="J18">
        <v>129.77000000000001</v>
      </c>
      <c r="K18">
        <v>123.45</v>
      </c>
      <c r="L18">
        <v>117.2</v>
      </c>
    </row>
    <row r="19" spans="1:12" x14ac:dyDescent="0.15">
      <c r="A19">
        <v>70</v>
      </c>
      <c r="B19">
        <v>196.45</v>
      </c>
      <c r="C19">
        <v>189.57</v>
      </c>
      <c r="D19">
        <v>182.74</v>
      </c>
      <c r="E19">
        <v>175.96</v>
      </c>
      <c r="F19">
        <v>169.24</v>
      </c>
      <c r="G19">
        <v>162.57</v>
      </c>
      <c r="H19">
        <v>155.96</v>
      </c>
      <c r="I19">
        <v>149.41</v>
      </c>
      <c r="J19">
        <v>142.93</v>
      </c>
      <c r="K19">
        <v>136.51</v>
      </c>
      <c r="L19">
        <v>130.16999999999999</v>
      </c>
    </row>
    <row r="20" spans="1:12" x14ac:dyDescent="0.15">
      <c r="A20">
        <v>75</v>
      </c>
      <c r="B20">
        <v>210.29</v>
      </c>
      <c r="C20">
        <v>203.35</v>
      </c>
      <c r="D20">
        <v>196.45</v>
      </c>
      <c r="E20">
        <v>189.61</v>
      </c>
      <c r="F20">
        <v>182.82</v>
      </c>
      <c r="G20">
        <v>176.08</v>
      </c>
      <c r="H20">
        <v>169.4</v>
      </c>
      <c r="I20">
        <v>162.77000000000001</v>
      </c>
      <c r="J20">
        <v>156.21</v>
      </c>
      <c r="K20">
        <v>149.71</v>
      </c>
      <c r="L20">
        <v>143.28</v>
      </c>
    </row>
    <row r="21" spans="1:12" x14ac:dyDescent="0.15">
      <c r="A21">
        <v>80</v>
      </c>
      <c r="B21">
        <v>224.22</v>
      </c>
      <c r="C21">
        <v>217.22</v>
      </c>
      <c r="D21">
        <v>210.27</v>
      </c>
      <c r="E21">
        <v>203.36</v>
      </c>
      <c r="F21">
        <v>196.5</v>
      </c>
      <c r="G21">
        <v>189.7</v>
      </c>
      <c r="H21">
        <v>182.95</v>
      </c>
      <c r="I21">
        <v>176.25</v>
      </c>
      <c r="J21">
        <v>169.61</v>
      </c>
      <c r="K21">
        <v>163.03</v>
      </c>
      <c r="L21">
        <v>156.52000000000001</v>
      </c>
    </row>
    <row r="22" spans="1:12" x14ac:dyDescent="0.15">
      <c r="A22">
        <v>85</v>
      </c>
      <c r="B22">
        <v>238.23</v>
      </c>
      <c r="C22">
        <v>231.18</v>
      </c>
      <c r="D22">
        <v>224.17</v>
      </c>
      <c r="E22">
        <v>217.2</v>
      </c>
      <c r="F22">
        <v>210.29</v>
      </c>
      <c r="G22">
        <v>203.42</v>
      </c>
      <c r="H22">
        <v>196.6</v>
      </c>
      <c r="I22">
        <v>189.83</v>
      </c>
      <c r="J22">
        <v>183.12</v>
      </c>
      <c r="K22">
        <v>176.47</v>
      </c>
      <c r="L22">
        <v>169.87</v>
      </c>
    </row>
    <row r="23" spans="1:12" x14ac:dyDescent="0.15">
      <c r="A23">
        <v>90</v>
      </c>
      <c r="B23">
        <v>252.33</v>
      </c>
      <c r="C23">
        <v>245.22</v>
      </c>
      <c r="D23">
        <v>238.16</v>
      </c>
      <c r="E23">
        <v>231.14</v>
      </c>
      <c r="F23">
        <v>224.16</v>
      </c>
      <c r="G23">
        <v>217.23</v>
      </c>
      <c r="H23">
        <v>210.35</v>
      </c>
      <c r="I23">
        <v>203.52</v>
      </c>
      <c r="J23">
        <v>196.74</v>
      </c>
      <c r="K23">
        <v>190.01</v>
      </c>
      <c r="L23">
        <v>183.35</v>
      </c>
    </row>
    <row r="24" spans="1:12" x14ac:dyDescent="0.15">
      <c r="A24">
        <v>95</v>
      </c>
      <c r="B24">
        <v>266.51</v>
      </c>
      <c r="C24">
        <v>259.35000000000002</v>
      </c>
      <c r="D24">
        <v>252.23</v>
      </c>
      <c r="E24">
        <v>245.16</v>
      </c>
      <c r="F24">
        <v>238.12</v>
      </c>
      <c r="G24">
        <v>231.13</v>
      </c>
      <c r="H24">
        <v>224.19</v>
      </c>
      <c r="I24">
        <v>217.3</v>
      </c>
      <c r="J24">
        <v>210.46</v>
      </c>
      <c r="K24">
        <v>203.66</v>
      </c>
      <c r="L24">
        <v>196.93</v>
      </c>
    </row>
    <row r="25" spans="1:12" x14ac:dyDescent="0.15">
      <c r="A25">
        <v>100</v>
      </c>
      <c r="B25">
        <v>280.76</v>
      </c>
      <c r="C25">
        <v>273.56</v>
      </c>
      <c r="D25">
        <v>266.39</v>
      </c>
      <c r="E25">
        <v>259.26</v>
      </c>
      <c r="F25">
        <v>252.17</v>
      </c>
      <c r="G25">
        <v>245.13</v>
      </c>
      <c r="H25">
        <v>238.13</v>
      </c>
      <c r="I25">
        <v>231.17</v>
      </c>
      <c r="J25">
        <v>224.27</v>
      </c>
      <c r="K25">
        <v>217.41</v>
      </c>
      <c r="L25">
        <v>210.61</v>
      </c>
    </row>
    <row r="26" spans="1:12" x14ac:dyDescent="0.15">
      <c r="A26">
        <v>105</v>
      </c>
      <c r="B26">
        <v>295.08999999999997</v>
      </c>
      <c r="C26">
        <v>287.83999999999997</v>
      </c>
      <c r="D26">
        <v>280.62</v>
      </c>
      <c r="E26">
        <v>273.44</v>
      </c>
      <c r="F26">
        <v>266.3</v>
      </c>
      <c r="G26">
        <v>259.2</v>
      </c>
      <c r="H26">
        <v>252.15</v>
      </c>
      <c r="I26">
        <v>245.14</v>
      </c>
      <c r="J26">
        <v>238.17</v>
      </c>
      <c r="K26">
        <v>231.25</v>
      </c>
      <c r="L26">
        <v>224.39</v>
      </c>
    </row>
    <row r="27" spans="1:12" x14ac:dyDescent="0.15">
      <c r="A27">
        <v>110</v>
      </c>
      <c r="B27">
        <v>309.49</v>
      </c>
      <c r="C27">
        <v>302.19</v>
      </c>
      <c r="D27">
        <v>294.92</v>
      </c>
      <c r="E27">
        <v>287.7</v>
      </c>
      <c r="F27">
        <v>280.51</v>
      </c>
      <c r="G27">
        <v>273.36</v>
      </c>
      <c r="H27">
        <v>266.25</v>
      </c>
      <c r="I27">
        <v>259.18</v>
      </c>
      <c r="J27">
        <v>252.16</v>
      </c>
      <c r="K27">
        <v>245.18</v>
      </c>
      <c r="L27">
        <v>238.26</v>
      </c>
    </row>
    <row r="28" spans="1:12" x14ac:dyDescent="0.15">
      <c r="A28">
        <v>115</v>
      </c>
      <c r="B28">
        <v>323.95999999999998</v>
      </c>
      <c r="C28">
        <v>316.62</v>
      </c>
      <c r="D28">
        <v>309.3</v>
      </c>
      <c r="E28">
        <v>302.02999999999997</v>
      </c>
      <c r="F28">
        <v>294.79000000000002</v>
      </c>
      <c r="G28">
        <v>287.58999999999997</v>
      </c>
      <c r="H28">
        <v>280.43</v>
      </c>
      <c r="I28">
        <v>273.31</v>
      </c>
      <c r="J28">
        <v>266.23</v>
      </c>
      <c r="K28">
        <v>259.2</v>
      </c>
      <c r="L28">
        <v>252.21</v>
      </c>
    </row>
    <row r="29" spans="1:12" x14ac:dyDescent="0.15">
      <c r="A29">
        <v>120</v>
      </c>
      <c r="B29">
        <v>338.5</v>
      </c>
      <c r="C29">
        <v>331.11</v>
      </c>
      <c r="D29">
        <v>323.75</v>
      </c>
      <c r="E29">
        <v>316.43</v>
      </c>
      <c r="F29">
        <v>309.14</v>
      </c>
      <c r="G29">
        <v>301.89</v>
      </c>
      <c r="H29">
        <v>294.68</v>
      </c>
      <c r="I29">
        <v>287.52</v>
      </c>
      <c r="J29">
        <v>280.39</v>
      </c>
      <c r="K29">
        <v>273.3</v>
      </c>
      <c r="L29">
        <v>266.26</v>
      </c>
    </row>
    <row r="30" spans="1:12" x14ac:dyDescent="0.15">
      <c r="A30">
        <v>125</v>
      </c>
      <c r="B30">
        <v>353.1</v>
      </c>
      <c r="C30">
        <v>345.67</v>
      </c>
      <c r="D30">
        <v>338.27</v>
      </c>
      <c r="E30">
        <v>330.9</v>
      </c>
      <c r="F30">
        <v>323.57</v>
      </c>
      <c r="G30">
        <v>316.27</v>
      </c>
      <c r="H30">
        <v>309.02</v>
      </c>
      <c r="I30">
        <v>301.8</v>
      </c>
      <c r="J30">
        <v>294.62</v>
      </c>
      <c r="K30">
        <v>287.48</v>
      </c>
      <c r="L30">
        <v>280.38</v>
      </c>
    </row>
    <row r="31" spans="1:12" x14ac:dyDescent="0.15">
      <c r="A31">
        <v>130</v>
      </c>
      <c r="B31">
        <v>367.76</v>
      </c>
      <c r="C31">
        <v>360.29</v>
      </c>
      <c r="D31">
        <v>352.84</v>
      </c>
      <c r="E31">
        <v>345.44</v>
      </c>
      <c r="F31">
        <v>338.06</v>
      </c>
      <c r="G31">
        <v>330.72</v>
      </c>
      <c r="H31">
        <v>323.42</v>
      </c>
      <c r="I31">
        <v>316.14999999999998</v>
      </c>
      <c r="J31">
        <v>308.92</v>
      </c>
      <c r="K31">
        <v>301.73</v>
      </c>
      <c r="L31">
        <v>294.58</v>
      </c>
    </row>
    <row r="32" spans="1:12" x14ac:dyDescent="0.15">
      <c r="A32">
        <v>135</v>
      </c>
      <c r="B32">
        <v>382.49</v>
      </c>
      <c r="C32">
        <v>374.97</v>
      </c>
      <c r="D32">
        <v>367.49</v>
      </c>
      <c r="E32">
        <v>360.04</v>
      </c>
      <c r="F32">
        <v>352.62</v>
      </c>
      <c r="G32">
        <v>345.23</v>
      </c>
      <c r="H32">
        <v>337.88</v>
      </c>
      <c r="I32">
        <v>330.57</v>
      </c>
      <c r="J32">
        <v>323.3</v>
      </c>
      <c r="K32">
        <v>316.06</v>
      </c>
      <c r="L32">
        <v>308.86</v>
      </c>
    </row>
    <row r="33" spans="1:12" x14ac:dyDescent="0.15">
      <c r="A33">
        <v>140</v>
      </c>
      <c r="B33">
        <v>397.27</v>
      </c>
      <c r="C33">
        <v>389.71</v>
      </c>
      <c r="D33">
        <v>382.19</v>
      </c>
      <c r="E33">
        <v>374.7</v>
      </c>
      <c r="F33">
        <v>367.24</v>
      </c>
      <c r="G33">
        <v>359.81</v>
      </c>
      <c r="H33">
        <v>352.42</v>
      </c>
      <c r="I33">
        <v>345.06</v>
      </c>
      <c r="J33">
        <v>337.74</v>
      </c>
      <c r="K33">
        <v>330.46</v>
      </c>
      <c r="L33">
        <v>323.20999999999998</v>
      </c>
    </row>
    <row r="34" spans="1:12" x14ac:dyDescent="0.15">
      <c r="A34">
        <v>145</v>
      </c>
      <c r="B34">
        <v>412.11</v>
      </c>
      <c r="C34">
        <v>404.52</v>
      </c>
      <c r="D34">
        <v>396.95</v>
      </c>
      <c r="E34">
        <v>389.42</v>
      </c>
      <c r="F34">
        <v>381.92</v>
      </c>
      <c r="G34">
        <v>374.45</v>
      </c>
      <c r="H34">
        <v>367.02</v>
      </c>
      <c r="I34">
        <v>359.62</v>
      </c>
      <c r="J34">
        <v>352.25</v>
      </c>
      <c r="K34">
        <v>344.92</v>
      </c>
      <c r="L34">
        <v>337.63</v>
      </c>
    </row>
    <row r="35" spans="1:12" x14ac:dyDescent="0.15">
      <c r="A35">
        <v>150</v>
      </c>
      <c r="B35">
        <v>427</v>
      </c>
      <c r="C35">
        <v>419.37</v>
      </c>
      <c r="D35">
        <v>411.77</v>
      </c>
      <c r="E35">
        <v>404.2</v>
      </c>
      <c r="F35">
        <v>396.66</v>
      </c>
      <c r="G35">
        <v>389.15</v>
      </c>
      <c r="H35">
        <v>381.68</v>
      </c>
      <c r="I35">
        <v>374.23</v>
      </c>
      <c r="J35">
        <v>366.83</v>
      </c>
      <c r="K35">
        <v>359.45</v>
      </c>
      <c r="L35">
        <v>352.11</v>
      </c>
    </row>
    <row r="36" spans="1:12" x14ac:dyDescent="0.15">
      <c r="A36">
        <v>155</v>
      </c>
      <c r="B36">
        <v>441.95</v>
      </c>
      <c r="C36">
        <v>434.28</v>
      </c>
      <c r="D36">
        <v>426.65</v>
      </c>
      <c r="E36">
        <v>419.04</v>
      </c>
      <c r="F36">
        <v>411.46</v>
      </c>
      <c r="G36">
        <v>403.91</v>
      </c>
      <c r="H36">
        <v>396.4</v>
      </c>
      <c r="I36">
        <v>388.91</v>
      </c>
      <c r="J36">
        <v>381.46</v>
      </c>
      <c r="K36">
        <v>374.05</v>
      </c>
      <c r="L36">
        <v>366.66</v>
      </c>
    </row>
    <row r="37" spans="1:12" x14ac:dyDescent="0.15">
      <c r="A37">
        <v>160</v>
      </c>
      <c r="B37">
        <v>456.13</v>
      </c>
      <c r="C37">
        <v>449.25</v>
      </c>
      <c r="D37">
        <v>441.58</v>
      </c>
      <c r="E37">
        <v>433.93</v>
      </c>
      <c r="F37">
        <v>426.32</v>
      </c>
      <c r="G37">
        <v>418.73</v>
      </c>
      <c r="H37">
        <v>411.18</v>
      </c>
      <c r="I37">
        <v>403.65</v>
      </c>
      <c r="J37">
        <v>396.16</v>
      </c>
      <c r="K37">
        <v>388.7</v>
      </c>
      <c r="L37">
        <v>381.28</v>
      </c>
    </row>
    <row r="38" spans="1:12" x14ac:dyDescent="0.15">
      <c r="A38">
        <v>165</v>
      </c>
      <c r="B38">
        <v>466.3</v>
      </c>
      <c r="C38">
        <v>462.96</v>
      </c>
      <c r="D38">
        <v>456.55</v>
      </c>
      <c r="E38">
        <v>448.88</v>
      </c>
      <c r="F38">
        <v>441.23</v>
      </c>
      <c r="G38">
        <v>433.6</v>
      </c>
      <c r="H38">
        <v>426.01</v>
      </c>
      <c r="I38">
        <v>418.45</v>
      </c>
      <c r="J38">
        <v>410.92</v>
      </c>
      <c r="K38">
        <v>403.42</v>
      </c>
      <c r="L38">
        <v>395.95</v>
      </c>
    </row>
    <row r="39" spans="1:12" x14ac:dyDescent="0.15">
      <c r="A39">
        <v>170</v>
      </c>
      <c r="B39">
        <v>471.55</v>
      </c>
      <c r="C39">
        <v>468.97</v>
      </c>
      <c r="D39">
        <v>466.39</v>
      </c>
      <c r="E39">
        <v>462.51</v>
      </c>
      <c r="F39">
        <v>455.59</v>
      </c>
      <c r="G39">
        <v>448.14</v>
      </c>
      <c r="H39">
        <v>440.64</v>
      </c>
      <c r="I39">
        <v>433.14</v>
      </c>
      <c r="J39">
        <v>425.61</v>
      </c>
      <c r="K39">
        <v>418.11</v>
      </c>
      <c r="L39">
        <v>410.62</v>
      </c>
    </row>
    <row r="40" spans="1:12" x14ac:dyDescent="0.15">
      <c r="A40">
        <v>175</v>
      </c>
      <c r="B40">
        <v>476.19</v>
      </c>
      <c r="C40">
        <v>473.61</v>
      </c>
      <c r="D40">
        <v>471.03</v>
      </c>
      <c r="E40">
        <v>468.45</v>
      </c>
      <c r="F40">
        <v>465.06</v>
      </c>
      <c r="G40">
        <v>459.41</v>
      </c>
      <c r="H40">
        <v>452.79</v>
      </c>
      <c r="I40">
        <v>445.83</v>
      </c>
      <c r="J40">
        <v>438.8</v>
      </c>
      <c r="K40">
        <v>431.6</v>
      </c>
      <c r="L40">
        <v>424.18</v>
      </c>
    </row>
    <row r="41" spans="1:12" x14ac:dyDescent="0.15">
      <c r="A41">
        <v>180</v>
      </c>
      <c r="B41">
        <v>480.81</v>
      </c>
      <c r="C41">
        <v>478.24</v>
      </c>
      <c r="D41">
        <v>475.66</v>
      </c>
      <c r="E41">
        <v>473.08</v>
      </c>
      <c r="F41">
        <v>470.5</v>
      </c>
      <c r="G41">
        <v>467.23</v>
      </c>
      <c r="H41">
        <v>462.19</v>
      </c>
      <c r="I41">
        <v>456.32</v>
      </c>
      <c r="J41">
        <v>449.82</v>
      </c>
      <c r="K41">
        <v>443.11</v>
      </c>
      <c r="L41">
        <v>436.16</v>
      </c>
    </row>
    <row r="42" spans="1:12" x14ac:dyDescent="0.15">
      <c r="A42">
        <v>185</v>
      </c>
      <c r="B42">
        <v>485.42</v>
      </c>
      <c r="C42">
        <v>482.85</v>
      </c>
      <c r="D42">
        <v>480.27</v>
      </c>
      <c r="E42">
        <v>477.7</v>
      </c>
      <c r="F42">
        <v>475.12</v>
      </c>
      <c r="G42">
        <v>472.55</v>
      </c>
      <c r="H42">
        <v>469.32</v>
      </c>
      <c r="I42">
        <v>464.75</v>
      </c>
      <c r="J42">
        <v>459.19</v>
      </c>
      <c r="K42">
        <v>453.25</v>
      </c>
      <c r="L42">
        <v>446.87</v>
      </c>
    </row>
    <row r="43" spans="1:12" x14ac:dyDescent="0.15">
      <c r="A43">
        <v>190</v>
      </c>
      <c r="B43">
        <v>490.01</v>
      </c>
      <c r="C43">
        <v>487.44</v>
      </c>
      <c r="D43">
        <v>484.87</v>
      </c>
      <c r="E43">
        <v>482.3</v>
      </c>
      <c r="F43">
        <v>479.73</v>
      </c>
      <c r="G43">
        <v>477.16</v>
      </c>
      <c r="H43">
        <v>474.59</v>
      </c>
      <c r="I43">
        <v>471.35</v>
      </c>
      <c r="J43">
        <v>467.01</v>
      </c>
      <c r="K43">
        <v>461.79</v>
      </c>
      <c r="L43">
        <v>456.12</v>
      </c>
    </row>
    <row r="44" spans="1:12" x14ac:dyDescent="0.15">
      <c r="A44">
        <v>195</v>
      </c>
      <c r="B44">
        <v>494.58</v>
      </c>
      <c r="C44">
        <v>492.02</v>
      </c>
      <c r="D44">
        <v>489.45</v>
      </c>
      <c r="E44">
        <v>486.89</v>
      </c>
      <c r="F44">
        <v>484.32</v>
      </c>
      <c r="G44">
        <v>481.75</v>
      </c>
      <c r="H44">
        <v>479.18</v>
      </c>
      <c r="I44">
        <v>476.61</v>
      </c>
      <c r="J44">
        <v>473.36</v>
      </c>
      <c r="K44">
        <v>469.16</v>
      </c>
      <c r="L44">
        <v>464.34</v>
      </c>
    </row>
    <row r="45" spans="1:12" x14ac:dyDescent="0.15">
      <c r="A45">
        <v>200</v>
      </c>
      <c r="B45">
        <v>499.14</v>
      </c>
      <c r="C45">
        <v>496.58</v>
      </c>
      <c r="D45">
        <v>494.02</v>
      </c>
      <c r="E45">
        <v>491.46</v>
      </c>
      <c r="F45">
        <v>488.89</v>
      </c>
      <c r="G45">
        <v>486.33</v>
      </c>
      <c r="H45">
        <v>483.76</v>
      </c>
      <c r="I45">
        <v>481.2</v>
      </c>
      <c r="J45">
        <v>478.6</v>
      </c>
      <c r="K45">
        <v>475.37</v>
      </c>
      <c r="L45">
        <v>471.3</v>
      </c>
    </row>
    <row r="46" spans="1:12" x14ac:dyDescent="0.15">
      <c r="A46">
        <v>205</v>
      </c>
      <c r="B46">
        <v>503.67</v>
      </c>
      <c r="C46">
        <v>501.12</v>
      </c>
      <c r="D46">
        <v>498.57</v>
      </c>
      <c r="E46">
        <v>496.01</v>
      </c>
      <c r="F46">
        <v>493.45</v>
      </c>
      <c r="G46">
        <v>490.89</v>
      </c>
      <c r="H46">
        <v>488.33</v>
      </c>
      <c r="I46">
        <v>485.76</v>
      </c>
      <c r="J46">
        <v>483.2</v>
      </c>
      <c r="K46">
        <v>480.59</v>
      </c>
      <c r="L46">
        <v>477.37</v>
      </c>
    </row>
    <row r="47" spans="1:12" x14ac:dyDescent="0.15">
      <c r="A47">
        <v>210</v>
      </c>
      <c r="B47">
        <v>508.19</v>
      </c>
      <c r="C47">
        <v>505.64</v>
      </c>
      <c r="D47">
        <v>503.09</v>
      </c>
      <c r="E47">
        <v>500.54</v>
      </c>
      <c r="F47">
        <v>497.99</v>
      </c>
      <c r="G47">
        <v>495.43</v>
      </c>
      <c r="H47">
        <v>492.88</v>
      </c>
      <c r="I47">
        <v>490.32</v>
      </c>
      <c r="J47">
        <v>487.76</v>
      </c>
      <c r="K47">
        <v>485.2</v>
      </c>
      <c r="L47">
        <v>482.57</v>
      </c>
    </row>
    <row r="48" spans="1:12" x14ac:dyDescent="0.15">
      <c r="A48">
        <v>215</v>
      </c>
      <c r="B48">
        <v>512.67999999999995</v>
      </c>
      <c r="C48">
        <v>510.14</v>
      </c>
      <c r="D48">
        <v>507.6</v>
      </c>
      <c r="E48">
        <v>505.06</v>
      </c>
      <c r="F48">
        <v>502.51</v>
      </c>
      <c r="G48">
        <v>499.96</v>
      </c>
      <c r="H48">
        <v>497.41</v>
      </c>
      <c r="I48">
        <v>494.85</v>
      </c>
      <c r="J48">
        <v>492.3</v>
      </c>
      <c r="K48">
        <v>489.74</v>
      </c>
      <c r="L48">
        <v>487.19</v>
      </c>
    </row>
    <row r="49" spans="1:12" x14ac:dyDescent="0.15">
      <c r="A49">
        <v>220</v>
      </c>
      <c r="B49">
        <v>517.15</v>
      </c>
      <c r="C49">
        <v>514.62</v>
      </c>
      <c r="D49">
        <v>512.09</v>
      </c>
      <c r="E49">
        <v>509.55</v>
      </c>
      <c r="F49">
        <v>507.01</v>
      </c>
      <c r="G49">
        <v>504.47</v>
      </c>
      <c r="H49">
        <v>501.92</v>
      </c>
      <c r="I49">
        <v>499.37</v>
      </c>
      <c r="J49">
        <v>496.82</v>
      </c>
      <c r="K49">
        <v>494.27</v>
      </c>
      <c r="L49">
        <v>491.72</v>
      </c>
    </row>
    <row r="50" spans="1:12" x14ac:dyDescent="0.15">
      <c r="A50">
        <v>225</v>
      </c>
      <c r="B50">
        <v>521.6</v>
      </c>
      <c r="C50">
        <v>519.08000000000004</v>
      </c>
      <c r="D50">
        <v>516.54999999999995</v>
      </c>
      <c r="E50">
        <v>514.02</v>
      </c>
      <c r="F50">
        <v>511.49</v>
      </c>
      <c r="G50">
        <v>508.95</v>
      </c>
      <c r="H50">
        <v>506.41</v>
      </c>
      <c r="I50">
        <v>503.87</v>
      </c>
      <c r="J50">
        <v>501.33</v>
      </c>
      <c r="K50">
        <v>498.78</v>
      </c>
      <c r="L50">
        <v>496.23</v>
      </c>
    </row>
    <row r="51" spans="1:12" x14ac:dyDescent="0.15">
      <c r="A51">
        <v>230</v>
      </c>
      <c r="B51">
        <v>525.98</v>
      </c>
      <c r="C51">
        <v>523.47</v>
      </c>
      <c r="D51">
        <v>520.95000000000005</v>
      </c>
      <c r="E51">
        <v>518.42999999999995</v>
      </c>
      <c r="F51">
        <v>515.91</v>
      </c>
      <c r="G51">
        <v>513.38</v>
      </c>
      <c r="H51">
        <v>510.85</v>
      </c>
      <c r="I51">
        <v>508.31</v>
      </c>
      <c r="J51">
        <v>505.77</v>
      </c>
      <c r="K51">
        <v>503.23</v>
      </c>
      <c r="L51">
        <v>500.69</v>
      </c>
    </row>
    <row r="52" spans="1:12" x14ac:dyDescent="0.15">
      <c r="A52">
        <v>235</v>
      </c>
      <c r="B52">
        <v>529.99</v>
      </c>
      <c r="C52">
        <v>527.48</v>
      </c>
      <c r="D52">
        <v>524.97</v>
      </c>
      <c r="E52">
        <v>522.46</v>
      </c>
      <c r="F52">
        <v>519.94000000000005</v>
      </c>
      <c r="G52">
        <v>517.41</v>
      </c>
      <c r="H52">
        <v>514.88</v>
      </c>
      <c r="I52">
        <v>512.35</v>
      </c>
      <c r="J52">
        <v>509.81</v>
      </c>
      <c r="K52">
        <v>507.27</v>
      </c>
      <c r="L52">
        <v>504.73</v>
      </c>
    </row>
    <row r="53" spans="1:12" x14ac:dyDescent="0.15">
      <c r="A53">
        <v>240</v>
      </c>
      <c r="B53">
        <v>533.97</v>
      </c>
      <c r="C53">
        <v>531.48</v>
      </c>
      <c r="D53">
        <v>528.97</v>
      </c>
      <c r="E53">
        <v>526.46</v>
      </c>
      <c r="F53">
        <v>523.94000000000005</v>
      </c>
      <c r="G53">
        <v>521.41999999999996</v>
      </c>
      <c r="H53">
        <v>518.89</v>
      </c>
      <c r="I53">
        <v>516.36</v>
      </c>
      <c r="J53">
        <v>513.83000000000004</v>
      </c>
      <c r="K53">
        <v>511.29</v>
      </c>
      <c r="L53">
        <v>508.75</v>
      </c>
    </row>
    <row r="54" spans="1:12" x14ac:dyDescent="0.15">
      <c r="A54">
        <v>245</v>
      </c>
      <c r="B54">
        <v>537.94000000000005</v>
      </c>
      <c r="C54">
        <v>535.45000000000005</v>
      </c>
      <c r="D54">
        <v>532.95000000000005</v>
      </c>
      <c r="E54">
        <v>530.44000000000005</v>
      </c>
      <c r="F54">
        <v>527.92999999999995</v>
      </c>
      <c r="G54">
        <v>525.41</v>
      </c>
      <c r="H54">
        <v>522.89</v>
      </c>
      <c r="I54">
        <v>520.36</v>
      </c>
      <c r="J54">
        <v>517.83000000000004</v>
      </c>
      <c r="K54">
        <v>515.29999999999995</v>
      </c>
      <c r="L54">
        <v>512.76</v>
      </c>
    </row>
    <row r="55" spans="1:12" x14ac:dyDescent="0.15">
      <c r="A55">
        <v>250</v>
      </c>
      <c r="B55">
        <v>541.88</v>
      </c>
      <c r="C55">
        <v>539.4</v>
      </c>
      <c r="D55">
        <v>536.9</v>
      </c>
      <c r="E55">
        <v>534.4</v>
      </c>
      <c r="F55">
        <v>531.9</v>
      </c>
      <c r="G55">
        <v>529.39</v>
      </c>
      <c r="H55">
        <v>526.87</v>
      </c>
      <c r="I55">
        <v>524.34</v>
      </c>
      <c r="J55">
        <v>521.82000000000005</v>
      </c>
      <c r="K55">
        <v>519.28</v>
      </c>
      <c r="L55">
        <v>516.75</v>
      </c>
    </row>
    <row r="56" spans="1:12" x14ac:dyDescent="0.15">
      <c r="A56">
        <v>255</v>
      </c>
      <c r="B56">
        <v>545.79999999999995</v>
      </c>
      <c r="C56">
        <v>543.32000000000005</v>
      </c>
      <c r="D56">
        <v>540.84</v>
      </c>
      <c r="E56">
        <v>538.34</v>
      </c>
      <c r="F56">
        <v>535.84</v>
      </c>
      <c r="G56">
        <v>533.34</v>
      </c>
      <c r="H56">
        <v>530.82000000000005</v>
      </c>
      <c r="I56">
        <v>528.30999999999995</v>
      </c>
      <c r="J56">
        <v>525.78</v>
      </c>
      <c r="K56">
        <v>523.25</v>
      </c>
      <c r="L56">
        <v>520.72</v>
      </c>
    </row>
    <row r="57" spans="1:12" x14ac:dyDescent="0.15">
      <c r="A57">
        <v>260</v>
      </c>
      <c r="B57">
        <v>549.70000000000005</v>
      </c>
      <c r="C57">
        <v>547.23</v>
      </c>
      <c r="D57">
        <v>544.75</v>
      </c>
      <c r="E57">
        <v>542.26</v>
      </c>
      <c r="F57">
        <v>539.77</v>
      </c>
      <c r="G57">
        <v>537.27</v>
      </c>
      <c r="H57">
        <v>534.76</v>
      </c>
      <c r="I57">
        <v>532.25</v>
      </c>
      <c r="J57">
        <v>529.73</v>
      </c>
      <c r="K57">
        <v>527.20000000000005</v>
      </c>
      <c r="L57">
        <v>524.66999999999996</v>
      </c>
    </row>
    <row r="58" spans="1:12" x14ac:dyDescent="0.15">
      <c r="A58">
        <v>265</v>
      </c>
      <c r="B58">
        <v>553.57000000000005</v>
      </c>
      <c r="C58">
        <v>551.11</v>
      </c>
      <c r="D58">
        <v>548.63</v>
      </c>
      <c r="E58">
        <v>546.15</v>
      </c>
      <c r="F58">
        <v>543.66999999999996</v>
      </c>
      <c r="G58">
        <v>541.16999999999996</v>
      </c>
      <c r="H58">
        <v>538.66999999999996</v>
      </c>
      <c r="I58">
        <v>536.16</v>
      </c>
      <c r="J58">
        <v>533.65</v>
      </c>
      <c r="K58">
        <v>531.13</v>
      </c>
      <c r="L58">
        <v>528.61</v>
      </c>
    </row>
    <row r="59" spans="1:12" x14ac:dyDescent="0.15">
      <c r="A59">
        <v>270</v>
      </c>
      <c r="B59">
        <v>557.41</v>
      </c>
      <c r="C59">
        <v>554.96</v>
      </c>
      <c r="D59">
        <v>552.5</v>
      </c>
      <c r="E59">
        <v>550.02</v>
      </c>
      <c r="F59">
        <v>547.54</v>
      </c>
      <c r="G59">
        <v>545.05999999999995</v>
      </c>
      <c r="H59">
        <v>542.55999999999995</v>
      </c>
      <c r="I59">
        <v>540.05999999999995</v>
      </c>
      <c r="J59">
        <v>537.54999999999995</v>
      </c>
      <c r="K59">
        <v>535.04</v>
      </c>
      <c r="L59">
        <v>532.52</v>
      </c>
    </row>
    <row r="60" spans="1:12" x14ac:dyDescent="0.15">
      <c r="A60">
        <v>275</v>
      </c>
      <c r="B60">
        <v>561.23</v>
      </c>
      <c r="C60">
        <v>558.79</v>
      </c>
      <c r="D60">
        <v>556.33000000000004</v>
      </c>
      <c r="E60">
        <v>553.87</v>
      </c>
      <c r="F60">
        <v>551.4</v>
      </c>
      <c r="G60">
        <v>548.91999999999996</v>
      </c>
      <c r="H60">
        <v>546.42999999999995</v>
      </c>
      <c r="I60">
        <v>543.94000000000005</v>
      </c>
      <c r="J60">
        <v>541.44000000000005</v>
      </c>
      <c r="K60">
        <v>538.92999999999995</v>
      </c>
      <c r="L60">
        <v>536.41</v>
      </c>
    </row>
    <row r="61" spans="1:12" x14ac:dyDescent="0.15">
      <c r="A61">
        <v>280</v>
      </c>
      <c r="B61">
        <v>565.03</v>
      </c>
      <c r="C61">
        <v>562.59</v>
      </c>
      <c r="D61">
        <v>560.15</v>
      </c>
      <c r="E61">
        <v>557.69000000000005</v>
      </c>
      <c r="F61">
        <v>555.23</v>
      </c>
      <c r="G61">
        <v>552.76</v>
      </c>
      <c r="H61">
        <v>550.28</v>
      </c>
      <c r="I61">
        <v>547.79</v>
      </c>
      <c r="J61">
        <v>545.29</v>
      </c>
      <c r="K61">
        <v>542.79</v>
      </c>
      <c r="L61">
        <v>540.29</v>
      </c>
    </row>
    <row r="62" spans="1:12" x14ac:dyDescent="0.15">
      <c r="A62">
        <v>285</v>
      </c>
      <c r="B62">
        <v>568.79999999999995</v>
      </c>
      <c r="C62">
        <v>566.37</v>
      </c>
      <c r="D62">
        <v>563.92999999999995</v>
      </c>
      <c r="E62">
        <v>561.49</v>
      </c>
      <c r="F62">
        <v>559.03</v>
      </c>
      <c r="G62">
        <v>556.57000000000005</v>
      </c>
      <c r="H62">
        <v>554.1</v>
      </c>
      <c r="I62">
        <v>551.62</v>
      </c>
      <c r="J62">
        <v>549.13</v>
      </c>
      <c r="K62">
        <v>546.64</v>
      </c>
      <c r="L62">
        <v>544.13</v>
      </c>
    </row>
    <row r="63" spans="1:12" x14ac:dyDescent="0.15">
      <c r="A63">
        <v>290</v>
      </c>
      <c r="B63">
        <v>572.54</v>
      </c>
      <c r="C63">
        <v>570.12</v>
      </c>
      <c r="D63">
        <v>567.69000000000005</v>
      </c>
      <c r="E63">
        <v>565.26</v>
      </c>
      <c r="F63">
        <v>562.80999999999995</v>
      </c>
      <c r="G63">
        <v>560.36</v>
      </c>
      <c r="H63">
        <v>557.89</v>
      </c>
      <c r="I63">
        <v>555.41999999999996</v>
      </c>
      <c r="J63">
        <v>552.94000000000005</v>
      </c>
      <c r="K63">
        <v>550.46</v>
      </c>
      <c r="L63">
        <v>547.96</v>
      </c>
    </row>
    <row r="64" spans="1:12" x14ac:dyDescent="0.15">
      <c r="A64">
        <v>295</v>
      </c>
      <c r="B64">
        <v>576.25</v>
      </c>
      <c r="C64">
        <v>573.84</v>
      </c>
      <c r="D64">
        <v>571.42999999999995</v>
      </c>
      <c r="E64">
        <v>569</v>
      </c>
      <c r="F64">
        <v>566.57000000000005</v>
      </c>
      <c r="G64">
        <v>564.12</v>
      </c>
      <c r="H64">
        <v>561.66999999999996</v>
      </c>
      <c r="I64">
        <v>559.20000000000005</v>
      </c>
      <c r="J64">
        <v>556.73</v>
      </c>
      <c r="K64">
        <v>554.25</v>
      </c>
      <c r="L64">
        <v>551.76</v>
      </c>
    </row>
    <row r="65" spans="1:12" x14ac:dyDescent="0.15">
      <c r="A65">
        <v>300</v>
      </c>
      <c r="B65">
        <v>579.92999999999995</v>
      </c>
      <c r="C65">
        <v>577.54</v>
      </c>
      <c r="D65">
        <v>575.13</v>
      </c>
      <c r="E65">
        <v>572.72</v>
      </c>
      <c r="F65">
        <v>570.29</v>
      </c>
      <c r="G65">
        <v>567.86</v>
      </c>
      <c r="H65">
        <v>565.41</v>
      </c>
      <c r="I65">
        <v>562.96</v>
      </c>
      <c r="J65">
        <v>560.49</v>
      </c>
      <c r="K65">
        <v>558.02</v>
      </c>
      <c r="L65">
        <v>555.54</v>
      </c>
    </row>
    <row r="66" spans="1:12" x14ac:dyDescent="0.15">
      <c r="A66">
        <v>305</v>
      </c>
      <c r="B66">
        <v>583.59</v>
      </c>
      <c r="C66">
        <v>581.21</v>
      </c>
      <c r="D66">
        <v>578.80999999999995</v>
      </c>
      <c r="E66">
        <v>576.41</v>
      </c>
      <c r="F66">
        <v>573.99</v>
      </c>
      <c r="G66">
        <v>571.57000000000005</v>
      </c>
      <c r="H66">
        <v>569.13</v>
      </c>
      <c r="I66">
        <v>566.69000000000005</v>
      </c>
      <c r="J66">
        <v>564.23</v>
      </c>
      <c r="K66">
        <v>561.77</v>
      </c>
      <c r="L66">
        <v>559.29999999999995</v>
      </c>
    </row>
    <row r="67" spans="1:12" x14ac:dyDescent="0.15">
      <c r="A67">
        <v>310</v>
      </c>
      <c r="B67">
        <v>587.22</v>
      </c>
      <c r="C67">
        <v>584.84</v>
      </c>
      <c r="D67">
        <v>582.46</v>
      </c>
      <c r="E67">
        <v>580.07000000000005</v>
      </c>
      <c r="F67">
        <v>577.66</v>
      </c>
      <c r="G67">
        <v>575.25</v>
      </c>
      <c r="H67">
        <v>572.82000000000005</v>
      </c>
      <c r="I67">
        <v>570.39</v>
      </c>
      <c r="J67">
        <v>567.94000000000005</v>
      </c>
      <c r="K67">
        <v>565.49</v>
      </c>
      <c r="L67">
        <v>563.03</v>
      </c>
    </row>
    <row r="68" spans="1:12" x14ac:dyDescent="0.15">
      <c r="A68">
        <v>315</v>
      </c>
      <c r="B68">
        <v>590.80999999999995</v>
      </c>
      <c r="C68">
        <v>588.45000000000005</v>
      </c>
      <c r="D68">
        <v>586.08000000000004</v>
      </c>
      <c r="E68">
        <v>583.70000000000005</v>
      </c>
      <c r="F68">
        <v>581.30999999999995</v>
      </c>
      <c r="G68">
        <v>578.9</v>
      </c>
      <c r="H68">
        <v>576.49</v>
      </c>
      <c r="I68">
        <v>574.05999999999995</v>
      </c>
      <c r="J68">
        <v>571.63</v>
      </c>
      <c r="K68">
        <v>569.19000000000005</v>
      </c>
      <c r="L68">
        <v>566.73</v>
      </c>
    </row>
    <row r="69" spans="1:12" x14ac:dyDescent="0.15">
      <c r="A69">
        <v>320</v>
      </c>
      <c r="B69">
        <v>594.38</v>
      </c>
      <c r="C69">
        <v>592.03</v>
      </c>
      <c r="D69">
        <v>589.67999999999995</v>
      </c>
      <c r="E69">
        <v>587.29999999999995</v>
      </c>
      <c r="F69">
        <v>584.91999999999996</v>
      </c>
      <c r="G69">
        <v>582.53</v>
      </c>
      <c r="H69">
        <v>580.13</v>
      </c>
      <c r="I69">
        <v>577.71</v>
      </c>
      <c r="J69">
        <v>575.29</v>
      </c>
      <c r="K69">
        <v>572.86</v>
      </c>
      <c r="L69">
        <v>570.41</v>
      </c>
    </row>
    <row r="70" spans="1:12" x14ac:dyDescent="0.15">
      <c r="A70">
        <v>325</v>
      </c>
      <c r="B70">
        <v>597.91999999999996</v>
      </c>
      <c r="C70">
        <v>595.58000000000004</v>
      </c>
      <c r="D70">
        <v>593.24</v>
      </c>
      <c r="E70">
        <v>590.88</v>
      </c>
      <c r="F70">
        <v>588.51</v>
      </c>
      <c r="G70">
        <v>586.13</v>
      </c>
      <c r="H70">
        <v>583.74</v>
      </c>
      <c r="I70">
        <v>581.33000000000004</v>
      </c>
      <c r="J70">
        <v>578.91999999999996</v>
      </c>
      <c r="K70">
        <v>576.5</v>
      </c>
      <c r="L70">
        <v>574.05999999999995</v>
      </c>
    </row>
    <row r="71" spans="1:12" x14ac:dyDescent="0.15">
      <c r="A71">
        <v>330</v>
      </c>
      <c r="B71">
        <v>601.41999999999996</v>
      </c>
      <c r="C71">
        <v>599.1</v>
      </c>
      <c r="D71">
        <v>596.77</v>
      </c>
      <c r="E71">
        <v>594.41999999999996</v>
      </c>
      <c r="F71">
        <v>592.07000000000005</v>
      </c>
      <c r="G71">
        <v>589.70000000000005</v>
      </c>
      <c r="H71">
        <v>587.32000000000005</v>
      </c>
      <c r="I71">
        <v>584.92999999999995</v>
      </c>
      <c r="J71">
        <v>582.53</v>
      </c>
      <c r="K71">
        <v>580.11</v>
      </c>
      <c r="L71">
        <v>577.69000000000005</v>
      </c>
    </row>
    <row r="72" spans="1:12" x14ac:dyDescent="0.15">
      <c r="A72">
        <v>335</v>
      </c>
      <c r="B72">
        <v>604.9</v>
      </c>
      <c r="C72">
        <v>602.59</v>
      </c>
      <c r="D72">
        <v>600.27</v>
      </c>
      <c r="E72">
        <v>597.94000000000005</v>
      </c>
      <c r="F72">
        <v>595.6</v>
      </c>
      <c r="G72">
        <v>593.24</v>
      </c>
      <c r="H72">
        <v>590.87</v>
      </c>
      <c r="I72">
        <v>588.49</v>
      </c>
      <c r="J72">
        <v>586.1</v>
      </c>
      <c r="K72">
        <v>583.70000000000005</v>
      </c>
      <c r="L72">
        <v>581.29</v>
      </c>
    </row>
    <row r="73" spans="1:12" x14ac:dyDescent="0.15">
      <c r="A73">
        <v>340</v>
      </c>
      <c r="B73">
        <v>608.34</v>
      </c>
      <c r="C73">
        <v>606.04999999999995</v>
      </c>
      <c r="D73">
        <v>603.74</v>
      </c>
      <c r="E73">
        <v>601.41999999999996</v>
      </c>
      <c r="F73">
        <v>599.09</v>
      </c>
      <c r="G73">
        <v>596.75</v>
      </c>
      <c r="H73">
        <v>594.39</v>
      </c>
      <c r="I73">
        <v>592.03</v>
      </c>
      <c r="J73">
        <v>589.65</v>
      </c>
      <c r="K73">
        <v>587.26</v>
      </c>
      <c r="L73">
        <v>584.86</v>
      </c>
    </row>
    <row r="74" spans="1:12" x14ac:dyDescent="0.15">
      <c r="A74">
        <v>345</v>
      </c>
      <c r="B74">
        <v>611.75</v>
      </c>
      <c r="C74">
        <v>609.47</v>
      </c>
      <c r="D74">
        <v>607.17999999999995</v>
      </c>
      <c r="E74">
        <v>604.88</v>
      </c>
      <c r="F74">
        <v>602.55999999999995</v>
      </c>
      <c r="G74">
        <v>600.23</v>
      </c>
      <c r="H74">
        <v>597.89</v>
      </c>
      <c r="I74">
        <v>595.53</v>
      </c>
      <c r="J74">
        <v>593.16999999999996</v>
      </c>
      <c r="K74">
        <v>590.79</v>
      </c>
      <c r="L74">
        <v>588.4</v>
      </c>
    </row>
    <row r="75" spans="1:12" x14ac:dyDescent="0.15">
      <c r="A75">
        <v>350</v>
      </c>
      <c r="B75">
        <v>615.13</v>
      </c>
      <c r="C75">
        <v>612.87</v>
      </c>
      <c r="D75">
        <v>610.59</v>
      </c>
      <c r="E75">
        <v>608.29999999999995</v>
      </c>
      <c r="F75">
        <v>606</v>
      </c>
      <c r="G75">
        <v>603.67999999999995</v>
      </c>
      <c r="H75">
        <v>601.35</v>
      </c>
      <c r="I75">
        <v>599.01</v>
      </c>
      <c r="J75">
        <v>596.66</v>
      </c>
      <c r="K75">
        <v>594.29</v>
      </c>
      <c r="L75">
        <v>591.91</v>
      </c>
    </row>
    <row r="76" spans="1:12" x14ac:dyDescent="0.15">
      <c r="A76">
        <v>355</v>
      </c>
      <c r="B76">
        <v>618.48</v>
      </c>
      <c r="C76">
        <v>616.23</v>
      </c>
      <c r="D76">
        <v>613.97</v>
      </c>
      <c r="E76">
        <v>611.69000000000005</v>
      </c>
      <c r="F76">
        <v>609.4</v>
      </c>
      <c r="G76">
        <v>607.1</v>
      </c>
      <c r="H76">
        <v>604.78</v>
      </c>
      <c r="I76">
        <v>602.45000000000005</v>
      </c>
      <c r="J76">
        <v>600.11</v>
      </c>
      <c r="K76">
        <v>597.76</v>
      </c>
      <c r="L76">
        <v>595.4</v>
      </c>
    </row>
    <row r="77" spans="1:12" x14ac:dyDescent="0.15">
      <c r="A77">
        <v>360</v>
      </c>
      <c r="B77">
        <v>621.79</v>
      </c>
      <c r="C77">
        <v>619.55999999999995</v>
      </c>
      <c r="D77">
        <v>617.30999999999995</v>
      </c>
      <c r="E77">
        <v>615.04999999999995</v>
      </c>
      <c r="F77">
        <v>612.77</v>
      </c>
      <c r="G77">
        <v>610.49</v>
      </c>
      <c r="H77">
        <v>608.17999999999995</v>
      </c>
      <c r="I77">
        <v>605.87</v>
      </c>
      <c r="J77">
        <v>603.54</v>
      </c>
      <c r="K77">
        <v>601.20000000000005</v>
      </c>
      <c r="L77">
        <v>598.85</v>
      </c>
    </row>
    <row r="78" spans="1:12" x14ac:dyDescent="0.15">
      <c r="A78">
        <v>365</v>
      </c>
      <c r="B78">
        <v>625.07000000000005</v>
      </c>
      <c r="C78">
        <v>622.85</v>
      </c>
      <c r="D78">
        <v>620.62</v>
      </c>
      <c r="E78">
        <v>618.38</v>
      </c>
      <c r="F78">
        <v>616.12</v>
      </c>
      <c r="G78">
        <v>613.84</v>
      </c>
      <c r="H78">
        <v>611.54999999999995</v>
      </c>
      <c r="I78">
        <v>609.25</v>
      </c>
      <c r="J78">
        <v>606.94000000000005</v>
      </c>
      <c r="K78">
        <v>604.61</v>
      </c>
      <c r="L78">
        <v>602.27</v>
      </c>
    </row>
    <row r="79" spans="1:12" x14ac:dyDescent="0.15">
      <c r="A79">
        <v>370</v>
      </c>
      <c r="B79">
        <v>628.32000000000005</v>
      </c>
      <c r="C79">
        <v>626.12</v>
      </c>
      <c r="D79">
        <v>623.9</v>
      </c>
      <c r="E79">
        <v>621.66999999999996</v>
      </c>
      <c r="F79">
        <v>619.41999999999996</v>
      </c>
      <c r="G79">
        <v>617.16999999999996</v>
      </c>
      <c r="H79">
        <v>614.89</v>
      </c>
      <c r="I79">
        <v>612.61</v>
      </c>
      <c r="J79">
        <v>610.30999999999995</v>
      </c>
      <c r="K79">
        <v>607.99</v>
      </c>
      <c r="L79">
        <v>605.66999999999996</v>
      </c>
    </row>
    <row r="80" spans="1:12" x14ac:dyDescent="0.15">
      <c r="A80">
        <v>375</v>
      </c>
      <c r="B80">
        <v>631.53</v>
      </c>
      <c r="C80">
        <v>629.34</v>
      </c>
      <c r="D80">
        <v>627.14</v>
      </c>
      <c r="E80">
        <v>624.92999999999995</v>
      </c>
      <c r="F80">
        <v>622.70000000000005</v>
      </c>
      <c r="G80">
        <v>620.46</v>
      </c>
      <c r="H80">
        <v>618.20000000000005</v>
      </c>
      <c r="I80">
        <v>615.92999999999995</v>
      </c>
      <c r="J80">
        <v>613.64</v>
      </c>
      <c r="K80">
        <v>611.34</v>
      </c>
      <c r="L80">
        <v>609.03</v>
      </c>
    </row>
    <row r="81" spans="1:12" x14ac:dyDescent="0.15">
      <c r="A81">
        <v>380</v>
      </c>
      <c r="B81">
        <v>634.71</v>
      </c>
      <c r="C81">
        <v>632.54</v>
      </c>
      <c r="D81">
        <v>630.36</v>
      </c>
      <c r="E81">
        <v>628.16</v>
      </c>
      <c r="F81">
        <v>625.94000000000005</v>
      </c>
      <c r="G81">
        <v>623.72</v>
      </c>
      <c r="H81">
        <v>621.47</v>
      </c>
      <c r="I81">
        <v>619.22</v>
      </c>
      <c r="J81">
        <v>616.95000000000005</v>
      </c>
      <c r="K81">
        <v>614.66</v>
      </c>
      <c r="L81">
        <v>612.37</v>
      </c>
    </row>
    <row r="82" spans="1:12" x14ac:dyDescent="0.15">
      <c r="A82">
        <v>385</v>
      </c>
      <c r="B82">
        <v>637.85</v>
      </c>
      <c r="C82">
        <v>635.70000000000005</v>
      </c>
      <c r="D82">
        <v>633.53</v>
      </c>
      <c r="E82">
        <v>631.35</v>
      </c>
      <c r="F82">
        <v>629.15</v>
      </c>
      <c r="G82">
        <v>626.94000000000005</v>
      </c>
      <c r="H82">
        <v>624.71</v>
      </c>
      <c r="I82">
        <v>622.47</v>
      </c>
      <c r="J82">
        <v>620.22</v>
      </c>
      <c r="K82">
        <v>617.95000000000005</v>
      </c>
      <c r="L82">
        <v>615.66999999999996</v>
      </c>
    </row>
    <row r="83" spans="1:12" x14ac:dyDescent="0.15">
      <c r="A83">
        <v>390</v>
      </c>
      <c r="B83">
        <v>640.96</v>
      </c>
      <c r="C83">
        <v>638.82000000000005</v>
      </c>
      <c r="D83">
        <v>636.67999999999995</v>
      </c>
      <c r="E83">
        <v>634.51</v>
      </c>
      <c r="F83">
        <v>632.33000000000004</v>
      </c>
      <c r="G83">
        <v>630.13</v>
      </c>
      <c r="H83">
        <v>627.91999999999996</v>
      </c>
      <c r="I83">
        <v>625.70000000000005</v>
      </c>
      <c r="J83">
        <v>623.46</v>
      </c>
      <c r="K83">
        <v>621.20000000000005</v>
      </c>
      <c r="L83">
        <v>618.94000000000005</v>
      </c>
    </row>
    <row r="84" spans="1:12" x14ac:dyDescent="0.15">
      <c r="A84">
        <v>395</v>
      </c>
      <c r="B84">
        <v>644.03</v>
      </c>
      <c r="C84">
        <v>641.91999999999996</v>
      </c>
      <c r="D84">
        <v>639.78</v>
      </c>
      <c r="E84">
        <v>637.64</v>
      </c>
      <c r="F84">
        <v>635.47</v>
      </c>
      <c r="G84">
        <v>633.29</v>
      </c>
      <c r="H84">
        <v>631.1</v>
      </c>
      <c r="I84">
        <v>628.89</v>
      </c>
      <c r="J84">
        <v>626.66</v>
      </c>
      <c r="K84">
        <v>624.42999999999995</v>
      </c>
      <c r="L84">
        <v>622.16999999999996</v>
      </c>
    </row>
    <row r="85" spans="1:12" x14ac:dyDescent="0.15">
      <c r="A85">
        <v>400</v>
      </c>
      <c r="B85">
        <v>647.07000000000005</v>
      </c>
      <c r="C85">
        <v>644.97</v>
      </c>
      <c r="D85">
        <v>642.86</v>
      </c>
      <c r="E85">
        <v>640.73</v>
      </c>
      <c r="F85">
        <v>638.58000000000004</v>
      </c>
      <c r="G85">
        <v>636.41999999999996</v>
      </c>
      <c r="H85">
        <v>634.24</v>
      </c>
      <c r="I85">
        <v>632.04999999999995</v>
      </c>
      <c r="J85">
        <v>629.84</v>
      </c>
      <c r="K85">
        <v>627.62</v>
      </c>
      <c r="L85">
        <v>625.38</v>
      </c>
    </row>
    <row r="86" spans="1:12" x14ac:dyDescent="0.15">
      <c r="A86">
        <v>405</v>
      </c>
      <c r="B86">
        <v>650.07000000000005</v>
      </c>
      <c r="C86">
        <v>647.99</v>
      </c>
      <c r="D86">
        <v>645.9</v>
      </c>
      <c r="E86">
        <v>643.78</v>
      </c>
      <c r="F86">
        <v>641.65</v>
      </c>
      <c r="G86">
        <v>639.51</v>
      </c>
      <c r="H86">
        <v>637.35</v>
      </c>
      <c r="I86">
        <v>635.16999999999996</v>
      </c>
      <c r="J86">
        <v>632.98</v>
      </c>
      <c r="K86">
        <v>630.77</v>
      </c>
      <c r="L86">
        <v>628.54999999999995</v>
      </c>
    </row>
    <row r="87" spans="1:12" x14ac:dyDescent="0.15">
      <c r="A87">
        <v>410</v>
      </c>
      <c r="B87">
        <v>653.04</v>
      </c>
      <c r="C87">
        <v>650.98</v>
      </c>
      <c r="D87">
        <v>648.9</v>
      </c>
      <c r="E87">
        <v>646.79999999999995</v>
      </c>
      <c r="F87">
        <v>644.69000000000005</v>
      </c>
      <c r="G87">
        <v>642.55999999999995</v>
      </c>
      <c r="H87">
        <v>640.41999999999996</v>
      </c>
      <c r="I87">
        <v>638.26</v>
      </c>
      <c r="J87">
        <v>636.09</v>
      </c>
      <c r="K87">
        <v>633.89</v>
      </c>
      <c r="L87">
        <v>631.69000000000005</v>
      </c>
    </row>
    <row r="88" spans="1:12" x14ac:dyDescent="0.15">
      <c r="A88">
        <v>415</v>
      </c>
      <c r="B88">
        <v>655.97</v>
      </c>
      <c r="C88">
        <v>653.92999999999995</v>
      </c>
      <c r="D88">
        <v>651.87</v>
      </c>
      <c r="E88">
        <v>649.79</v>
      </c>
      <c r="F88">
        <v>647.70000000000005</v>
      </c>
      <c r="G88">
        <v>645.59</v>
      </c>
      <c r="H88">
        <v>643.46</v>
      </c>
      <c r="I88">
        <v>641.32000000000005</v>
      </c>
      <c r="J88">
        <v>639.16</v>
      </c>
      <c r="K88">
        <v>636.98</v>
      </c>
      <c r="L88">
        <v>634.79999999999995</v>
      </c>
    </row>
    <row r="89" spans="1:12" x14ac:dyDescent="0.15">
      <c r="A89">
        <v>420</v>
      </c>
      <c r="B89">
        <v>658.87</v>
      </c>
      <c r="C89">
        <v>656.84</v>
      </c>
      <c r="D89">
        <v>654.79999999999995</v>
      </c>
      <c r="E89">
        <v>652.74</v>
      </c>
      <c r="F89">
        <v>650.66</v>
      </c>
      <c r="G89">
        <v>648.57000000000005</v>
      </c>
      <c r="H89">
        <v>646.46</v>
      </c>
      <c r="I89">
        <v>644.34</v>
      </c>
      <c r="J89">
        <v>642.20000000000005</v>
      </c>
      <c r="K89">
        <v>640.04</v>
      </c>
      <c r="L89">
        <v>637.87</v>
      </c>
    </row>
    <row r="90" spans="1:12" x14ac:dyDescent="0.15">
      <c r="A90">
        <v>425</v>
      </c>
      <c r="B90">
        <v>661.73</v>
      </c>
      <c r="C90">
        <v>659.72</v>
      </c>
      <c r="D90">
        <v>657.7</v>
      </c>
      <c r="E90">
        <v>655.66</v>
      </c>
      <c r="F90">
        <v>653.6</v>
      </c>
      <c r="G90">
        <v>651.52</v>
      </c>
      <c r="H90">
        <v>649.42999999999995</v>
      </c>
      <c r="I90">
        <v>647.33000000000004</v>
      </c>
      <c r="J90">
        <v>645.20000000000005</v>
      </c>
      <c r="K90">
        <v>643.05999999999995</v>
      </c>
      <c r="L90">
        <v>640.91</v>
      </c>
    </row>
    <row r="91" spans="1:12" x14ac:dyDescent="0.15">
      <c r="A91">
        <v>430</v>
      </c>
      <c r="B91">
        <v>664.55</v>
      </c>
      <c r="C91">
        <v>662.56</v>
      </c>
      <c r="D91">
        <v>660.56</v>
      </c>
      <c r="E91">
        <v>658.53</v>
      </c>
      <c r="F91">
        <v>656.5</v>
      </c>
      <c r="G91">
        <v>654.44000000000005</v>
      </c>
      <c r="H91">
        <v>652.37</v>
      </c>
      <c r="I91">
        <v>650.28</v>
      </c>
      <c r="J91">
        <v>648.16999999999996</v>
      </c>
      <c r="K91">
        <v>646.04999999999995</v>
      </c>
      <c r="L91">
        <v>643.91</v>
      </c>
    </row>
    <row r="92" spans="1:12" x14ac:dyDescent="0.15">
      <c r="A92">
        <v>435</v>
      </c>
      <c r="B92">
        <v>667.33</v>
      </c>
      <c r="C92">
        <v>665.37</v>
      </c>
      <c r="D92">
        <v>663.38</v>
      </c>
      <c r="E92">
        <v>661.38</v>
      </c>
      <c r="F92">
        <v>659.36</v>
      </c>
      <c r="G92">
        <v>657.32</v>
      </c>
      <c r="H92">
        <v>655.27</v>
      </c>
      <c r="I92">
        <v>653.20000000000005</v>
      </c>
      <c r="J92">
        <v>651.11</v>
      </c>
      <c r="K92">
        <v>649</v>
      </c>
      <c r="L92">
        <v>646.88</v>
      </c>
    </row>
    <row r="93" spans="1:12" x14ac:dyDescent="0.15">
      <c r="A93">
        <v>440</v>
      </c>
      <c r="B93">
        <v>670.08</v>
      </c>
      <c r="C93">
        <v>668.13</v>
      </c>
      <c r="D93">
        <v>666.17</v>
      </c>
      <c r="E93">
        <v>664.19</v>
      </c>
      <c r="F93">
        <v>662.18</v>
      </c>
      <c r="G93">
        <v>660.17</v>
      </c>
      <c r="H93">
        <v>658.13</v>
      </c>
      <c r="I93">
        <v>656.08</v>
      </c>
      <c r="J93">
        <v>654.01</v>
      </c>
      <c r="K93">
        <v>651.91999999999996</v>
      </c>
      <c r="L93">
        <v>649.82000000000005</v>
      </c>
    </row>
    <row r="94" spans="1:12" x14ac:dyDescent="0.15">
      <c r="A94">
        <v>445</v>
      </c>
      <c r="B94">
        <v>672.79</v>
      </c>
      <c r="C94">
        <v>670.87</v>
      </c>
      <c r="D94">
        <v>668.92</v>
      </c>
      <c r="E94">
        <v>666.96</v>
      </c>
      <c r="F94">
        <v>664.97</v>
      </c>
      <c r="G94">
        <v>662.98</v>
      </c>
      <c r="H94">
        <v>660.96</v>
      </c>
      <c r="I94">
        <v>658.93</v>
      </c>
      <c r="J94">
        <v>656.87</v>
      </c>
      <c r="K94">
        <v>654.80999999999995</v>
      </c>
      <c r="L94">
        <v>652.72</v>
      </c>
    </row>
    <row r="95" spans="1:12" x14ac:dyDescent="0.15">
      <c r="A95">
        <v>450</v>
      </c>
      <c r="B95">
        <v>675.47</v>
      </c>
      <c r="C95">
        <v>673.56</v>
      </c>
      <c r="D95">
        <v>671.63</v>
      </c>
      <c r="E95">
        <v>669.69</v>
      </c>
      <c r="F95">
        <v>667.73</v>
      </c>
      <c r="G95">
        <v>665.75</v>
      </c>
      <c r="H95">
        <v>663.75</v>
      </c>
      <c r="I95">
        <v>661.74</v>
      </c>
      <c r="J95">
        <v>659.7</v>
      </c>
      <c r="K95">
        <v>657.66</v>
      </c>
      <c r="L95">
        <v>655.59</v>
      </c>
    </row>
    <row r="96" spans="1:12" x14ac:dyDescent="0.15">
      <c r="A96">
        <v>455</v>
      </c>
      <c r="B96">
        <v>678.1</v>
      </c>
      <c r="C96">
        <v>676.22</v>
      </c>
      <c r="D96">
        <v>674.31</v>
      </c>
      <c r="E96">
        <v>672.39</v>
      </c>
      <c r="F96">
        <v>670.45</v>
      </c>
      <c r="G96">
        <v>668.49</v>
      </c>
      <c r="H96">
        <v>666.51</v>
      </c>
      <c r="I96">
        <v>664.51</v>
      </c>
      <c r="J96">
        <v>662.5</v>
      </c>
      <c r="K96">
        <v>660.47</v>
      </c>
      <c r="L96">
        <v>658.42</v>
      </c>
    </row>
    <row r="97" spans="1:12" x14ac:dyDescent="0.15">
      <c r="A97">
        <v>460</v>
      </c>
      <c r="B97">
        <v>680.7</v>
      </c>
      <c r="C97">
        <v>678.84</v>
      </c>
      <c r="D97">
        <v>676.95</v>
      </c>
      <c r="E97">
        <v>675.05</v>
      </c>
      <c r="F97">
        <v>673.13</v>
      </c>
      <c r="G97">
        <v>671.19</v>
      </c>
      <c r="H97">
        <v>669.23</v>
      </c>
      <c r="I97">
        <v>667.25</v>
      </c>
      <c r="J97">
        <v>665.26</v>
      </c>
      <c r="K97">
        <v>663.25</v>
      </c>
      <c r="L97">
        <v>661.22</v>
      </c>
    </row>
    <row r="98" spans="1:12" x14ac:dyDescent="0.15">
      <c r="A98">
        <v>465</v>
      </c>
      <c r="B98">
        <v>683.26</v>
      </c>
      <c r="C98">
        <v>681.42</v>
      </c>
      <c r="D98">
        <v>679.55</v>
      </c>
      <c r="E98">
        <v>677.67</v>
      </c>
      <c r="F98">
        <v>675.77</v>
      </c>
      <c r="G98">
        <v>673.85</v>
      </c>
      <c r="H98">
        <v>671.91</v>
      </c>
      <c r="I98">
        <v>669.95</v>
      </c>
      <c r="J98">
        <v>667.98</v>
      </c>
      <c r="K98">
        <v>665.99</v>
      </c>
      <c r="L98">
        <v>663.98</v>
      </c>
    </row>
    <row r="99" spans="1:12" x14ac:dyDescent="0.15">
      <c r="A99">
        <v>470</v>
      </c>
      <c r="B99">
        <v>685.79</v>
      </c>
      <c r="C99">
        <v>683.96</v>
      </c>
      <c r="D99">
        <v>682.12</v>
      </c>
      <c r="E99">
        <v>680.26</v>
      </c>
      <c r="F99">
        <v>678.38</v>
      </c>
      <c r="G99">
        <v>676.48</v>
      </c>
      <c r="H99">
        <v>674.56</v>
      </c>
      <c r="I99">
        <v>672.62</v>
      </c>
      <c r="J99">
        <v>670.67</v>
      </c>
      <c r="K99">
        <v>668.69</v>
      </c>
      <c r="L99">
        <v>666.7</v>
      </c>
    </row>
    <row r="100" spans="1:12" x14ac:dyDescent="0.15">
      <c r="A100">
        <v>475</v>
      </c>
      <c r="B100">
        <v>688.27</v>
      </c>
      <c r="C100">
        <v>686.47</v>
      </c>
      <c r="D100">
        <v>684.65</v>
      </c>
      <c r="E100">
        <v>682.81</v>
      </c>
      <c r="F100">
        <v>680.94</v>
      </c>
      <c r="G100">
        <v>679.06</v>
      </c>
      <c r="H100">
        <v>677.17</v>
      </c>
      <c r="I100">
        <v>675.25</v>
      </c>
      <c r="J100">
        <v>673.32</v>
      </c>
      <c r="K100">
        <v>671.36</v>
      </c>
      <c r="L100">
        <v>669.39</v>
      </c>
    </row>
    <row r="101" spans="1:12" x14ac:dyDescent="0.15">
      <c r="A101">
        <v>480</v>
      </c>
      <c r="B101">
        <v>690.72</v>
      </c>
      <c r="C101">
        <v>688.94</v>
      </c>
      <c r="D101">
        <v>687.14</v>
      </c>
      <c r="E101">
        <v>685.32</v>
      </c>
      <c r="F101">
        <v>683.48</v>
      </c>
      <c r="G101">
        <v>681.62</v>
      </c>
      <c r="H101">
        <v>679.74</v>
      </c>
      <c r="I101">
        <v>677.85</v>
      </c>
      <c r="J101">
        <v>675.93</v>
      </c>
      <c r="K101">
        <v>674</v>
      </c>
      <c r="L101">
        <v>672.05</v>
      </c>
    </row>
    <row r="102" spans="1:12" x14ac:dyDescent="0.15">
      <c r="A102">
        <v>485</v>
      </c>
      <c r="B102">
        <v>693.13</v>
      </c>
      <c r="C102">
        <v>691.37</v>
      </c>
      <c r="D102">
        <v>689.59</v>
      </c>
      <c r="E102">
        <v>687.79</v>
      </c>
      <c r="F102">
        <v>685.97</v>
      </c>
      <c r="G102">
        <v>684.13</v>
      </c>
      <c r="H102">
        <v>682.28</v>
      </c>
      <c r="I102">
        <v>680.4</v>
      </c>
      <c r="J102">
        <v>678.51</v>
      </c>
      <c r="K102">
        <v>676.6</v>
      </c>
      <c r="L102">
        <v>674.66</v>
      </c>
    </row>
    <row r="103" spans="1:12" x14ac:dyDescent="0.15">
      <c r="A103">
        <v>490</v>
      </c>
      <c r="B103">
        <v>695.5</v>
      </c>
      <c r="C103">
        <v>693.76</v>
      </c>
      <c r="D103">
        <v>692</v>
      </c>
      <c r="E103">
        <v>690.22</v>
      </c>
      <c r="F103">
        <v>688.43</v>
      </c>
      <c r="G103">
        <v>686.61</v>
      </c>
      <c r="H103">
        <v>684.78</v>
      </c>
      <c r="I103">
        <v>682.92</v>
      </c>
      <c r="J103">
        <v>681.05</v>
      </c>
      <c r="K103">
        <v>679.16</v>
      </c>
      <c r="L103">
        <v>677.25</v>
      </c>
    </row>
    <row r="104" spans="1:12" x14ac:dyDescent="0.15">
      <c r="A104">
        <v>495</v>
      </c>
      <c r="B104">
        <v>697.92</v>
      </c>
      <c r="C104">
        <v>696.21</v>
      </c>
      <c r="D104">
        <v>694.48</v>
      </c>
      <c r="E104">
        <v>692.72</v>
      </c>
      <c r="F104">
        <v>690.95</v>
      </c>
      <c r="G104">
        <v>689.16</v>
      </c>
      <c r="H104">
        <v>687.35</v>
      </c>
      <c r="I104">
        <v>685.52</v>
      </c>
      <c r="J104">
        <v>683.66</v>
      </c>
      <c r="K104">
        <v>681.8</v>
      </c>
      <c r="L104">
        <v>679.91</v>
      </c>
    </row>
    <row r="105" spans="1:12" x14ac:dyDescent="0.15">
      <c r="A105">
        <v>500</v>
      </c>
      <c r="B105">
        <v>700.43</v>
      </c>
      <c r="C105">
        <v>698.75</v>
      </c>
      <c r="D105">
        <v>697.04</v>
      </c>
      <c r="E105">
        <v>695.31</v>
      </c>
      <c r="F105">
        <v>693.57</v>
      </c>
      <c r="G105">
        <v>691.8</v>
      </c>
      <c r="H105">
        <v>690.02</v>
      </c>
      <c r="I105">
        <v>688.21</v>
      </c>
      <c r="J105">
        <v>686.39</v>
      </c>
      <c r="K105">
        <v>684.55</v>
      </c>
      <c r="L105">
        <v>682.68</v>
      </c>
    </row>
    <row r="106" spans="1:12" x14ac:dyDescent="0.15">
      <c r="A106">
        <v>505</v>
      </c>
      <c r="B106">
        <v>702.9</v>
      </c>
      <c r="C106">
        <v>701.24</v>
      </c>
      <c r="D106">
        <v>699.56</v>
      </c>
      <c r="E106">
        <v>697.86</v>
      </c>
      <c r="F106">
        <v>696.14</v>
      </c>
      <c r="G106">
        <v>694.4</v>
      </c>
      <c r="H106">
        <v>692.64</v>
      </c>
      <c r="I106">
        <v>690.86</v>
      </c>
      <c r="J106">
        <v>689.07</v>
      </c>
      <c r="K106">
        <v>687.25</v>
      </c>
      <c r="L106">
        <v>685.41</v>
      </c>
    </row>
    <row r="107" spans="1:12" x14ac:dyDescent="0.15">
      <c r="A107">
        <v>510</v>
      </c>
      <c r="B107">
        <v>705.31</v>
      </c>
      <c r="C107">
        <v>703.68</v>
      </c>
      <c r="D107">
        <v>702.03</v>
      </c>
      <c r="E107">
        <v>700.36</v>
      </c>
      <c r="F107">
        <v>698.67</v>
      </c>
      <c r="G107">
        <v>696.95</v>
      </c>
      <c r="H107">
        <v>695.22</v>
      </c>
      <c r="I107">
        <v>693.47</v>
      </c>
      <c r="J107">
        <v>691.7</v>
      </c>
      <c r="K107">
        <v>689.91</v>
      </c>
      <c r="L107">
        <v>688.1</v>
      </c>
    </row>
    <row r="108" spans="1:12" x14ac:dyDescent="0.15">
      <c r="A108">
        <v>515</v>
      </c>
      <c r="B108">
        <v>707.69</v>
      </c>
      <c r="C108">
        <v>706.08</v>
      </c>
      <c r="D108">
        <v>704.46</v>
      </c>
      <c r="E108">
        <v>702.81</v>
      </c>
      <c r="F108">
        <v>701.15</v>
      </c>
      <c r="G108">
        <v>699.46</v>
      </c>
      <c r="H108">
        <v>697.75</v>
      </c>
      <c r="I108">
        <v>696.03</v>
      </c>
      <c r="J108">
        <v>694.28</v>
      </c>
      <c r="K108">
        <v>692.52</v>
      </c>
      <c r="L108">
        <v>690.74</v>
      </c>
    </row>
    <row r="109" spans="1:12" x14ac:dyDescent="0.15">
      <c r="A109">
        <v>520</v>
      </c>
      <c r="B109">
        <v>710.01</v>
      </c>
      <c r="C109">
        <v>708.43</v>
      </c>
      <c r="D109">
        <v>706.84</v>
      </c>
      <c r="E109">
        <v>705.22</v>
      </c>
      <c r="F109">
        <v>703.58</v>
      </c>
      <c r="G109">
        <v>701.92</v>
      </c>
      <c r="H109">
        <v>700.24</v>
      </c>
      <c r="I109">
        <v>698.54</v>
      </c>
      <c r="J109">
        <v>696.83</v>
      </c>
      <c r="K109">
        <v>695.09</v>
      </c>
      <c r="L109">
        <v>693.33</v>
      </c>
    </row>
    <row r="110" spans="1:12" x14ac:dyDescent="0.15">
      <c r="A110">
        <v>525</v>
      </c>
      <c r="B110">
        <v>712.29</v>
      </c>
      <c r="C110">
        <v>710.74</v>
      </c>
      <c r="D110">
        <v>709.17</v>
      </c>
      <c r="E110">
        <v>707.58</v>
      </c>
      <c r="F110">
        <v>705.97</v>
      </c>
      <c r="G110">
        <v>704.34</v>
      </c>
      <c r="H110">
        <v>702.69</v>
      </c>
      <c r="I110">
        <v>701.01</v>
      </c>
      <c r="J110">
        <v>699.32</v>
      </c>
      <c r="K110">
        <v>697.61</v>
      </c>
      <c r="L110">
        <v>695.88</v>
      </c>
    </row>
    <row r="111" spans="1:12" x14ac:dyDescent="0.15">
      <c r="A111">
        <v>530</v>
      </c>
      <c r="B111">
        <v>714.52</v>
      </c>
      <c r="C111">
        <v>713</v>
      </c>
      <c r="D111">
        <v>711.46</v>
      </c>
      <c r="E111">
        <v>709.9</v>
      </c>
      <c r="F111">
        <v>708.31</v>
      </c>
      <c r="G111">
        <v>706.71</v>
      </c>
      <c r="H111">
        <v>705.08</v>
      </c>
      <c r="I111">
        <v>703.44</v>
      </c>
      <c r="J111">
        <v>701.78</v>
      </c>
      <c r="K111">
        <v>700.09</v>
      </c>
      <c r="L111">
        <v>698.39</v>
      </c>
    </row>
    <row r="112" spans="1:12" x14ac:dyDescent="0.15">
      <c r="A112">
        <v>535</v>
      </c>
      <c r="B112">
        <v>716.71</v>
      </c>
      <c r="C112">
        <v>715.22</v>
      </c>
      <c r="D112">
        <v>713.7</v>
      </c>
      <c r="E112">
        <v>712.17</v>
      </c>
      <c r="F112">
        <v>710.61</v>
      </c>
      <c r="G112">
        <v>709.03</v>
      </c>
      <c r="H112">
        <v>707.44</v>
      </c>
      <c r="I112">
        <v>705.82</v>
      </c>
      <c r="J112">
        <v>704.18</v>
      </c>
      <c r="K112">
        <v>702.52</v>
      </c>
      <c r="L112">
        <v>700.85</v>
      </c>
    </row>
    <row r="113" spans="1:12" x14ac:dyDescent="0.15">
      <c r="A113">
        <v>540</v>
      </c>
      <c r="B113">
        <v>718.85</v>
      </c>
      <c r="C113">
        <v>717.39</v>
      </c>
      <c r="D113">
        <v>715.9</v>
      </c>
      <c r="E113">
        <v>714.39</v>
      </c>
      <c r="F113">
        <v>712.86</v>
      </c>
      <c r="G113">
        <v>711.31</v>
      </c>
      <c r="H113">
        <v>709.74</v>
      </c>
      <c r="I113">
        <v>708.15</v>
      </c>
      <c r="J113">
        <v>706.54</v>
      </c>
      <c r="K113">
        <v>704.91</v>
      </c>
      <c r="L113">
        <v>703.26</v>
      </c>
    </row>
    <row r="114" spans="1:12" x14ac:dyDescent="0.15">
      <c r="A114">
        <v>545</v>
      </c>
      <c r="B114">
        <v>720.94</v>
      </c>
      <c r="C114">
        <v>719.51</v>
      </c>
      <c r="D114">
        <v>718.05</v>
      </c>
      <c r="E114">
        <v>716.57</v>
      </c>
      <c r="F114">
        <v>715.07</v>
      </c>
      <c r="G114">
        <v>713.55</v>
      </c>
      <c r="H114">
        <v>712</v>
      </c>
      <c r="I114">
        <v>710.44</v>
      </c>
      <c r="J114">
        <v>708.86</v>
      </c>
      <c r="K114">
        <v>707.25</v>
      </c>
      <c r="L114">
        <v>705.63</v>
      </c>
    </row>
    <row r="115" spans="1:12" x14ac:dyDescent="0.15">
      <c r="A115">
        <v>550</v>
      </c>
      <c r="B115">
        <v>722.99</v>
      </c>
      <c r="C115">
        <v>721.58</v>
      </c>
      <c r="D115">
        <v>720.15</v>
      </c>
      <c r="E115">
        <v>718.7</v>
      </c>
      <c r="F115">
        <v>717.23</v>
      </c>
      <c r="G115">
        <v>715.73</v>
      </c>
      <c r="H115">
        <v>714.22</v>
      </c>
      <c r="I115">
        <v>712.68</v>
      </c>
      <c r="J115">
        <v>711.13</v>
      </c>
      <c r="K115">
        <v>709.55</v>
      </c>
      <c r="L115">
        <v>707.95</v>
      </c>
    </row>
    <row r="116" spans="1:12" x14ac:dyDescent="0.15">
      <c r="A116">
        <v>555</v>
      </c>
      <c r="B116">
        <v>724.99</v>
      </c>
      <c r="C116">
        <v>723.61</v>
      </c>
      <c r="D116">
        <v>722.21</v>
      </c>
      <c r="E116">
        <v>720.78</v>
      </c>
      <c r="F116">
        <v>719.34</v>
      </c>
      <c r="G116">
        <v>717.87</v>
      </c>
      <c r="H116">
        <v>716.39</v>
      </c>
      <c r="I116">
        <v>714.88</v>
      </c>
      <c r="J116">
        <v>713.35</v>
      </c>
      <c r="K116">
        <v>711.8</v>
      </c>
      <c r="L116">
        <v>710.23</v>
      </c>
    </row>
    <row r="117" spans="1:12" x14ac:dyDescent="0.15">
      <c r="A117">
        <v>560</v>
      </c>
      <c r="B117">
        <v>726.94</v>
      </c>
      <c r="C117">
        <v>725.59</v>
      </c>
      <c r="D117">
        <v>724.22</v>
      </c>
      <c r="E117">
        <v>722.82</v>
      </c>
      <c r="F117">
        <v>721.41</v>
      </c>
      <c r="G117">
        <v>719.97</v>
      </c>
      <c r="H117">
        <v>718.51</v>
      </c>
      <c r="I117">
        <v>717.03</v>
      </c>
      <c r="J117">
        <v>715.53</v>
      </c>
      <c r="K117">
        <v>714.01</v>
      </c>
      <c r="L117">
        <v>712.47</v>
      </c>
    </row>
    <row r="118" spans="1:12" x14ac:dyDescent="0.15">
      <c r="A118">
        <v>565</v>
      </c>
      <c r="B118">
        <v>728.85</v>
      </c>
      <c r="C118">
        <v>727.52</v>
      </c>
      <c r="D118">
        <v>726.18</v>
      </c>
      <c r="E118">
        <v>724.81</v>
      </c>
      <c r="F118">
        <v>723.42</v>
      </c>
      <c r="G118">
        <v>722.01</v>
      </c>
      <c r="H118">
        <v>720.58</v>
      </c>
      <c r="I118">
        <v>719.13</v>
      </c>
      <c r="J118">
        <v>717.66</v>
      </c>
      <c r="K118">
        <v>716.17</v>
      </c>
      <c r="L118">
        <v>714.65</v>
      </c>
    </row>
    <row r="119" spans="1:12" x14ac:dyDescent="0.15">
      <c r="A119">
        <v>570</v>
      </c>
      <c r="B119">
        <v>730.7</v>
      </c>
      <c r="C119">
        <v>729.41</v>
      </c>
      <c r="D119">
        <v>728.09</v>
      </c>
      <c r="E119">
        <v>726.75</v>
      </c>
      <c r="F119">
        <v>725.39</v>
      </c>
      <c r="G119">
        <v>724.01</v>
      </c>
      <c r="H119">
        <v>722.61</v>
      </c>
      <c r="I119">
        <v>721.19</v>
      </c>
      <c r="J119">
        <v>719.74</v>
      </c>
      <c r="K119">
        <v>718.28</v>
      </c>
      <c r="L119">
        <v>716.79</v>
      </c>
    </row>
    <row r="120" spans="1:12" x14ac:dyDescent="0.15">
      <c r="A120">
        <v>575</v>
      </c>
      <c r="B120">
        <v>732.51</v>
      </c>
      <c r="C120">
        <v>731.24</v>
      </c>
      <c r="D120">
        <v>729.96</v>
      </c>
      <c r="E120">
        <v>728.65</v>
      </c>
      <c r="F120">
        <v>727.32</v>
      </c>
      <c r="G120">
        <v>725.97</v>
      </c>
      <c r="H120">
        <v>724.59</v>
      </c>
      <c r="I120">
        <v>723.2</v>
      </c>
      <c r="J120">
        <v>721.78</v>
      </c>
      <c r="K120">
        <v>720.34</v>
      </c>
      <c r="L120">
        <v>718.89</v>
      </c>
    </row>
    <row r="121" spans="1:12" x14ac:dyDescent="0.15">
      <c r="A121">
        <v>580</v>
      </c>
      <c r="B121">
        <v>734.27</v>
      </c>
      <c r="C121">
        <v>733.03</v>
      </c>
      <c r="D121">
        <v>731.78</v>
      </c>
      <c r="E121">
        <v>730.5</v>
      </c>
      <c r="F121">
        <v>729.19</v>
      </c>
      <c r="G121">
        <v>727.87</v>
      </c>
      <c r="H121">
        <v>726.53</v>
      </c>
      <c r="I121">
        <v>725.16</v>
      </c>
      <c r="J121">
        <v>723.77</v>
      </c>
      <c r="K121">
        <v>722.36</v>
      </c>
      <c r="L121">
        <v>720.93</v>
      </c>
    </row>
    <row r="122" spans="1:12" x14ac:dyDescent="0.15">
      <c r="A122">
        <v>585</v>
      </c>
      <c r="B122">
        <v>735.98</v>
      </c>
      <c r="C122">
        <v>734.78</v>
      </c>
      <c r="D122">
        <v>733.55</v>
      </c>
      <c r="E122">
        <v>732.3</v>
      </c>
      <c r="F122">
        <v>731.02</v>
      </c>
      <c r="G122">
        <v>729.73</v>
      </c>
      <c r="H122">
        <v>728.41</v>
      </c>
      <c r="I122">
        <v>727.07</v>
      </c>
      <c r="J122">
        <v>725.72</v>
      </c>
      <c r="K122">
        <v>724.33</v>
      </c>
      <c r="L122">
        <v>722.93</v>
      </c>
    </row>
    <row r="123" spans="1:12" x14ac:dyDescent="0.15">
      <c r="A123">
        <v>590</v>
      </c>
      <c r="B123">
        <v>737.65</v>
      </c>
      <c r="C123">
        <v>736.47</v>
      </c>
      <c r="D123">
        <v>735.27</v>
      </c>
      <c r="E123">
        <v>734.05</v>
      </c>
      <c r="F123">
        <v>732.8</v>
      </c>
      <c r="G123">
        <v>731.54</v>
      </c>
      <c r="H123">
        <v>730.25</v>
      </c>
      <c r="I123">
        <v>728.94</v>
      </c>
      <c r="J123">
        <v>727.61</v>
      </c>
      <c r="K123">
        <v>726.26</v>
      </c>
      <c r="L123">
        <v>724.89</v>
      </c>
    </row>
    <row r="124" spans="1:12" x14ac:dyDescent="0.15">
      <c r="A124">
        <v>595</v>
      </c>
      <c r="B124">
        <v>739.26</v>
      </c>
      <c r="C124">
        <v>738.11</v>
      </c>
      <c r="D124">
        <v>736.94</v>
      </c>
      <c r="E124">
        <v>735.75</v>
      </c>
      <c r="F124">
        <v>734.54</v>
      </c>
      <c r="G124">
        <v>733.3</v>
      </c>
      <c r="H124">
        <v>732.04</v>
      </c>
      <c r="I124">
        <v>730.76</v>
      </c>
      <c r="J124">
        <v>729.46</v>
      </c>
      <c r="K124">
        <v>728.14</v>
      </c>
      <c r="L124">
        <v>726.79</v>
      </c>
    </row>
    <row r="125" spans="1:12" x14ac:dyDescent="0.15">
      <c r="A125">
        <v>600</v>
      </c>
      <c r="B125">
        <v>740.83</v>
      </c>
      <c r="C125">
        <v>739.71</v>
      </c>
      <c r="D125">
        <v>738.57</v>
      </c>
      <c r="E125">
        <v>737.41</v>
      </c>
      <c r="F125">
        <v>736.22</v>
      </c>
      <c r="G125">
        <v>735.01</v>
      </c>
      <c r="H125">
        <v>733.78</v>
      </c>
      <c r="I125">
        <v>732.53</v>
      </c>
      <c r="J125">
        <v>731.26</v>
      </c>
      <c r="K125">
        <v>729.97</v>
      </c>
      <c r="L125">
        <v>728.65</v>
      </c>
    </row>
    <row r="126" spans="1:12" x14ac:dyDescent="0.15">
      <c r="A126">
        <v>605</v>
      </c>
      <c r="B126">
        <v>742.35</v>
      </c>
      <c r="C126">
        <v>741.26</v>
      </c>
      <c r="D126">
        <v>740.15</v>
      </c>
      <c r="E126">
        <v>739.02</v>
      </c>
      <c r="F126">
        <v>737.86</v>
      </c>
      <c r="G126">
        <v>736.68</v>
      </c>
      <c r="H126">
        <v>735.48</v>
      </c>
      <c r="I126">
        <v>734.26</v>
      </c>
      <c r="J126">
        <v>733.01</v>
      </c>
      <c r="K126">
        <v>731.75</v>
      </c>
      <c r="L126">
        <v>730.46</v>
      </c>
    </row>
    <row r="127" spans="1:12" x14ac:dyDescent="0.15">
      <c r="A127">
        <v>610</v>
      </c>
      <c r="B127">
        <v>743.82</v>
      </c>
      <c r="C127">
        <v>742.76</v>
      </c>
      <c r="D127">
        <v>741.68</v>
      </c>
      <c r="E127">
        <v>740.58</v>
      </c>
      <c r="F127">
        <v>739.45</v>
      </c>
      <c r="G127">
        <v>738.3</v>
      </c>
      <c r="H127">
        <v>737.13</v>
      </c>
      <c r="I127">
        <v>735.94</v>
      </c>
      <c r="J127">
        <v>734.72</v>
      </c>
      <c r="K127">
        <v>733.49</v>
      </c>
      <c r="L127">
        <v>732.23</v>
      </c>
    </row>
    <row r="128" spans="1:12" x14ac:dyDescent="0.15">
      <c r="A128">
        <v>615</v>
      </c>
      <c r="B128">
        <v>745.25</v>
      </c>
      <c r="C128">
        <v>744.22</v>
      </c>
      <c r="D128">
        <v>743.17</v>
      </c>
      <c r="E128">
        <v>742.09</v>
      </c>
      <c r="F128">
        <v>740.99</v>
      </c>
      <c r="G128">
        <v>739.88</v>
      </c>
      <c r="H128">
        <v>738.73</v>
      </c>
      <c r="I128">
        <v>737.57</v>
      </c>
      <c r="J128">
        <v>736.38</v>
      </c>
      <c r="K128">
        <v>735.18</v>
      </c>
      <c r="L128">
        <v>733.95</v>
      </c>
    </row>
    <row r="129" spans="1:12" x14ac:dyDescent="0.15">
      <c r="A129">
        <v>620</v>
      </c>
      <c r="B129">
        <v>746.63</v>
      </c>
      <c r="C129">
        <v>745.63</v>
      </c>
      <c r="D129">
        <v>744.61</v>
      </c>
      <c r="E129">
        <v>743.56</v>
      </c>
      <c r="F129">
        <v>742.49</v>
      </c>
      <c r="G129">
        <v>741.4</v>
      </c>
      <c r="H129">
        <v>740.29</v>
      </c>
      <c r="I129">
        <v>739.16</v>
      </c>
      <c r="J129">
        <v>738</v>
      </c>
      <c r="K129">
        <v>736.82</v>
      </c>
      <c r="L129">
        <v>735.62</v>
      </c>
    </row>
    <row r="130" spans="1:12" x14ac:dyDescent="0.15">
      <c r="A130">
        <v>625</v>
      </c>
      <c r="B130">
        <v>747.96</v>
      </c>
      <c r="C130">
        <v>746.99</v>
      </c>
      <c r="D130">
        <v>746</v>
      </c>
      <c r="E130">
        <v>744.98</v>
      </c>
      <c r="F130">
        <v>743.95</v>
      </c>
      <c r="G130">
        <v>742.89</v>
      </c>
      <c r="H130">
        <v>741.8</v>
      </c>
      <c r="I130">
        <v>740.7</v>
      </c>
      <c r="J130">
        <v>739.57</v>
      </c>
      <c r="K130">
        <v>738.42</v>
      </c>
      <c r="L130">
        <v>737.25</v>
      </c>
    </row>
    <row r="131" spans="1:12" x14ac:dyDescent="0.15">
      <c r="A131">
        <v>630</v>
      </c>
      <c r="B131">
        <v>749.24</v>
      </c>
      <c r="C131">
        <v>748.31</v>
      </c>
      <c r="D131">
        <v>747.34</v>
      </c>
      <c r="E131">
        <v>746.36</v>
      </c>
      <c r="F131">
        <v>745.35</v>
      </c>
      <c r="G131">
        <v>744.32</v>
      </c>
      <c r="H131">
        <v>743.27</v>
      </c>
      <c r="I131">
        <v>742.19</v>
      </c>
      <c r="J131">
        <v>741.09</v>
      </c>
      <c r="K131">
        <v>739.97</v>
      </c>
      <c r="L131">
        <v>738.83</v>
      </c>
    </row>
    <row r="132" spans="1:12" x14ac:dyDescent="0.15">
      <c r="A132">
        <v>635</v>
      </c>
      <c r="B132">
        <v>750.44</v>
      </c>
      <c r="C132">
        <v>749.54</v>
      </c>
      <c r="D132">
        <v>748.62</v>
      </c>
      <c r="E132">
        <v>747.67</v>
      </c>
      <c r="F132">
        <v>746.7</v>
      </c>
      <c r="G132">
        <v>745.71</v>
      </c>
      <c r="H132">
        <v>744.69</v>
      </c>
      <c r="I132">
        <v>743.64</v>
      </c>
      <c r="J132">
        <v>742.57</v>
      </c>
      <c r="K132">
        <v>741.48</v>
      </c>
      <c r="L132">
        <v>740.36</v>
      </c>
    </row>
    <row r="133" spans="1:12" x14ac:dyDescent="0.15">
      <c r="A133">
        <v>640</v>
      </c>
      <c r="B133">
        <v>751.61</v>
      </c>
      <c r="C133">
        <v>750.73</v>
      </c>
      <c r="D133">
        <v>749.84</v>
      </c>
      <c r="E133">
        <v>748.92</v>
      </c>
      <c r="F133">
        <v>747.98</v>
      </c>
      <c r="G133">
        <v>747.01</v>
      </c>
      <c r="H133">
        <v>746.03</v>
      </c>
      <c r="I133">
        <v>745.02</v>
      </c>
      <c r="J133">
        <v>743.99</v>
      </c>
      <c r="K133">
        <v>742.94</v>
      </c>
      <c r="L133">
        <v>741.86</v>
      </c>
    </row>
    <row r="134" spans="1:12" x14ac:dyDescent="0.15">
      <c r="A134">
        <v>645</v>
      </c>
      <c r="B134">
        <v>752.73</v>
      </c>
      <c r="C134">
        <v>751.89</v>
      </c>
      <c r="D134">
        <v>751.02</v>
      </c>
      <c r="E134">
        <v>750.13</v>
      </c>
      <c r="F134">
        <v>749.21</v>
      </c>
      <c r="G134">
        <v>748.28</v>
      </c>
      <c r="H134">
        <v>747.32</v>
      </c>
      <c r="I134">
        <v>746.34</v>
      </c>
      <c r="J134">
        <v>745.34</v>
      </c>
      <c r="K134">
        <v>744.31</v>
      </c>
      <c r="L134">
        <v>743.27</v>
      </c>
    </row>
    <row r="135" spans="1:12" x14ac:dyDescent="0.15">
      <c r="A135">
        <v>650</v>
      </c>
      <c r="B135">
        <v>753.81</v>
      </c>
      <c r="C135">
        <v>753</v>
      </c>
      <c r="D135">
        <v>752.16</v>
      </c>
      <c r="E135">
        <v>751.3</v>
      </c>
      <c r="F135">
        <v>750.41</v>
      </c>
      <c r="G135">
        <v>749.51</v>
      </c>
      <c r="H135">
        <v>748.58</v>
      </c>
      <c r="I135">
        <v>747.62</v>
      </c>
      <c r="J135">
        <v>746.65</v>
      </c>
      <c r="K135">
        <v>745.65</v>
      </c>
      <c r="L135">
        <v>744.63</v>
      </c>
    </row>
    <row r="136" spans="1:12" x14ac:dyDescent="0.15">
      <c r="A136">
        <v>655</v>
      </c>
      <c r="B136">
        <v>754.86</v>
      </c>
      <c r="C136">
        <v>754.07</v>
      </c>
      <c r="D136">
        <v>753.26</v>
      </c>
      <c r="E136">
        <v>752.43</v>
      </c>
      <c r="F136">
        <v>751.57</v>
      </c>
      <c r="G136">
        <v>750.69</v>
      </c>
      <c r="H136">
        <v>749.79</v>
      </c>
      <c r="I136">
        <v>748.87</v>
      </c>
      <c r="J136">
        <v>747.92</v>
      </c>
      <c r="K136">
        <v>746.95</v>
      </c>
      <c r="L136">
        <v>745.96</v>
      </c>
    </row>
    <row r="137" spans="1:12" x14ac:dyDescent="0.15">
      <c r="A137">
        <v>660</v>
      </c>
      <c r="B137">
        <v>755.87</v>
      </c>
      <c r="C137">
        <v>755.11</v>
      </c>
      <c r="D137">
        <v>754.33</v>
      </c>
      <c r="E137">
        <v>753.52</v>
      </c>
      <c r="F137">
        <v>752.7</v>
      </c>
      <c r="G137">
        <v>751.84</v>
      </c>
      <c r="H137">
        <v>750.97</v>
      </c>
      <c r="I137">
        <v>750.07</v>
      </c>
      <c r="J137">
        <v>749.16</v>
      </c>
      <c r="K137">
        <v>748.21</v>
      </c>
      <c r="L137">
        <v>747.25</v>
      </c>
    </row>
    <row r="138" spans="1:12" x14ac:dyDescent="0.15">
      <c r="A138">
        <v>665</v>
      </c>
      <c r="B138">
        <v>756.87</v>
      </c>
      <c r="C138">
        <v>756.13</v>
      </c>
      <c r="D138">
        <v>755.36</v>
      </c>
      <c r="E138">
        <v>754.58</v>
      </c>
      <c r="F138">
        <v>753.78</v>
      </c>
      <c r="G138">
        <v>752.96</v>
      </c>
      <c r="H138">
        <v>752.11</v>
      </c>
      <c r="I138">
        <v>751.24</v>
      </c>
      <c r="J138">
        <v>750.35</v>
      </c>
      <c r="K138">
        <v>749.44</v>
      </c>
      <c r="L138">
        <v>748.5</v>
      </c>
    </row>
    <row r="139" spans="1:12" x14ac:dyDescent="0.15">
      <c r="A139">
        <v>670</v>
      </c>
      <c r="B139">
        <v>757.85</v>
      </c>
      <c r="C139">
        <v>757.14</v>
      </c>
      <c r="D139">
        <v>756.4</v>
      </c>
      <c r="E139">
        <v>755.64</v>
      </c>
      <c r="F139">
        <v>754.85</v>
      </c>
      <c r="G139">
        <v>754.04</v>
      </c>
      <c r="H139">
        <v>753.21</v>
      </c>
      <c r="I139">
        <v>752.37</v>
      </c>
      <c r="J139">
        <v>751.51</v>
      </c>
      <c r="K139">
        <v>750.63</v>
      </c>
      <c r="L139">
        <v>749.72</v>
      </c>
    </row>
    <row r="140" spans="1:12" x14ac:dyDescent="0.15">
      <c r="A140">
        <v>675</v>
      </c>
      <c r="B140">
        <v>758.79</v>
      </c>
      <c r="C140">
        <v>758.1</v>
      </c>
      <c r="D140">
        <v>757.39</v>
      </c>
      <c r="E140">
        <v>756.66</v>
      </c>
      <c r="F140">
        <v>755.91</v>
      </c>
      <c r="G140">
        <v>755.13</v>
      </c>
      <c r="H140">
        <v>754.33</v>
      </c>
      <c r="I140">
        <v>753.5</v>
      </c>
      <c r="J140">
        <v>752.65</v>
      </c>
      <c r="K140">
        <v>751.78</v>
      </c>
      <c r="L140">
        <v>750.89</v>
      </c>
    </row>
    <row r="141" spans="1:12" x14ac:dyDescent="0.15">
      <c r="A141">
        <v>680</v>
      </c>
      <c r="B141">
        <v>759.68</v>
      </c>
      <c r="C141">
        <v>759.03</v>
      </c>
      <c r="D141">
        <v>758.35</v>
      </c>
      <c r="E141">
        <v>757.64</v>
      </c>
      <c r="F141">
        <v>756.92</v>
      </c>
      <c r="G141">
        <v>756.17</v>
      </c>
      <c r="H141">
        <v>755.4</v>
      </c>
      <c r="I141">
        <v>754.6</v>
      </c>
      <c r="J141">
        <v>753.78</v>
      </c>
      <c r="K141">
        <v>752.94</v>
      </c>
      <c r="L141">
        <v>752.08</v>
      </c>
    </row>
    <row r="142" spans="1:12" x14ac:dyDescent="0.15">
      <c r="A142">
        <v>685</v>
      </c>
      <c r="B142">
        <v>760.54</v>
      </c>
      <c r="C142">
        <v>759.91</v>
      </c>
      <c r="D142">
        <v>759.26</v>
      </c>
      <c r="E142">
        <v>758.59</v>
      </c>
      <c r="F142">
        <v>757.89</v>
      </c>
      <c r="G142">
        <v>757.17</v>
      </c>
      <c r="H142">
        <v>756.42</v>
      </c>
      <c r="I142">
        <v>755.66</v>
      </c>
      <c r="J142">
        <v>754.87</v>
      </c>
      <c r="K142">
        <v>754.06</v>
      </c>
      <c r="L142">
        <v>753.22</v>
      </c>
    </row>
    <row r="143" spans="1:12" x14ac:dyDescent="0.15">
      <c r="A143">
        <v>690</v>
      </c>
      <c r="B143">
        <v>761.36</v>
      </c>
      <c r="C143">
        <v>760.76</v>
      </c>
      <c r="D143">
        <v>760.14</v>
      </c>
      <c r="E143">
        <v>759.49</v>
      </c>
      <c r="F143">
        <v>758.82</v>
      </c>
      <c r="G143">
        <v>758.13</v>
      </c>
      <c r="H143">
        <v>757.41</v>
      </c>
      <c r="I143">
        <v>756.68</v>
      </c>
      <c r="J143">
        <v>755.91</v>
      </c>
      <c r="K143">
        <v>755.13</v>
      </c>
      <c r="L143">
        <v>754.32</v>
      </c>
    </row>
    <row r="144" spans="1:12" x14ac:dyDescent="0.15">
      <c r="A144">
        <v>695</v>
      </c>
      <c r="B144">
        <v>762.12</v>
      </c>
      <c r="C144">
        <v>761.56</v>
      </c>
      <c r="D144">
        <v>760.97</v>
      </c>
      <c r="E144">
        <v>760.35</v>
      </c>
      <c r="F144">
        <v>759.71</v>
      </c>
      <c r="G144">
        <v>759.05</v>
      </c>
      <c r="H144">
        <v>758.36</v>
      </c>
      <c r="I144">
        <v>757.65</v>
      </c>
      <c r="J144">
        <v>756.92</v>
      </c>
      <c r="K144">
        <v>756.16</v>
      </c>
      <c r="L144">
        <v>755.39</v>
      </c>
    </row>
    <row r="145" spans="1:12" x14ac:dyDescent="0.15">
      <c r="A145">
        <v>700</v>
      </c>
      <c r="B145">
        <v>762.83</v>
      </c>
      <c r="C145">
        <v>762.3</v>
      </c>
      <c r="D145">
        <v>761.74</v>
      </c>
      <c r="E145">
        <v>761.16</v>
      </c>
      <c r="F145">
        <v>760.56</v>
      </c>
      <c r="G145">
        <v>759.93</v>
      </c>
      <c r="H145">
        <v>759.27</v>
      </c>
      <c r="I145">
        <v>758.59</v>
      </c>
      <c r="J145">
        <v>757.89</v>
      </c>
      <c r="K145">
        <v>757.16</v>
      </c>
      <c r="L145">
        <v>756.41</v>
      </c>
    </row>
    <row r="146" spans="1:12" x14ac:dyDescent="0.15">
      <c r="A146">
        <v>705</v>
      </c>
      <c r="B146">
        <v>763.51</v>
      </c>
      <c r="C146">
        <v>763</v>
      </c>
      <c r="D146">
        <v>762.47</v>
      </c>
      <c r="E146">
        <v>761.92</v>
      </c>
      <c r="F146">
        <v>761.35</v>
      </c>
      <c r="G146">
        <v>760.75</v>
      </c>
      <c r="H146">
        <v>760.13</v>
      </c>
      <c r="I146">
        <v>759.48</v>
      </c>
      <c r="J146">
        <v>758.82</v>
      </c>
      <c r="K146">
        <v>758.12</v>
      </c>
      <c r="L146">
        <v>757.39</v>
      </c>
    </row>
    <row r="147" spans="1:12" x14ac:dyDescent="0.15">
      <c r="A147">
        <v>710</v>
      </c>
      <c r="B147">
        <v>764.14</v>
      </c>
      <c r="C147">
        <v>763.66</v>
      </c>
      <c r="D147">
        <v>763.17</v>
      </c>
      <c r="E147">
        <v>762.64</v>
      </c>
      <c r="F147">
        <v>762.1</v>
      </c>
      <c r="G147">
        <v>761.53</v>
      </c>
      <c r="H147">
        <v>760.94</v>
      </c>
      <c r="I147">
        <v>760.32</v>
      </c>
      <c r="J147">
        <v>759.68</v>
      </c>
      <c r="K147">
        <v>759.02</v>
      </c>
      <c r="L147">
        <v>758.33</v>
      </c>
    </row>
    <row r="148" spans="1:12" x14ac:dyDescent="0.15">
      <c r="A148">
        <v>715</v>
      </c>
      <c r="B148">
        <v>764.74</v>
      </c>
      <c r="C148">
        <v>764.29</v>
      </c>
      <c r="D148">
        <v>763.82</v>
      </c>
      <c r="E148">
        <v>763.32</v>
      </c>
      <c r="F148">
        <v>762.81</v>
      </c>
      <c r="G148">
        <v>762.27</v>
      </c>
      <c r="H148">
        <v>761.7</v>
      </c>
      <c r="I148">
        <v>761.12</v>
      </c>
      <c r="J148">
        <v>760.51</v>
      </c>
      <c r="K148">
        <v>759.87</v>
      </c>
      <c r="L148">
        <v>759.22</v>
      </c>
    </row>
    <row r="149" spans="1:12" x14ac:dyDescent="0.15">
      <c r="A149">
        <v>720</v>
      </c>
      <c r="B149">
        <v>765.3</v>
      </c>
      <c r="C149">
        <v>764.88</v>
      </c>
      <c r="D149">
        <v>764.43</v>
      </c>
      <c r="E149">
        <v>763.97</v>
      </c>
      <c r="F149">
        <v>763.48</v>
      </c>
      <c r="G149">
        <v>762.97</v>
      </c>
      <c r="H149">
        <v>762.43</v>
      </c>
      <c r="I149">
        <v>761.87</v>
      </c>
      <c r="J149">
        <v>761.29</v>
      </c>
      <c r="K149">
        <v>760.69</v>
      </c>
      <c r="L149">
        <v>760.06</v>
      </c>
    </row>
    <row r="150" spans="1:12" x14ac:dyDescent="0.15">
      <c r="A150">
        <v>725</v>
      </c>
      <c r="B150">
        <v>765.84</v>
      </c>
      <c r="C150">
        <v>765.44</v>
      </c>
      <c r="D150">
        <v>765.02</v>
      </c>
      <c r="E150">
        <v>764.57</v>
      </c>
      <c r="F150">
        <v>764.11</v>
      </c>
      <c r="G150">
        <v>763.63</v>
      </c>
      <c r="H150">
        <v>763.12</v>
      </c>
      <c r="I150">
        <v>762.59</v>
      </c>
      <c r="J150">
        <v>762.04</v>
      </c>
      <c r="K150">
        <v>761.46</v>
      </c>
      <c r="L150">
        <v>760.86</v>
      </c>
    </row>
    <row r="151" spans="1:12" x14ac:dyDescent="0.15">
      <c r="A151">
        <v>730</v>
      </c>
      <c r="B151">
        <v>766.33</v>
      </c>
      <c r="C151">
        <v>765.96</v>
      </c>
      <c r="D151">
        <v>765.57</v>
      </c>
      <c r="E151">
        <v>765.15</v>
      </c>
      <c r="F151">
        <v>764.71</v>
      </c>
      <c r="G151">
        <v>764.25</v>
      </c>
      <c r="H151">
        <v>763.77</v>
      </c>
      <c r="I151">
        <v>763.27</v>
      </c>
      <c r="J151">
        <v>762.75</v>
      </c>
      <c r="K151">
        <v>762.2</v>
      </c>
      <c r="L151">
        <v>761.63</v>
      </c>
    </row>
    <row r="152" spans="1:12" x14ac:dyDescent="0.15">
      <c r="A152">
        <v>735</v>
      </c>
      <c r="B152">
        <v>766.79</v>
      </c>
      <c r="C152">
        <v>766.45</v>
      </c>
      <c r="D152">
        <v>766.08</v>
      </c>
      <c r="E152">
        <v>765.69</v>
      </c>
      <c r="F152">
        <v>765.28</v>
      </c>
      <c r="G152">
        <v>764.85</v>
      </c>
      <c r="H152">
        <v>764.39</v>
      </c>
      <c r="I152">
        <v>763.92</v>
      </c>
      <c r="J152">
        <v>763.42</v>
      </c>
      <c r="K152">
        <v>762.9</v>
      </c>
      <c r="L152">
        <v>762.36</v>
      </c>
    </row>
    <row r="153" spans="1:12" x14ac:dyDescent="0.15">
      <c r="A153">
        <v>740</v>
      </c>
      <c r="B153">
        <v>767.21</v>
      </c>
      <c r="C153">
        <v>766.9</v>
      </c>
      <c r="D153">
        <v>766.56</v>
      </c>
      <c r="E153">
        <v>766.2</v>
      </c>
      <c r="F153">
        <v>765.81</v>
      </c>
      <c r="G153">
        <v>765.41</v>
      </c>
      <c r="H153">
        <v>764.98</v>
      </c>
      <c r="I153">
        <v>764.53</v>
      </c>
      <c r="J153">
        <v>764.06</v>
      </c>
      <c r="K153">
        <v>763.57</v>
      </c>
      <c r="L153">
        <v>763.05</v>
      </c>
    </row>
    <row r="154" spans="1:12" x14ac:dyDescent="0.15">
      <c r="A154">
        <v>745</v>
      </c>
      <c r="B154">
        <v>767.58</v>
      </c>
      <c r="C154">
        <v>767.31</v>
      </c>
      <c r="D154">
        <v>767</v>
      </c>
      <c r="E154">
        <v>766.66</v>
      </c>
      <c r="F154">
        <v>766.31</v>
      </c>
      <c r="G154">
        <v>765.93</v>
      </c>
      <c r="H154">
        <v>765.53</v>
      </c>
      <c r="I154">
        <v>765.11</v>
      </c>
      <c r="J154">
        <v>764.66</v>
      </c>
      <c r="K154">
        <v>764.2</v>
      </c>
      <c r="L154">
        <v>763.71</v>
      </c>
    </row>
    <row r="155" spans="1:12" x14ac:dyDescent="0.15">
      <c r="A155">
        <v>750</v>
      </c>
      <c r="B155">
        <v>767.83</v>
      </c>
      <c r="C155">
        <v>767.61</v>
      </c>
      <c r="D155">
        <v>767.37</v>
      </c>
      <c r="E155">
        <v>767.09</v>
      </c>
      <c r="F155">
        <v>766.76</v>
      </c>
      <c r="G155">
        <v>766.41</v>
      </c>
      <c r="H155">
        <v>766.04</v>
      </c>
      <c r="I155">
        <v>765.65</v>
      </c>
      <c r="J155">
        <v>765.23</v>
      </c>
      <c r="K155">
        <v>764.79</v>
      </c>
      <c r="L155">
        <v>764.33</v>
      </c>
    </row>
    <row r="156" spans="1:12" x14ac:dyDescent="0.15">
      <c r="A156">
        <v>755</v>
      </c>
      <c r="B156">
        <v>768.06</v>
      </c>
      <c r="C156">
        <v>767.87</v>
      </c>
      <c r="D156">
        <v>767.64</v>
      </c>
      <c r="E156">
        <v>767.4</v>
      </c>
      <c r="F156">
        <v>767.15</v>
      </c>
      <c r="G156">
        <v>766.86</v>
      </c>
      <c r="H156">
        <v>766.52</v>
      </c>
      <c r="I156">
        <v>766.15</v>
      </c>
      <c r="J156">
        <v>765.76</v>
      </c>
      <c r="K156">
        <v>765.35</v>
      </c>
      <c r="L156">
        <v>764.91</v>
      </c>
    </row>
    <row r="157" spans="1:12" x14ac:dyDescent="0.15">
      <c r="A157">
        <v>760</v>
      </c>
      <c r="B157">
        <v>768.27</v>
      </c>
      <c r="C157">
        <v>768.1</v>
      </c>
      <c r="D157">
        <v>767.9</v>
      </c>
      <c r="E157">
        <v>767.68</v>
      </c>
      <c r="F157">
        <v>767.44</v>
      </c>
      <c r="G157">
        <v>767.19</v>
      </c>
      <c r="H157">
        <v>766.91</v>
      </c>
      <c r="I157">
        <v>766.61</v>
      </c>
      <c r="J157">
        <v>766.25</v>
      </c>
      <c r="K157">
        <v>765.87</v>
      </c>
      <c r="L157">
        <v>765.46</v>
      </c>
    </row>
    <row r="158" spans="1:12" x14ac:dyDescent="0.15">
      <c r="A158">
        <v>765</v>
      </c>
      <c r="B158">
        <v>768.45</v>
      </c>
      <c r="C158">
        <v>768.31</v>
      </c>
      <c r="D158">
        <v>768.13</v>
      </c>
      <c r="E158">
        <v>767.94</v>
      </c>
      <c r="F158">
        <v>767.72</v>
      </c>
      <c r="G158">
        <v>767.48</v>
      </c>
      <c r="H158">
        <v>767.23</v>
      </c>
      <c r="I158">
        <v>766.95</v>
      </c>
      <c r="J158">
        <v>766.66</v>
      </c>
      <c r="K158">
        <v>766.35</v>
      </c>
      <c r="L158">
        <v>765.97</v>
      </c>
    </row>
    <row r="159" spans="1:12" x14ac:dyDescent="0.15">
      <c r="A159">
        <v>770</v>
      </c>
      <c r="B159">
        <v>768.68</v>
      </c>
      <c r="C159">
        <v>768.54</v>
      </c>
      <c r="D159">
        <v>768.34</v>
      </c>
      <c r="E159">
        <v>768.17</v>
      </c>
      <c r="F159">
        <v>767.97</v>
      </c>
      <c r="G159">
        <v>767.76</v>
      </c>
      <c r="H159">
        <v>767.52</v>
      </c>
      <c r="I159">
        <v>767.27</v>
      </c>
      <c r="J159">
        <v>767</v>
      </c>
      <c r="K159">
        <v>766.7</v>
      </c>
      <c r="L159">
        <v>766.39</v>
      </c>
    </row>
    <row r="160" spans="1:12" x14ac:dyDescent="0.15">
      <c r="A160">
        <v>775</v>
      </c>
      <c r="B160">
        <v>768.88</v>
      </c>
      <c r="C160">
        <v>768.81</v>
      </c>
      <c r="D160">
        <v>768.65</v>
      </c>
      <c r="E160">
        <v>768.42</v>
      </c>
      <c r="F160">
        <v>768.2</v>
      </c>
      <c r="G160">
        <v>768.01</v>
      </c>
      <c r="H160">
        <v>767.8</v>
      </c>
      <c r="I160">
        <v>767.56</v>
      </c>
      <c r="J160">
        <v>767.31</v>
      </c>
      <c r="K160">
        <v>767.04</v>
      </c>
      <c r="L160">
        <v>766.75</v>
      </c>
    </row>
    <row r="161" spans="1:12" x14ac:dyDescent="0.15">
      <c r="A161">
        <v>780</v>
      </c>
      <c r="B161">
        <v>769.07</v>
      </c>
      <c r="C161">
        <v>769</v>
      </c>
      <c r="D161">
        <v>768.94</v>
      </c>
      <c r="E161">
        <v>768.76</v>
      </c>
      <c r="F161">
        <v>768.53</v>
      </c>
      <c r="G161">
        <v>768.28</v>
      </c>
      <c r="H161">
        <v>768.05</v>
      </c>
      <c r="I161">
        <v>767.83</v>
      </c>
      <c r="J161">
        <v>767.61</v>
      </c>
      <c r="K161">
        <v>767.36</v>
      </c>
      <c r="L161">
        <v>767.09</v>
      </c>
    </row>
    <row r="162" spans="1:12" x14ac:dyDescent="0.15">
      <c r="A162">
        <v>785</v>
      </c>
      <c r="B162">
        <v>769.26</v>
      </c>
      <c r="C162">
        <v>769.2</v>
      </c>
      <c r="D162">
        <v>769.12</v>
      </c>
      <c r="E162">
        <v>769.06</v>
      </c>
      <c r="F162">
        <v>768.89</v>
      </c>
      <c r="G162">
        <v>768.65</v>
      </c>
      <c r="H162">
        <v>768.39</v>
      </c>
      <c r="I162">
        <v>768.12</v>
      </c>
      <c r="J162">
        <v>767.88</v>
      </c>
      <c r="K162">
        <v>767.65</v>
      </c>
      <c r="L162">
        <v>767.4</v>
      </c>
    </row>
    <row r="163" spans="1:12" x14ac:dyDescent="0.15">
      <c r="A163">
        <v>790</v>
      </c>
      <c r="B163">
        <v>769.37</v>
      </c>
      <c r="C163">
        <v>769.33</v>
      </c>
      <c r="D163">
        <v>769.33</v>
      </c>
      <c r="E163">
        <v>769.25</v>
      </c>
      <c r="F163">
        <v>769.19</v>
      </c>
      <c r="G163">
        <v>768.99</v>
      </c>
      <c r="H163">
        <v>768.77</v>
      </c>
      <c r="I163">
        <v>768.5</v>
      </c>
      <c r="J163">
        <v>768.23</v>
      </c>
      <c r="K163">
        <v>767.94</v>
      </c>
      <c r="L163">
        <v>767.69</v>
      </c>
    </row>
    <row r="164" spans="1:12" x14ac:dyDescent="0.15">
      <c r="A164">
        <v>795</v>
      </c>
      <c r="B164">
        <v>769.66</v>
      </c>
      <c r="C164">
        <v>769.42</v>
      </c>
      <c r="D164">
        <v>769.39</v>
      </c>
      <c r="E164">
        <v>769.4</v>
      </c>
      <c r="F164">
        <v>769.38</v>
      </c>
      <c r="G164">
        <v>769.32</v>
      </c>
      <c r="H164">
        <v>769.1</v>
      </c>
      <c r="I164">
        <v>768.87</v>
      </c>
      <c r="J164">
        <v>768.62</v>
      </c>
      <c r="K164">
        <v>768.34</v>
      </c>
      <c r="L164">
        <v>768.05</v>
      </c>
    </row>
    <row r="165" spans="1:12" x14ac:dyDescent="0.15">
      <c r="A165">
        <v>800</v>
      </c>
      <c r="B165">
        <v>769.96</v>
      </c>
      <c r="C165">
        <v>769.71</v>
      </c>
      <c r="D165">
        <v>769.47</v>
      </c>
      <c r="E165">
        <v>769.46</v>
      </c>
      <c r="F165">
        <v>769.47</v>
      </c>
      <c r="G165">
        <v>769.48</v>
      </c>
      <c r="H165">
        <v>769.44</v>
      </c>
      <c r="I165">
        <v>769.22</v>
      </c>
      <c r="J165">
        <v>768.98</v>
      </c>
      <c r="K165">
        <v>768.73</v>
      </c>
      <c r="L165">
        <v>768.46</v>
      </c>
    </row>
    <row r="166" spans="1:12" x14ac:dyDescent="0.15">
      <c r="A166">
        <v>805</v>
      </c>
      <c r="B166">
        <v>770.28</v>
      </c>
      <c r="C166">
        <v>770.01</v>
      </c>
      <c r="D166">
        <v>769.75</v>
      </c>
      <c r="E166">
        <v>769.52</v>
      </c>
      <c r="F166">
        <v>769.52</v>
      </c>
      <c r="G166">
        <v>769.54</v>
      </c>
      <c r="H166">
        <v>769.56</v>
      </c>
      <c r="I166">
        <v>769.55</v>
      </c>
      <c r="J166">
        <v>769.34</v>
      </c>
      <c r="K166">
        <v>769.1</v>
      </c>
      <c r="L166">
        <v>768.84</v>
      </c>
    </row>
    <row r="167" spans="1:12" x14ac:dyDescent="0.15">
      <c r="A167">
        <v>810</v>
      </c>
      <c r="B167">
        <v>770.34</v>
      </c>
      <c r="C167">
        <v>770.32</v>
      </c>
      <c r="D167">
        <v>770.05</v>
      </c>
      <c r="E167">
        <v>769.79</v>
      </c>
      <c r="F167">
        <v>769.56</v>
      </c>
      <c r="G167">
        <v>769.57</v>
      </c>
      <c r="H167">
        <v>769.6</v>
      </c>
      <c r="I167">
        <v>769.63</v>
      </c>
      <c r="J167">
        <v>769.62</v>
      </c>
      <c r="K167">
        <v>769.46</v>
      </c>
      <c r="L167">
        <v>769.21</v>
      </c>
    </row>
    <row r="168" spans="1:12" x14ac:dyDescent="0.15">
      <c r="A168">
        <v>815</v>
      </c>
      <c r="B168">
        <v>770.04</v>
      </c>
      <c r="C168">
        <v>770.26</v>
      </c>
      <c r="D168">
        <v>770.35</v>
      </c>
      <c r="E168">
        <v>770.09</v>
      </c>
      <c r="F168">
        <v>769.84</v>
      </c>
      <c r="G168">
        <v>769.6</v>
      </c>
      <c r="H168">
        <v>769.63</v>
      </c>
      <c r="I168">
        <v>769.67</v>
      </c>
      <c r="J168">
        <v>769.7</v>
      </c>
      <c r="K168">
        <v>769.68</v>
      </c>
      <c r="L168">
        <v>769.53</v>
      </c>
    </row>
    <row r="169" spans="1:12" x14ac:dyDescent="0.15">
      <c r="A169">
        <v>820</v>
      </c>
      <c r="B169">
        <v>770.58</v>
      </c>
      <c r="C169">
        <v>769.97</v>
      </c>
      <c r="D169">
        <v>770.2</v>
      </c>
      <c r="E169">
        <v>770.38</v>
      </c>
      <c r="F169">
        <v>770.13</v>
      </c>
      <c r="G169">
        <v>769.88</v>
      </c>
      <c r="H169">
        <v>769.64</v>
      </c>
      <c r="I169">
        <v>769.69</v>
      </c>
      <c r="J169">
        <v>769.73</v>
      </c>
      <c r="K169">
        <v>769.77</v>
      </c>
      <c r="L169">
        <v>769.74</v>
      </c>
    </row>
    <row r="170" spans="1:12" x14ac:dyDescent="0.15">
      <c r="A170">
        <v>825</v>
      </c>
      <c r="B170">
        <v>770.65</v>
      </c>
      <c r="C170">
        <v>770.61</v>
      </c>
      <c r="D170">
        <v>770.1</v>
      </c>
      <c r="E170">
        <v>770.15</v>
      </c>
      <c r="F170">
        <v>770.32</v>
      </c>
      <c r="G170">
        <v>770.16</v>
      </c>
      <c r="H170">
        <v>769.91</v>
      </c>
      <c r="I170">
        <v>769.69</v>
      </c>
      <c r="J170">
        <v>769.74</v>
      </c>
      <c r="K170">
        <v>769.79</v>
      </c>
      <c r="L170">
        <v>769.84</v>
      </c>
    </row>
    <row r="171" spans="1:12" x14ac:dyDescent="0.15">
      <c r="A171">
        <v>830</v>
      </c>
      <c r="B171">
        <v>770.73</v>
      </c>
      <c r="C171">
        <v>770.69</v>
      </c>
      <c r="D171">
        <v>770.65</v>
      </c>
      <c r="E171">
        <v>770.26</v>
      </c>
      <c r="F171">
        <v>770.1</v>
      </c>
      <c r="G171">
        <v>770.26</v>
      </c>
      <c r="H171">
        <v>770.19</v>
      </c>
      <c r="I171">
        <v>769.95</v>
      </c>
      <c r="J171">
        <v>769.74</v>
      </c>
      <c r="K171">
        <v>769.8</v>
      </c>
      <c r="L171">
        <v>769.85</v>
      </c>
    </row>
    <row r="172" spans="1:12" x14ac:dyDescent="0.15">
      <c r="A172">
        <v>835</v>
      </c>
      <c r="B172">
        <v>770.81</v>
      </c>
      <c r="C172">
        <v>770.77</v>
      </c>
      <c r="D172">
        <v>770.73</v>
      </c>
      <c r="E172">
        <v>770.69</v>
      </c>
      <c r="F172">
        <v>770.64</v>
      </c>
      <c r="G172">
        <v>770.06</v>
      </c>
      <c r="H172">
        <v>770.22</v>
      </c>
      <c r="I172">
        <v>770.17</v>
      </c>
      <c r="J172">
        <v>769.98</v>
      </c>
      <c r="K172">
        <v>769.79</v>
      </c>
      <c r="L172">
        <v>769.85</v>
      </c>
    </row>
    <row r="173" spans="1:12" x14ac:dyDescent="0.15">
      <c r="A173">
        <v>840</v>
      </c>
      <c r="B173">
        <v>770.89</v>
      </c>
      <c r="C173">
        <v>770.85</v>
      </c>
      <c r="D173">
        <v>770.81</v>
      </c>
      <c r="E173">
        <v>770.76</v>
      </c>
      <c r="F173">
        <v>770.72</v>
      </c>
      <c r="G173">
        <v>770.68</v>
      </c>
      <c r="H173">
        <v>770.12</v>
      </c>
      <c r="I173">
        <v>770.18</v>
      </c>
      <c r="J173">
        <v>770.13</v>
      </c>
      <c r="K173">
        <v>770.01</v>
      </c>
      <c r="L173">
        <v>769.83</v>
      </c>
    </row>
    <row r="174" spans="1:12" x14ac:dyDescent="0.15">
      <c r="A174">
        <v>845</v>
      </c>
      <c r="B174">
        <v>770.97</v>
      </c>
      <c r="C174">
        <v>770.93</v>
      </c>
      <c r="D174">
        <v>770.88</v>
      </c>
      <c r="E174">
        <v>770.84</v>
      </c>
      <c r="F174">
        <v>770.8</v>
      </c>
      <c r="G174">
        <v>770.76</v>
      </c>
      <c r="H174">
        <v>770.72</v>
      </c>
      <c r="I174">
        <v>770.25</v>
      </c>
      <c r="J174">
        <v>770.15</v>
      </c>
      <c r="K174">
        <v>770.09</v>
      </c>
      <c r="L174">
        <v>770.02</v>
      </c>
    </row>
    <row r="175" spans="1:12" x14ac:dyDescent="0.15">
      <c r="A175">
        <v>850</v>
      </c>
      <c r="B175">
        <v>771.05</v>
      </c>
      <c r="C175">
        <v>771.01</v>
      </c>
      <c r="D175">
        <v>770.96</v>
      </c>
      <c r="E175">
        <v>770.92</v>
      </c>
      <c r="F175">
        <v>770.88</v>
      </c>
      <c r="G175">
        <v>770.84</v>
      </c>
      <c r="H175">
        <v>770.8</v>
      </c>
      <c r="I175">
        <v>770.75</v>
      </c>
      <c r="J175">
        <v>770.39</v>
      </c>
      <c r="K175">
        <v>770.12</v>
      </c>
      <c r="L175">
        <v>770.05</v>
      </c>
    </row>
    <row r="176" spans="1:12" x14ac:dyDescent="0.15">
      <c r="A176">
        <v>855</v>
      </c>
      <c r="B176">
        <v>771.13</v>
      </c>
      <c r="C176">
        <v>771.08</v>
      </c>
      <c r="D176">
        <v>771.04</v>
      </c>
      <c r="E176">
        <v>771</v>
      </c>
      <c r="F176">
        <v>770.96</v>
      </c>
      <c r="G176">
        <v>770.92</v>
      </c>
      <c r="H176">
        <v>770.87</v>
      </c>
      <c r="I176">
        <v>770.83</v>
      </c>
      <c r="J176">
        <v>770.79</v>
      </c>
      <c r="K176">
        <v>770.54</v>
      </c>
      <c r="L176">
        <v>770.14</v>
      </c>
    </row>
    <row r="177" spans="1:12" x14ac:dyDescent="0.15">
      <c r="A177">
        <v>860</v>
      </c>
      <c r="B177">
        <v>771.2</v>
      </c>
      <c r="C177">
        <v>771.16</v>
      </c>
      <c r="D177">
        <v>771.12</v>
      </c>
      <c r="E177">
        <v>771.08</v>
      </c>
      <c r="F177">
        <v>771.04</v>
      </c>
      <c r="G177">
        <v>771</v>
      </c>
      <c r="H177">
        <v>770.95</v>
      </c>
      <c r="I177">
        <v>770.91</v>
      </c>
      <c r="J177">
        <v>770.87</v>
      </c>
      <c r="K177">
        <v>770.83</v>
      </c>
      <c r="L177">
        <v>770.73</v>
      </c>
    </row>
    <row r="178" spans="1:12" x14ac:dyDescent="0.15">
      <c r="A178">
        <v>865</v>
      </c>
      <c r="B178">
        <v>771.28</v>
      </c>
      <c r="C178">
        <v>771.24</v>
      </c>
      <c r="D178">
        <v>771.2</v>
      </c>
      <c r="E178">
        <v>771.16</v>
      </c>
      <c r="F178">
        <v>771.12</v>
      </c>
      <c r="G178">
        <v>771.07</v>
      </c>
      <c r="H178">
        <v>771.03</v>
      </c>
      <c r="I178">
        <v>770.99</v>
      </c>
      <c r="J178">
        <v>770.95</v>
      </c>
      <c r="K178">
        <v>770.91</v>
      </c>
      <c r="L178">
        <v>770.86</v>
      </c>
    </row>
    <row r="179" spans="1:12" x14ac:dyDescent="0.15">
      <c r="A179">
        <v>870</v>
      </c>
      <c r="B179">
        <v>771.36</v>
      </c>
      <c r="C179">
        <v>771.32</v>
      </c>
      <c r="D179">
        <v>771.28</v>
      </c>
      <c r="E179">
        <v>771.24</v>
      </c>
      <c r="F179">
        <v>771.19</v>
      </c>
      <c r="G179">
        <v>771.15</v>
      </c>
      <c r="H179">
        <v>771.11</v>
      </c>
      <c r="I179">
        <v>771.07</v>
      </c>
      <c r="J179">
        <v>771.03</v>
      </c>
      <c r="K179">
        <v>770.99</v>
      </c>
      <c r="L179">
        <v>770.94</v>
      </c>
    </row>
    <row r="180" spans="1:12" x14ac:dyDescent="0.15">
      <c r="A180">
        <v>875</v>
      </c>
      <c r="B180">
        <v>771.44</v>
      </c>
      <c r="C180">
        <v>771.4</v>
      </c>
      <c r="D180">
        <v>771.36</v>
      </c>
      <c r="E180">
        <v>771.32</v>
      </c>
      <c r="F180">
        <v>771.27</v>
      </c>
      <c r="G180">
        <v>771.23</v>
      </c>
      <c r="H180">
        <v>771.19</v>
      </c>
      <c r="I180">
        <v>771.15</v>
      </c>
      <c r="J180">
        <v>771.11</v>
      </c>
      <c r="K180">
        <v>771.06</v>
      </c>
      <c r="L180">
        <v>771.02</v>
      </c>
    </row>
    <row r="181" spans="1:12" x14ac:dyDescent="0.15">
      <c r="A181">
        <v>880</v>
      </c>
      <c r="B181">
        <v>771.52</v>
      </c>
      <c r="C181">
        <v>771.48</v>
      </c>
      <c r="D181">
        <v>771.44</v>
      </c>
      <c r="E181">
        <v>771.39</v>
      </c>
      <c r="F181">
        <v>771.35</v>
      </c>
      <c r="G181">
        <v>771.31</v>
      </c>
      <c r="H181">
        <v>771.27</v>
      </c>
      <c r="I181">
        <v>771.23</v>
      </c>
      <c r="J181">
        <v>771.18</v>
      </c>
      <c r="K181">
        <v>771.14</v>
      </c>
      <c r="L181">
        <v>771.1</v>
      </c>
    </row>
    <row r="182" spans="1:12" x14ac:dyDescent="0.15">
      <c r="A182">
        <v>885</v>
      </c>
      <c r="B182">
        <v>771.6</v>
      </c>
      <c r="C182">
        <v>771.56</v>
      </c>
      <c r="D182">
        <v>771.51</v>
      </c>
      <c r="E182">
        <v>771.47</v>
      </c>
      <c r="F182">
        <v>771.43</v>
      </c>
      <c r="G182">
        <v>771.39</v>
      </c>
      <c r="H182">
        <v>771.35</v>
      </c>
      <c r="I182">
        <v>771.3</v>
      </c>
      <c r="J182">
        <v>771.26</v>
      </c>
      <c r="K182">
        <v>771.22</v>
      </c>
      <c r="L182">
        <v>771.18</v>
      </c>
    </row>
    <row r="183" spans="1:12" x14ac:dyDescent="0.15">
      <c r="A183">
        <v>890</v>
      </c>
      <c r="B183">
        <v>771.68</v>
      </c>
      <c r="C183">
        <v>771.63</v>
      </c>
      <c r="D183">
        <v>771.59</v>
      </c>
      <c r="E183">
        <v>771.55</v>
      </c>
      <c r="F183">
        <v>771.51</v>
      </c>
      <c r="G183">
        <v>771.47</v>
      </c>
      <c r="H183">
        <v>771.43</v>
      </c>
      <c r="I183">
        <v>771.38</v>
      </c>
      <c r="J183">
        <v>771.34</v>
      </c>
      <c r="K183">
        <v>771.3</v>
      </c>
      <c r="L183">
        <v>771.26</v>
      </c>
    </row>
    <row r="184" spans="1:12" x14ac:dyDescent="0.15">
      <c r="A184">
        <v>895</v>
      </c>
      <c r="B184">
        <v>771.76</v>
      </c>
      <c r="C184">
        <v>771.71</v>
      </c>
      <c r="D184">
        <v>771.67</v>
      </c>
      <c r="E184">
        <v>771.63</v>
      </c>
      <c r="F184">
        <v>771.59</v>
      </c>
      <c r="G184">
        <v>771.55</v>
      </c>
      <c r="H184">
        <v>771.5</v>
      </c>
      <c r="I184">
        <v>771.46</v>
      </c>
      <c r="J184">
        <v>771.42</v>
      </c>
      <c r="K184">
        <v>771.38</v>
      </c>
      <c r="L184">
        <v>771.34</v>
      </c>
    </row>
    <row r="185" spans="1:12" x14ac:dyDescent="0.15">
      <c r="A185">
        <v>900</v>
      </c>
      <c r="B185">
        <v>771.83</v>
      </c>
      <c r="C185">
        <v>771.79</v>
      </c>
      <c r="D185">
        <v>771.75</v>
      </c>
      <c r="E185">
        <v>771.71</v>
      </c>
      <c r="F185">
        <v>771.67</v>
      </c>
      <c r="G185">
        <v>771.62</v>
      </c>
      <c r="H185">
        <v>771.58</v>
      </c>
      <c r="I185">
        <v>771.54</v>
      </c>
      <c r="J185">
        <v>771.5</v>
      </c>
      <c r="K185">
        <v>771.46</v>
      </c>
      <c r="L185">
        <v>771.42</v>
      </c>
    </row>
    <row r="186" spans="1:12" x14ac:dyDescent="0.15">
      <c r="A186">
        <v>905</v>
      </c>
      <c r="B186">
        <v>771.91</v>
      </c>
      <c r="C186">
        <v>771.87</v>
      </c>
      <c r="D186">
        <v>771.83</v>
      </c>
      <c r="E186">
        <v>771.79</v>
      </c>
      <c r="F186">
        <v>771.75</v>
      </c>
      <c r="G186">
        <v>771.7</v>
      </c>
      <c r="H186">
        <v>771.66</v>
      </c>
      <c r="I186">
        <v>771.62</v>
      </c>
      <c r="J186">
        <v>771.58</v>
      </c>
      <c r="K186">
        <v>771.54</v>
      </c>
      <c r="L186">
        <v>771.49</v>
      </c>
    </row>
    <row r="187" spans="1:12" x14ac:dyDescent="0.15">
      <c r="A187">
        <v>910</v>
      </c>
      <c r="B187">
        <v>771.99</v>
      </c>
      <c r="C187">
        <v>771.95</v>
      </c>
      <c r="D187">
        <v>771.91</v>
      </c>
      <c r="E187">
        <v>771.87</v>
      </c>
      <c r="F187">
        <v>771.82</v>
      </c>
      <c r="G187">
        <v>771.78</v>
      </c>
      <c r="H187">
        <v>771.74</v>
      </c>
      <c r="I187">
        <v>771.7</v>
      </c>
      <c r="J187">
        <v>771.66</v>
      </c>
      <c r="K187">
        <v>771.61</v>
      </c>
      <c r="L187">
        <v>771.57</v>
      </c>
    </row>
    <row r="188" spans="1:12" x14ac:dyDescent="0.15">
      <c r="A188">
        <v>915</v>
      </c>
      <c r="B188">
        <v>772.07</v>
      </c>
      <c r="C188">
        <v>772.03</v>
      </c>
      <c r="D188">
        <v>771.99</v>
      </c>
      <c r="E188">
        <v>771.94</v>
      </c>
      <c r="F188">
        <v>771.9</v>
      </c>
      <c r="G188">
        <v>771.86</v>
      </c>
      <c r="H188">
        <v>771.82</v>
      </c>
      <c r="I188">
        <v>771.78</v>
      </c>
      <c r="J188">
        <v>771.74</v>
      </c>
      <c r="K188">
        <v>771.69</v>
      </c>
      <c r="L188">
        <v>771.65</v>
      </c>
    </row>
    <row r="189" spans="1:12" x14ac:dyDescent="0.15">
      <c r="A189">
        <v>920</v>
      </c>
      <c r="B189">
        <v>772.15</v>
      </c>
      <c r="C189">
        <v>772.11</v>
      </c>
      <c r="D189">
        <v>772.06</v>
      </c>
      <c r="E189">
        <v>772.02</v>
      </c>
      <c r="F189">
        <v>771.98</v>
      </c>
      <c r="G189">
        <v>771.94</v>
      </c>
      <c r="H189">
        <v>771.9</v>
      </c>
      <c r="I189">
        <v>771.86</v>
      </c>
      <c r="J189">
        <v>771.81</v>
      </c>
      <c r="K189">
        <v>771.77</v>
      </c>
      <c r="L189">
        <v>771.73</v>
      </c>
    </row>
    <row r="190" spans="1:12" x14ac:dyDescent="0.15">
      <c r="A190">
        <v>925</v>
      </c>
      <c r="B190">
        <v>772.23</v>
      </c>
      <c r="C190">
        <v>772.18</v>
      </c>
      <c r="D190">
        <v>772.14</v>
      </c>
      <c r="E190">
        <v>772.1</v>
      </c>
      <c r="F190">
        <v>772.06</v>
      </c>
      <c r="G190">
        <v>772.02</v>
      </c>
      <c r="H190">
        <v>771.98</v>
      </c>
      <c r="I190">
        <v>771.93</v>
      </c>
      <c r="J190">
        <v>771.89</v>
      </c>
      <c r="K190">
        <v>771.85</v>
      </c>
      <c r="L190">
        <v>771.81</v>
      </c>
    </row>
    <row r="191" spans="1:12" x14ac:dyDescent="0.15">
      <c r="A191">
        <v>930</v>
      </c>
      <c r="B191">
        <v>772.31</v>
      </c>
      <c r="C191">
        <v>772.26</v>
      </c>
      <c r="D191">
        <v>772.22</v>
      </c>
      <c r="E191">
        <v>772.18</v>
      </c>
      <c r="F191">
        <v>772.14</v>
      </c>
      <c r="G191">
        <v>772.1</v>
      </c>
      <c r="H191">
        <v>772.05</v>
      </c>
      <c r="I191">
        <v>772.01</v>
      </c>
      <c r="J191">
        <v>771.97</v>
      </c>
      <c r="K191">
        <v>771.93</v>
      </c>
      <c r="L191">
        <v>771.89</v>
      </c>
    </row>
    <row r="192" spans="1:12" x14ac:dyDescent="0.15">
      <c r="A192">
        <v>935</v>
      </c>
      <c r="B192">
        <v>772.38</v>
      </c>
      <c r="C192">
        <v>772.34</v>
      </c>
      <c r="D192">
        <v>772.3</v>
      </c>
      <c r="E192">
        <v>772.26</v>
      </c>
      <c r="F192">
        <v>772.22</v>
      </c>
      <c r="G192">
        <v>772.17</v>
      </c>
      <c r="H192">
        <v>772.13</v>
      </c>
      <c r="I192">
        <v>772.09</v>
      </c>
      <c r="J192">
        <v>772.05</v>
      </c>
      <c r="K192">
        <v>772.01</v>
      </c>
      <c r="L192">
        <v>771.97</v>
      </c>
    </row>
    <row r="193" spans="1:12" x14ac:dyDescent="0.15">
      <c r="A193">
        <v>940</v>
      </c>
      <c r="B193">
        <v>772.46</v>
      </c>
      <c r="C193">
        <v>772.42</v>
      </c>
      <c r="D193">
        <v>772.38</v>
      </c>
      <c r="E193">
        <v>772.34</v>
      </c>
      <c r="F193">
        <v>772.3</v>
      </c>
      <c r="G193">
        <v>772.25</v>
      </c>
      <c r="H193">
        <v>772.21</v>
      </c>
      <c r="I193">
        <v>772.17</v>
      </c>
      <c r="J193">
        <v>772.13</v>
      </c>
      <c r="K193">
        <v>772.09</v>
      </c>
      <c r="L193">
        <v>772.04</v>
      </c>
    </row>
    <row r="194" spans="1:12" x14ac:dyDescent="0.15">
      <c r="A194">
        <v>945</v>
      </c>
      <c r="B194">
        <v>772.54</v>
      </c>
      <c r="C194">
        <v>772.5</v>
      </c>
      <c r="D194">
        <v>772.46</v>
      </c>
      <c r="E194">
        <v>772.42</v>
      </c>
      <c r="F194">
        <v>772.37</v>
      </c>
      <c r="G194">
        <v>772.33</v>
      </c>
      <c r="H194">
        <v>772.29</v>
      </c>
      <c r="I194">
        <v>772.25</v>
      </c>
      <c r="J194">
        <v>772.21</v>
      </c>
      <c r="K194">
        <v>772.16</v>
      </c>
      <c r="L194">
        <v>772.12</v>
      </c>
    </row>
    <row r="195" spans="1:12" x14ac:dyDescent="0.15">
      <c r="A195">
        <v>950</v>
      </c>
      <c r="B195">
        <v>772.62</v>
      </c>
      <c r="C195">
        <v>772.58</v>
      </c>
      <c r="D195">
        <v>772.54</v>
      </c>
      <c r="E195">
        <v>772.49</v>
      </c>
      <c r="F195">
        <v>772.45</v>
      </c>
      <c r="G195">
        <v>772.41</v>
      </c>
      <c r="H195">
        <v>772.37</v>
      </c>
      <c r="I195">
        <v>772.33</v>
      </c>
      <c r="J195">
        <v>772.29</v>
      </c>
      <c r="K195">
        <v>772.24</v>
      </c>
      <c r="L195">
        <v>772.2</v>
      </c>
    </row>
    <row r="196" spans="1:12" x14ac:dyDescent="0.15">
      <c r="A196">
        <v>955</v>
      </c>
      <c r="B196">
        <v>772.7</v>
      </c>
      <c r="C196">
        <v>772.66</v>
      </c>
      <c r="D196">
        <v>772.61</v>
      </c>
      <c r="E196">
        <v>772.57</v>
      </c>
      <c r="F196">
        <v>772.53</v>
      </c>
      <c r="G196">
        <v>772.49</v>
      </c>
      <c r="H196">
        <v>772.45</v>
      </c>
      <c r="I196">
        <v>772.41</v>
      </c>
      <c r="J196">
        <v>772.36</v>
      </c>
      <c r="K196">
        <v>772.32</v>
      </c>
      <c r="L196">
        <v>772.28</v>
      </c>
    </row>
    <row r="197" spans="1:12" x14ac:dyDescent="0.15">
      <c r="A197">
        <v>960</v>
      </c>
      <c r="B197">
        <v>772.78</v>
      </c>
      <c r="C197">
        <v>772.73</v>
      </c>
      <c r="D197">
        <v>772.69</v>
      </c>
      <c r="E197">
        <v>772.65</v>
      </c>
      <c r="F197">
        <v>772.61</v>
      </c>
      <c r="G197">
        <v>772.57</v>
      </c>
      <c r="H197">
        <v>772.53</v>
      </c>
      <c r="I197">
        <v>772.48</v>
      </c>
      <c r="J197">
        <v>772.44</v>
      </c>
      <c r="K197">
        <v>772.4</v>
      </c>
      <c r="L197">
        <v>772.36</v>
      </c>
    </row>
    <row r="198" spans="1:12" x14ac:dyDescent="0.15">
      <c r="A198">
        <v>965</v>
      </c>
      <c r="B198">
        <v>772.85</v>
      </c>
      <c r="C198">
        <v>772.81</v>
      </c>
      <c r="D198">
        <v>772.77</v>
      </c>
      <c r="E198">
        <v>772.73</v>
      </c>
      <c r="F198">
        <v>772.69</v>
      </c>
      <c r="G198">
        <v>772.65</v>
      </c>
      <c r="H198">
        <v>772.6</v>
      </c>
      <c r="I198">
        <v>772.56</v>
      </c>
      <c r="J198">
        <v>772.52</v>
      </c>
      <c r="K198">
        <v>772.48</v>
      </c>
      <c r="L198">
        <v>772.44</v>
      </c>
    </row>
    <row r="199" spans="1:12" x14ac:dyDescent="0.15">
      <c r="A199">
        <v>970</v>
      </c>
      <c r="B199">
        <v>772.93</v>
      </c>
      <c r="C199">
        <v>772.89</v>
      </c>
      <c r="D199">
        <v>772.85</v>
      </c>
      <c r="E199">
        <v>772.81</v>
      </c>
      <c r="F199">
        <v>772.77</v>
      </c>
      <c r="G199">
        <v>772.72</v>
      </c>
      <c r="H199">
        <v>772.68</v>
      </c>
      <c r="I199">
        <v>772.64</v>
      </c>
      <c r="J199">
        <v>772.6</v>
      </c>
      <c r="K199">
        <v>772.56</v>
      </c>
      <c r="L199">
        <v>772.52</v>
      </c>
    </row>
    <row r="200" spans="1:12" x14ac:dyDescent="0.15">
      <c r="A200">
        <v>975</v>
      </c>
      <c r="B200">
        <v>773.01</v>
      </c>
      <c r="C200">
        <v>772.97</v>
      </c>
      <c r="D200">
        <v>772.93</v>
      </c>
      <c r="E200">
        <v>772.89</v>
      </c>
      <c r="F200">
        <v>772.85</v>
      </c>
      <c r="G200">
        <v>772.8</v>
      </c>
      <c r="H200">
        <v>772.76</v>
      </c>
      <c r="I200">
        <v>772.72</v>
      </c>
      <c r="J200">
        <v>772.68</v>
      </c>
      <c r="K200">
        <v>772.64</v>
      </c>
      <c r="L200">
        <v>772.59</v>
      </c>
    </row>
    <row r="201" spans="1:12" x14ac:dyDescent="0.15">
      <c r="A201">
        <v>980</v>
      </c>
      <c r="B201">
        <v>773.09</v>
      </c>
      <c r="C201">
        <v>773.05</v>
      </c>
      <c r="D201">
        <v>773.01</v>
      </c>
      <c r="E201">
        <v>772.97</v>
      </c>
      <c r="F201">
        <v>772.92</v>
      </c>
      <c r="G201">
        <v>772.88</v>
      </c>
      <c r="H201">
        <v>772.84</v>
      </c>
      <c r="I201">
        <v>772.8</v>
      </c>
      <c r="J201">
        <v>772.76</v>
      </c>
      <c r="K201">
        <v>772.71</v>
      </c>
      <c r="L201">
        <v>772.67</v>
      </c>
    </row>
    <row r="202" spans="1:12" x14ac:dyDescent="0.15">
      <c r="A202">
        <v>985</v>
      </c>
      <c r="B202">
        <v>773.17</v>
      </c>
      <c r="C202">
        <v>773.13</v>
      </c>
      <c r="D202">
        <v>773.09</v>
      </c>
      <c r="E202">
        <v>773.04</v>
      </c>
      <c r="F202">
        <v>773</v>
      </c>
      <c r="G202">
        <v>772.96</v>
      </c>
      <c r="H202">
        <v>772.92</v>
      </c>
      <c r="I202">
        <v>772.88</v>
      </c>
      <c r="J202">
        <v>772.84</v>
      </c>
      <c r="K202">
        <v>772.79</v>
      </c>
      <c r="L202">
        <v>772.75</v>
      </c>
    </row>
    <row r="203" spans="1:12" x14ac:dyDescent="0.15">
      <c r="A203">
        <v>990</v>
      </c>
      <c r="B203">
        <v>773.25</v>
      </c>
      <c r="C203">
        <v>773.21</v>
      </c>
      <c r="D203">
        <v>773.16</v>
      </c>
      <c r="E203">
        <v>773.12</v>
      </c>
      <c r="F203">
        <v>773.08</v>
      </c>
      <c r="G203">
        <v>773.04</v>
      </c>
      <c r="H203">
        <v>773</v>
      </c>
      <c r="I203">
        <v>772.96</v>
      </c>
      <c r="J203">
        <v>772.91</v>
      </c>
      <c r="K203">
        <v>772.87</v>
      </c>
      <c r="L203">
        <v>772.83</v>
      </c>
    </row>
    <row r="204" spans="1:12" x14ac:dyDescent="0.15">
      <c r="A204">
        <v>995</v>
      </c>
      <c r="B204">
        <v>773.33</v>
      </c>
      <c r="C204">
        <v>773.28</v>
      </c>
      <c r="D204">
        <v>773.24</v>
      </c>
      <c r="E204">
        <v>773.2</v>
      </c>
      <c r="F204">
        <v>773.16</v>
      </c>
      <c r="G204">
        <v>773.12</v>
      </c>
      <c r="H204">
        <v>773.08</v>
      </c>
      <c r="I204">
        <v>773.03</v>
      </c>
      <c r="J204">
        <v>772.99</v>
      </c>
      <c r="K204">
        <v>772.95</v>
      </c>
      <c r="L204">
        <v>772.91</v>
      </c>
    </row>
    <row r="205" spans="1:12" x14ac:dyDescent="0.15">
      <c r="A205">
        <v>1000</v>
      </c>
      <c r="B205">
        <v>773.4</v>
      </c>
      <c r="C205">
        <v>773.36</v>
      </c>
      <c r="D205">
        <v>773.32</v>
      </c>
      <c r="E205">
        <v>773.28</v>
      </c>
      <c r="F205">
        <v>773.24</v>
      </c>
      <c r="G205">
        <v>773.2</v>
      </c>
      <c r="H205">
        <v>773.15</v>
      </c>
      <c r="I205">
        <v>773.11</v>
      </c>
      <c r="J205">
        <v>773.07</v>
      </c>
      <c r="K205">
        <v>773.03</v>
      </c>
      <c r="L205">
        <v>772.99</v>
      </c>
    </row>
    <row r="206" spans="1:12" x14ac:dyDescent="0.15">
      <c r="A206">
        <v>1005</v>
      </c>
      <c r="B206">
        <v>773.48</v>
      </c>
      <c r="C206">
        <v>773.44</v>
      </c>
      <c r="D206">
        <v>773.4</v>
      </c>
      <c r="E206">
        <v>773.36</v>
      </c>
      <c r="F206">
        <v>773.32</v>
      </c>
      <c r="G206">
        <v>773.27</v>
      </c>
      <c r="H206">
        <v>773.23</v>
      </c>
      <c r="I206">
        <v>773.19</v>
      </c>
      <c r="J206">
        <v>773.15</v>
      </c>
      <c r="K206">
        <v>773.11</v>
      </c>
      <c r="L206">
        <v>773.07</v>
      </c>
    </row>
    <row r="207" spans="1:12" x14ac:dyDescent="0.15">
      <c r="A207">
        <v>1010</v>
      </c>
      <c r="B207">
        <v>773.56</v>
      </c>
      <c r="C207">
        <v>773.52</v>
      </c>
      <c r="D207">
        <v>773.48</v>
      </c>
      <c r="E207">
        <v>773.44</v>
      </c>
      <c r="F207">
        <v>773.39</v>
      </c>
      <c r="G207">
        <v>773.35</v>
      </c>
      <c r="H207">
        <v>773.31</v>
      </c>
      <c r="I207">
        <v>773.27</v>
      </c>
      <c r="J207">
        <v>773.23</v>
      </c>
      <c r="K207">
        <v>773.19</v>
      </c>
      <c r="L207">
        <v>773.14</v>
      </c>
    </row>
    <row r="208" spans="1:12" x14ac:dyDescent="0.15">
      <c r="A208">
        <v>1015</v>
      </c>
      <c r="B208">
        <v>773.64</v>
      </c>
      <c r="C208">
        <v>773.6</v>
      </c>
      <c r="D208">
        <v>773.56</v>
      </c>
      <c r="E208">
        <v>773.51</v>
      </c>
      <c r="F208">
        <v>773.47</v>
      </c>
      <c r="G208">
        <v>773.43</v>
      </c>
      <c r="H208">
        <v>773.39</v>
      </c>
      <c r="I208">
        <v>773.35</v>
      </c>
      <c r="J208">
        <v>773.31</v>
      </c>
      <c r="K208">
        <v>773.26</v>
      </c>
      <c r="L208">
        <v>773.22</v>
      </c>
    </row>
    <row r="209" spans="1:12" x14ac:dyDescent="0.15">
      <c r="A209">
        <v>1020</v>
      </c>
      <c r="B209">
        <v>773.72</v>
      </c>
      <c r="C209">
        <v>773.68</v>
      </c>
      <c r="D209">
        <v>773.63</v>
      </c>
      <c r="E209">
        <v>773.59</v>
      </c>
      <c r="F209">
        <v>773.55</v>
      </c>
      <c r="G209">
        <v>773.51</v>
      </c>
      <c r="H209">
        <v>773.47</v>
      </c>
      <c r="I209">
        <v>773.43</v>
      </c>
      <c r="J209">
        <v>773.38</v>
      </c>
      <c r="K209">
        <v>773.34</v>
      </c>
      <c r="L209">
        <v>773.3</v>
      </c>
    </row>
    <row r="210" spans="1:12" x14ac:dyDescent="0.15">
      <c r="A210">
        <v>1025</v>
      </c>
      <c r="B210">
        <v>773.8</v>
      </c>
      <c r="C210">
        <v>773.76</v>
      </c>
      <c r="D210">
        <v>773.71</v>
      </c>
      <c r="E210">
        <v>773.67</v>
      </c>
      <c r="F210">
        <v>773.63</v>
      </c>
      <c r="G210">
        <v>773.59</v>
      </c>
      <c r="H210">
        <v>773.55</v>
      </c>
      <c r="I210">
        <v>773.5</v>
      </c>
      <c r="J210">
        <v>773.46</v>
      </c>
      <c r="K210">
        <v>773.42</v>
      </c>
      <c r="L210">
        <v>773.38</v>
      </c>
    </row>
    <row r="211" spans="1:12" x14ac:dyDescent="0.15">
      <c r="A211">
        <v>1030</v>
      </c>
      <c r="B211">
        <v>773.88</v>
      </c>
      <c r="C211">
        <v>773.83</v>
      </c>
      <c r="D211">
        <v>773.79</v>
      </c>
      <c r="E211">
        <v>773.75</v>
      </c>
      <c r="F211">
        <v>773.71</v>
      </c>
      <c r="G211">
        <v>773.67</v>
      </c>
      <c r="H211">
        <v>773.63</v>
      </c>
      <c r="I211">
        <v>773.58</v>
      </c>
      <c r="J211">
        <v>773.54</v>
      </c>
      <c r="K211">
        <v>773.5</v>
      </c>
      <c r="L211">
        <v>773.46</v>
      </c>
    </row>
    <row r="212" spans="1:12" x14ac:dyDescent="0.15">
      <c r="A212">
        <v>1035</v>
      </c>
      <c r="B212">
        <v>773.95</v>
      </c>
      <c r="C212">
        <v>773.91</v>
      </c>
      <c r="D212">
        <v>773.87</v>
      </c>
      <c r="E212">
        <v>773.83</v>
      </c>
      <c r="F212">
        <v>773.79</v>
      </c>
      <c r="G212">
        <v>773.75</v>
      </c>
      <c r="H212">
        <v>773.7</v>
      </c>
      <c r="I212">
        <v>773.66</v>
      </c>
      <c r="J212">
        <v>773.62</v>
      </c>
      <c r="K212">
        <v>773.58</v>
      </c>
      <c r="L212">
        <v>773.54</v>
      </c>
    </row>
    <row r="213" spans="1:12" x14ac:dyDescent="0.15">
      <c r="A213">
        <v>1040</v>
      </c>
      <c r="B213">
        <v>774.03</v>
      </c>
      <c r="C213">
        <v>773.99</v>
      </c>
      <c r="D213">
        <v>773.95</v>
      </c>
      <c r="E213">
        <v>773.91</v>
      </c>
      <c r="F213">
        <v>773.87</v>
      </c>
      <c r="G213">
        <v>773.82</v>
      </c>
      <c r="H213">
        <v>773.78</v>
      </c>
      <c r="I213">
        <v>773.74</v>
      </c>
      <c r="J213">
        <v>773.7</v>
      </c>
      <c r="K213">
        <v>773.66</v>
      </c>
      <c r="L213">
        <v>773.62</v>
      </c>
    </row>
    <row r="214" spans="1:12" x14ac:dyDescent="0.15">
      <c r="A214">
        <v>1045</v>
      </c>
      <c r="B214">
        <v>774.11</v>
      </c>
      <c r="C214">
        <v>774.07</v>
      </c>
      <c r="D214">
        <v>774.03</v>
      </c>
      <c r="E214">
        <v>773.99</v>
      </c>
      <c r="F214">
        <v>773.94</v>
      </c>
      <c r="G214">
        <v>773.9</v>
      </c>
      <c r="H214">
        <v>773.86</v>
      </c>
      <c r="I214">
        <v>773.82</v>
      </c>
      <c r="J214">
        <v>773.78</v>
      </c>
      <c r="K214">
        <v>773.74</v>
      </c>
      <c r="L214">
        <v>773.69</v>
      </c>
    </row>
    <row r="215" spans="1:12" x14ac:dyDescent="0.15">
      <c r="A215">
        <v>1050</v>
      </c>
      <c r="B215">
        <v>774.19</v>
      </c>
      <c r="C215">
        <v>774.15</v>
      </c>
      <c r="D215">
        <v>774.11</v>
      </c>
      <c r="E215">
        <v>774.06</v>
      </c>
      <c r="F215">
        <v>774.02</v>
      </c>
      <c r="G215">
        <v>773.98</v>
      </c>
      <c r="H215">
        <v>773.94</v>
      </c>
      <c r="I215">
        <v>773.9</v>
      </c>
      <c r="J215">
        <v>773.86</v>
      </c>
      <c r="K215">
        <v>773.81</v>
      </c>
      <c r="L215">
        <v>773.77</v>
      </c>
    </row>
    <row r="216" spans="1:12" x14ac:dyDescent="0.15">
      <c r="A216">
        <v>1055</v>
      </c>
      <c r="B216">
        <v>774.27</v>
      </c>
      <c r="C216">
        <v>774.23</v>
      </c>
      <c r="D216">
        <v>774.18</v>
      </c>
      <c r="E216">
        <v>774.14</v>
      </c>
      <c r="F216">
        <v>774.1</v>
      </c>
      <c r="G216">
        <v>774.06</v>
      </c>
      <c r="H216">
        <v>774.02</v>
      </c>
      <c r="I216">
        <v>773.98</v>
      </c>
      <c r="J216">
        <v>773.93</v>
      </c>
      <c r="K216">
        <v>773.89</v>
      </c>
      <c r="L216">
        <v>773.85</v>
      </c>
    </row>
    <row r="217" spans="1:12" x14ac:dyDescent="0.15">
      <c r="A217">
        <v>1060</v>
      </c>
      <c r="B217">
        <v>774.35</v>
      </c>
      <c r="C217">
        <v>774.3</v>
      </c>
      <c r="D217">
        <v>774.26</v>
      </c>
      <c r="E217">
        <v>774.22</v>
      </c>
      <c r="F217">
        <v>774.18</v>
      </c>
      <c r="G217">
        <v>774.14</v>
      </c>
      <c r="H217">
        <v>774.1</v>
      </c>
      <c r="I217">
        <v>774.05</v>
      </c>
      <c r="J217">
        <v>774.01</v>
      </c>
      <c r="K217">
        <v>773.97</v>
      </c>
      <c r="L217">
        <v>773.93</v>
      </c>
    </row>
    <row r="218" spans="1:12" x14ac:dyDescent="0.15">
      <c r="A218">
        <v>1065</v>
      </c>
      <c r="B218">
        <v>774.42</v>
      </c>
      <c r="C218">
        <v>774.38</v>
      </c>
      <c r="D218">
        <v>774.34</v>
      </c>
      <c r="E218">
        <v>774.3</v>
      </c>
      <c r="F218">
        <v>774.26</v>
      </c>
      <c r="G218">
        <v>774.22</v>
      </c>
      <c r="H218">
        <v>774.17</v>
      </c>
      <c r="I218">
        <v>774.13</v>
      </c>
      <c r="J218">
        <v>774.09</v>
      </c>
      <c r="K218">
        <v>774.05</v>
      </c>
      <c r="L218">
        <v>774.01</v>
      </c>
    </row>
    <row r="219" spans="1:12" x14ac:dyDescent="0.15">
      <c r="A219">
        <v>1070</v>
      </c>
      <c r="B219">
        <v>774.5</v>
      </c>
      <c r="C219">
        <v>774.46</v>
      </c>
      <c r="D219">
        <v>774.42</v>
      </c>
      <c r="E219">
        <v>774.38</v>
      </c>
      <c r="F219">
        <v>774.34</v>
      </c>
      <c r="G219">
        <v>774.29</v>
      </c>
      <c r="H219">
        <v>774.25</v>
      </c>
      <c r="I219">
        <v>774.21</v>
      </c>
      <c r="J219">
        <v>774.17</v>
      </c>
      <c r="K219">
        <v>774.13</v>
      </c>
      <c r="L219">
        <v>774.09</v>
      </c>
    </row>
    <row r="220" spans="1:12" x14ac:dyDescent="0.15">
      <c r="A220">
        <v>1075</v>
      </c>
      <c r="B220">
        <v>774.58</v>
      </c>
      <c r="C220">
        <v>774.54</v>
      </c>
      <c r="D220">
        <v>774.5</v>
      </c>
      <c r="E220">
        <v>774.46</v>
      </c>
      <c r="F220">
        <v>774.41</v>
      </c>
      <c r="G220">
        <v>774.37</v>
      </c>
      <c r="H220">
        <v>774.33</v>
      </c>
      <c r="I220">
        <v>774.29</v>
      </c>
      <c r="J220">
        <v>774.25</v>
      </c>
      <c r="K220">
        <v>774.21</v>
      </c>
      <c r="L220">
        <v>774.16</v>
      </c>
    </row>
    <row r="221" spans="1:12" x14ac:dyDescent="0.15">
      <c r="A221">
        <v>1080</v>
      </c>
      <c r="B221">
        <v>774.66</v>
      </c>
      <c r="C221">
        <v>774.62</v>
      </c>
      <c r="D221">
        <v>774.58</v>
      </c>
      <c r="E221">
        <v>774.53</v>
      </c>
      <c r="F221">
        <v>774.49</v>
      </c>
      <c r="G221">
        <v>774.45</v>
      </c>
      <c r="H221">
        <v>774.41</v>
      </c>
      <c r="I221">
        <v>774.37</v>
      </c>
      <c r="J221">
        <v>774.33</v>
      </c>
      <c r="K221">
        <v>774.28</v>
      </c>
      <c r="L221">
        <v>774.24</v>
      </c>
    </row>
    <row r="222" spans="1:12" x14ac:dyDescent="0.15">
      <c r="A222">
        <v>1085</v>
      </c>
      <c r="B222">
        <v>774.74</v>
      </c>
      <c r="C222">
        <v>774.7</v>
      </c>
      <c r="D222">
        <v>774.65</v>
      </c>
      <c r="E222">
        <v>774.61</v>
      </c>
      <c r="F222">
        <v>774.57</v>
      </c>
      <c r="G222">
        <v>774.53</v>
      </c>
      <c r="H222">
        <v>774.49</v>
      </c>
      <c r="I222">
        <v>774.45</v>
      </c>
      <c r="J222">
        <v>774.4</v>
      </c>
      <c r="K222">
        <v>774.36</v>
      </c>
      <c r="L222">
        <v>774.32</v>
      </c>
    </row>
    <row r="223" spans="1:12" x14ac:dyDescent="0.15">
      <c r="A223">
        <v>1090</v>
      </c>
      <c r="B223">
        <v>774.82</v>
      </c>
      <c r="C223">
        <v>774.77</v>
      </c>
      <c r="D223">
        <v>774.73</v>
      </c>
      <c r="E223">
        <v>774.69</v>
      </c>
      <c r="F223">
        <v>774.65</v>
      </c>
      <c r="G223">
        <v>774.61</v>
      </c>
      <c r="H223">
        <v>774.57</v>
      </c>
      <c r="I223">
        <v>774.52</v>
      </c>
      <c r="J223">
        <v>774.48</v>
      </c>
      <c r="K223">
        <v>774.44</v>
      </c>
      <c r="L223">
        <v>774.4</v>
      </c>
    </row>
    <row r="224" spans="1:12" x14ac:dyDescent="0.15">
      <c r="A224">
        <v>1095</v>
      </c>
      <c r="B224">
        <v>774.89</v>
      </c>
      <c r="C224">
        <v>774.85</v>
      </c>
      <c r="D224">
        <v>774.81</v>
      </c>
      <c r="E224">
        <v>774.77</v>
      </c>
      <c r="F224">
        <v>774.73</v>
      </c>
      <c r="G224">
        <v>774.69</v>
      </c>
      <c r="H224">
        <v>774.65</v>
      </c>
      <c r="I224">
        <v>774.6</v>
      </c>
      <c r="J224">
        <v>774.56</v>
      </c>
      <c r="K224">
        <v>774.52</v>
      </c>
      <c r="L224">
        <v>774.48</v>
      </c>
    </row>
    <row r="225" spans="1:12" x14ac:dyDescent="0.15">
      <c r="A225">
        <v>1100</v>
      </c>
      <c r="B225">
        <v>774.97</v>
      </c>
      <c r="C225">
        <v>774.93</v>
      </c>
      <c r="D225">
        <v>774.89</v>
      </c>
      <c r="E225">
        <v>774.85</v>
      </c>
      <c r="F225">
        <v>774.81</v>
      </c>
      <c r="G225">
        <v>774.77</v>
      </c>
      <c r="H225">
        <v>774.72</v>
      </c>
      <c r="I225">
        <v>774.68</v>
      </c>
      <c r="J225">
        <v>774.64</v>
      </c>
      <c r="K225">
        <v>774.6</v>
      </c>
      <c r="L225">
        <v>774.56</v>
      </c>
    </row>
    <row r="226" spans="1:12" x14ac:dyDescent="0.15">
      <c r="A226">
        <v>1105</v>
      </c>
      <c r="B226">
        <v>775.05</v>
      </c>
      <c r="C226">
        <v>775.01</v>
      </c>
      <c r="D226">
        <v>774.97</v>
      </c>
      <c r="E226">
        <v>774.93</v>
      </c>
      <c r="F226">
        <v>774.89</v>
      </c>
      <c r="G226">
        <v>774.84</v>
      </c>
      <c r="H226">
        <v>774.8</v>
      </c>
      <c r="I226">
        <v>774.76</v>
      </c>
      <c r="J226">
        <v>774.72</v>
      </c>
      <c r="K226">
        <v>774.68</v>
      </c>
      <c r="L226">
        <v>774.64</v>
      </c>
    </row>
    <row r="227" spans="1:12" x14ac:dyDescent="0.15">
      <c r="A227">
        <v>1110</v>
      </c>
      <c r="B227">
        <v>775.13</v>
      </c>
      <c r="C227">
        <v>775.09</v>
      </c>
      <c r="D227">
        <v>775.05</v>
      </c>
      <c r="E227">
        <v>775.01</v>
      </c>
      <c r="F227">
        <v>774.96</v>
      </c>
      <c r="G227">
        <v>774.92</v>
      </c>
      <c r="H227">
        <v>774.88</v>
      </c>
      <c r="I227">
        <v>774.84</v>
      </c>
      <c r="J227">
        <v>774.8</v>
      </c>
      <c r="K227">
        <v>774.76</v>
      </c>
      <c r="L227">
        <v>774.71</v>
      </c>
    </row>
    <row r="228" spans="1:12" x14ac:dyDescent="0.15">
      <c r="A228">
        <v>1115</v>
      </c>
      <c r="B228">
        <v>775.21</v>
      </c>
      <c r="C228">
        <v>775.17</v>
      </c>
      <c r="D228">
        <v>775.13</v>
      </c>
      <c r="E228">
        <v>775.08</v>
      </c>
      <c r="F228">
        <v>775.04</v>
      </c>
      <c r="G228">
        <v>775</v>
      </c>
      <c r="H228">
        <v>774.96</v>
      </c>
      <c r="I228">
        <v>774.92</v>
      </c>
      <c r="J228">
        <v>774.88</v>
      </c>
      <c r="K228">
        <v>774.83</v>
      </c>
      <c r="L228">
        <v>774.79</v>
      </c>
    </row>
    <row r="229" spans="1:12" x14ac:dyDescent="0.15">
      <c r="A229">
        <v>1120</v>
      </c>
      <c r="B229">
        <v>775.29</v>
      </c>
      <c r="C229">
        <v>775.25</v>
      </c>
      <c r="D229">
        <v>775.2</v>
      </c>
      <c r="E229">
        <v>775.16</v>
      </c>
      <c r="F229">
        <v>775.12</v>
      </c>
      <c r="G229">
        <v>775.08</v>
      </c>
      <c r="H229">
        <v>775.04</v>
      </c>
      <c r="I229">
        <v>775</v>
      </c>
      <c r="J229">
        <v>774.95</v>
      </c>
      <c r="K229">
        <v>774.91</v>
      </c>
      <c r="L229">
        <v>774.87</v>
      </c>
    </row>
    <row r="230" spans="1:12" x14ac:dyDescent="0.15">
      <c r="A230">
        <v>1125</v>
      </c>
      <c r="B230">
        <v>775.37</v>
      </c>
      <c r="C230">
        <v>775.32</v>
      </c>
      <c r="D230">
        <v>775.28</v>
      </c>
      <c r="E230">
        <v>775.24</v>
      </c>
      <c r="F230">
        <v>775.2</v>
      </c>
      <c r="G230">
        <v>775.16</v>
      </c>
      <c r="H230">
        <v>775.12</v>
      </c>
      <c r="I230">
        <v>775.07</v>
      </c>
      <c r="J230">
        <v>775.03</v>
      </c>
      <c r="K230">
        <v>774.99</v>
      </c>
      <c r="L230">
        <v>774.95</v>
      </c>
    </row>
    <row r="231" spans="1:12" x14ac:dyDescent="0.15">
      <c r="A231">
        <v>1130</v>
      </c>
      <c r="B231">
        <v>775.44</v>
      </c>
      <c r="C231">
        <v>775.4</v>
      </c>
      <c r="D231">
        <v>775.36</v>
      </c>
      <c r="E231">
        <v>775.32</v>
      </c>
      <c r="F231">
        <v>775.28</v>
      </c>
      <c r="G231">
        <v>775.24</v>
      </c>
      <c r="H231">
        <v>775.19</v>
      </c>
      <c r="I231">
        <v>775.15</v>
      </c>
      <c r="J231">
        <v>775.11</v>
      </c>
      <c r="K231">
        <v>775.07</v>
      </c>
      <c r="L231">
        <v>775.03</v>
      </c>
    </row>
    <row r="232" spans="1:12" x14ac:dyDescent="0.15">
      <c r="A232">
        <v>1135</v>
      </c>
      <c r="B232">
        <v>775.52</v>
      </c>
      <c r="C232">
        <v>775.48</v>
      </c>
      <c r="D232">
        <v>775.44</v>
      </c>
      <c r="E232">
        <v>775.4</v>
      </c>
      <c r="F232">
        <v>775.36</v>
      </c>
      <c r="G232">
        <v>775.31</v>
      </c>
      <c r="H232">
        <v>775.27</v>
      </c>
      <c r="I232">
        <v>775.23</v>
      </c>
      <c r="J232">
        <v>775.19</v>
      </c>
      <c r="K232">
        <v>775.15</v>
      </c>
      <c r="L232">
        <v>775.11</v>
      </c>
    </row>
    <row r="233" spans="1:12" x14ac:dyDescent="0.15">
      <c r="A233">
        <v>1140</v>
      </c>
      <c r="B233">
        <v>775.6</v>
      </c>
      <c r="C233">
        <v>775.56</v>
      </c>
      <c r="D233">
        <v>775.52</v>
      </c>
      <c r="E233">
        <v>775.48</v>
      </c>
      <c r="F233">
        <v>775.43</v>
      </c>
      <c r="G233">
        <v>775.39</v>
      </c>
      <c r="H233">
        <v>775.35</v>
      </c>
      <c r="I233">
        <v>775.31</v>
      </c>
      <c r="J233">
        <v>775.27</v>
      </c>
      <c r="K233">
        <v>775.23</v>
      </c>
      <c r="L233">
        <v>775.18</v>
      </c>
    </row>
    <row r="234" spans="1:12" x14ac:dyDescent="0.15">
      <c r="A234">
        <v>1145</v>
      </c>
      <c r="B234">
        <v>775.68</v>
      </c>
      <c r="C234">
        <v>775.64</v>
      </c>
      <c r="D234">
        <v>775.6</v>
      </c>
      <c r="E234">
        <v>775.55</v>
      </c>
      <c r="F234">
        <v>775.51</v>
      </c>
      <c r="G234">
        <v>775.47</v>
      </c>
      <c r="H234">
        <v>775.43</v>
      </c>
      <c r="I234">
        <v>775.39</v>
      </c>
      <c r="J234">
        <v>775.35</v>
      </c>
      <c r="K234">
        <v>775.3</v>
      </c>
      <c r="L234">
        <v>775.26</v>
      </c>
    </row>
    <row r="235" spans="1:12" x14ac:dyDescent="0.15">
      <c r="A235">
        <v>1150</v>
      </c>
      <c r="B235">
        <v>775.76</v>
      </c>
      <c r="C235">
        <v>775.72</v>
      </c>
      <c r="D235">
        <v>775.67</v>
      </c>
      <c r="E235">
        <v>775.63</v>
      </c>
      <c r="F235">
        <v>775.59</v>
      </c>
      <c r="G235">
        <v>775.55</v>
      </c>
      <c r="H235">
        <v>775.51</v>
      </c>
      <c r="I235">
        <v>775.47</v>
      </c>
      <c r="J235">
        <v>775.42</v>
      </c>
      <c r="K235">
        <v>775.38</v>
      </c>
      <c r="L235">
        <v>775.34</v>
      </c>
    </row>
    <row r="236" spans="1:12" x14ac:dyDescent="0.15">
      <c r="A236">
        <v>1155</v>
      </c>
      <c r="B236">
        <v>775.84</v>
      </c>
      <c r="C236">
        <v>775.79</v>
      </c>
      <c r="D236">
        <v>775.75</v>
      </c>
      <c r="E236">
        <v>775.71</v>
      </c>
      <c r="F236">
        <v>775.67</v>
      </c>
      <c r="G236">
        <v>775.63</v>
      </c>
      <c r="H236">
        <v>775.59</v>
      </c>
      <c r="I236">
        <v>775.54</v>
      </c>
      <c r="J236">
        <v>775.5</v>
      </c>
      <c r="K236">
        <v>775.46</v>
      </c>
      <c r="L236">
        <v>775.42</v>
      </c>
    </row>
    <row r="237" spans="1:12" x14ac:dyDescent="0.15">
      <c r="A237">
        <v>1160</v>
      </c>
      <c r="B237">
        <v>775.91</v>
      </c>
      <c r="C237">
        <v>775.87</v>
      </c>
      <c r="D237">
        <v>775.83</v>
      </c>
      <c r="E237">
        <v>775.79</v>
      </c>
      <c r="F237">
        <v>775.75</v>
      </c>
      <c r="G237">
        <v>775.71</v>
      </c>
      <c r="H237">
        <v>775.66</v>
      </c>
      <c r="I237">
        <v>775.62</v>
      </c>
      <c r="J237">
        <v>775.58</v>
      </c>
      <c r="K237">
        <v>775.54</v>
      </c>
      <c r="L237">
        <v>775.5</v>
      </c>
    </row>
    <row r="238" spans="1:12" x14ac:dyDescent="0.15">
      <c r="A238">
        <v>1165</v>
      </c>
      <c r="B238">
        <v>775.99</v>
      </c>
      <c r="C238">
        <v>775.95</v>
      </c>
      <c r="D238">
        <v>775.91</v>
      </c>
      <c r="E238">
        <v>775.87</v>
      </c>
      <c r="F238">
        <v>775.83</v>
      </c>
      <c r="G238">
        <v>775.78</v>
      </c>
      <c r="H238">
        <v>775.74</v>
      </c>
      <c r="I238">
        <v>775.7</v>
      </c>
      <c r="J238">
        <v>775.66</v>
      </c>
      <c r="K238">
        <v>775.62</v>
      </c>
      <c r="L238">
        <v>775.58</v>
      </c>
    </row>
    <row r="239" spans="1:12" x14ac:dyDescent="0.15">
      <c r="A239">
        <v>1170</v>
      </c>
      <c r="B239">
        <v>776.07</v>
      </c>
      <c r="C239">
        <v>776.03</v>
      </c>
      <c r="D239">
        <v>775.99</v>
      </c>
      <c r="E239">
        <v>775.95</v>
      </c>
      <c r="F239">
        <v>775.9</v>
      </c>
      <c r="G239">
        <v>775.86</v>
      </c>
      <c r="H239">
        <v>775.82</v>
      </c>
      <c r="I239">
        <v>775.78</v>
      </c>
      <c r="J239">
        <v>775.74</v>
      </c>
      <c r="K239">
        <v>775.7</v>
      </c>
      <c r="L239">
        <v>775.65</v>
      </c>
    </row>
    <row r="240" spans="1:12" x14ac:dyDescent="0.15">
      <c r="A240">
        <v>1175</v>
      </c>
      <c r="B240">
        <v>776.15</v>
      </c>
      <c r="C240">
        <v>776.11</v>
      </c>
      <c r="D240">
        <v>776.07</v>
      </c>
      <c r="E240">
        <v>776.02</v>
      </c>
      <c r="F240">
        <v>775.98</v>
      </c>
      <c r="G240">
        <v>775.94</v>
      </c>
      <c r="H240">
        <v>775.9</v>
      </c>
      <c r="I240">
        <v>775.86</v>
      </c>
      <c r="J240">
        <v>775.82</v>
      </c>
      <c r="K240">
        <v>775.77</v>
      </c>
      <c r="L240">
        <v>775.73</v>
      </c>
    </row>
    <row r="241" spans="1:12" x14ac:dyDescent="0.15">
      <c r="A241">
        <v>1180</v>
      </c>
      <c r="B241">
        <v>776.23</v>
      </c>
      <c r="C241">
        <v>776.19</v>
      </c>
      <c r="D241">
        <v>776.14</v>
      </c>
      <c r="E241">
        <v>776.1</v>
      </c>
      <c r="F241">
        <v>776.06</v>
      </c>
      <c r="G241">
        <v>776.02</v>
      </c>
      <c r="H241">
        <v>775.98</v>
      </c>
      <c r="I241">
        <v>775.94</v>
      </c>
      <c r="J241">
        <v>775.89</v>
      </c>
      <c r="K241">
        <v>775.85</v>
      </c>
      <c r="L241">
        <v>775.81</v>
      </c>
    </row>
    <row r="242" spans="1:12" x14ac:dyDescent="0.15">
      <c r="A242">
        <v>1185</v>
      </c>
      <c r="B242">
        <v>776.31</v>
      </c>
      <c r="C242">
        <v>776.26</v>
      </c>
      <c r="D242">
        <v>776.22</v>
      </c>
      <c r="E242">
        <v>776.18</v>
      </c>
      <c r="F242">
        <v>776.14</v>
      </c>
      <c r="G242">
        <v>776.1</v>
      </c>
      <c r="H242">
        <v>776.06</v>
      </c>
      <c r="I242">
        <v>776.01</v>
      </c>
      <c r="J242">
        <v>775.97</v>
      </c>
      <c r="K242">
        <v>775.93</v>
      </c>
      <c r="L242">
        <v>775.89</v>
      </c>
    </row>
    <row r="243" spans="1:12" x14ac:dyDescent="0.15">
      <c r="A243">
        <v>1190</v>
      </c>
      <c r="B243">
        <v>776.38</v>
      </c>
      <c r="C243">
        <v>776.34</v>
      </c>
      <c r="D243">
        <v>776.3</v>
      </c>
      <c r="E243">
        <v>776.26</v>
      </c>
      <c r="F243">
        <v>776.22</v>
      </c>
      <c r="G243">
        <v>776.18</v>
      </c>
      <c r="H243">
        <v>776.13</v>
      </c>
      <c r="I243">
        <v>776.09</v>
      </c>
      <c r="J243">
        <v>776.05</v>
      </c>
      <c r="K243">
        <v>776.01</v>
      </c>
      <c r="L243">
        <v>775.97</v>
      </c>
    </row>
    <row r="244" spans="1:12" x14ac:dyDescent="0.15">
      <c r="A244">
        <v>1195</v>
      </c>
      <c r="B244">
        <v>776.46</v>
      </c>
      <c r="C244">
        <v>776.42</v>
      </c>
      <c r="D244">
        <v>776.38</v>
      </c>
      <c r="E244">
        <v>776.34</v>
      </c>
      <c r="F244">
        <v>776.3</v>
      </c>
      <c r="G244">
        <v>776.25</v>
      </c>
      <c r="H244">
        <v>776.21</v>
      </c>
      <c r="I244">
        <v>776.17</v>
      </c>
      <c r="J244">
        <v>776.13</v>
      </c>
      <c r="K244">
        <v>776.09</v>
      </c>
      <c r="L244">
        <v>776.05</v>
      </c>
    </row>
    <row r="245" spans="1:12" x14ac:dyDescent="0.15">
      <c r="A245">
        <v>1200</v>
      </c>
      <c r="B245">
        <v>776.54</v>
      </c>
      <c r="C245">
        <v>776.5</v>
      </c>
      <c r="D245">
        <v>776.46</v>
      </c>
      <c r="E245">
        <v>776.42</v>
      </c>
      <c r="F245">
        <v>776.37</v>
      </c>
      <c r="G245">
        <v>776.33</v>
      </c>
      <c r="H245">
        <v>776.29</v>
      </c>
      <c r="I245">
        <v>776.25</v>
      </c>
      <c r="J245">
        <v>776.21</v>
      </c>
      <c r="K245">
        <v>776.17</v>
      </c>
      <c r="L245">
        <v>776.12</v>
      </c>
    </row>
    <row r="246" spans="1:12" x14ac:dyDescent="0.15">
      <c r="A246">
        <v>1205</v>
      </c>
      <c r="B246">
        <v>776.62</v>
      </c>
      <c r="C246">
        <v>776.58</v>
      </c>
      <c r="D246">
        <v>776.54</v>
      </c>
      <c r="E246">
        <v>776.49</v>
      </c>
      <c r="F246">
        <v>776.45</v>
      </c>
      <c r="G246">
        <v>776.41</v>
      </c>
      <c r="H246">
        <v>776.37</v>
      </c>
      <c r="I246">
        <v>776.33</v>
      </c>
      <c r="J246">
        <v>776.29</v>
      </c>
      <c r="K246">
        <v>776.24</v>
      </c>
      <c r="L246">
        <v>776.2</v>
      </c>
    </row>
    <row r="247" spans="1:12" x14ac:dyDescent="0.15">
      <c r="A247">
        <v>1210</v>
      </c>
      <c r="B247">
        <v>776.7</v>
      </c>
      <c r="C247">
        <v>776.66</v>
      </c>
      <c r="D247">
        <v>776.61</v>
      </c>
      <c r="E247">
        <v>776.57</v>
      </c>
      <c r="F247">
        <v>776.53</v>
      </c>
      <c r="G247">
        <v>776.49</v>
      </c>
      <c r="H247">
        <v>776.45</v>
      </c>
      <c r="I247">
        <v>776.41</v>
      </c>
      <c r="J247">
        <v>776.36</v>
      </c>
      <c r="K247">
        <v>776.32</v>
      </c>
      <c r="L247">
        <v>776.28</v>
      </c>
    </row>
    <row r="248" spans="1:12" x14ac:dyDescent="0.15">
      <c r="A248">
        <v>1215</v>
      </c>
      <c r="B248">
        <v>776.78</v>
      </c>
      <c r="C248">
        <v>776.73</v>
      </c>
      <c r="D248">
        <v>776.69</v>
      </c>
      <c r="E248">
        <v>776.65</v>
      </c>
      <c r="F248">
        <v>776.61</v>
      </c>
      <c r="G248">
        <v>776.57</v>
      </c>
      <c r="H248">
        <v>776.53</v>
      </c>
      <c r="I248">
        <v>776.48</v>
      </c>
      <c r="J248">
        <v>776.44</v>
      </c>
      <c r="K248">
        <v>776.4</v>
      </c>
      <c r="L248">
        <v>776.36</v>
      </c>
    </row>
    <row r="249" spans="1:12" x14ac:dyDescent="0.15">
      <c r="A249">
        <v>1220</v>
      </c>
      <c r="B249">
        <v>776.85</v>
      </c>
      <c r="C249">
        <v>776.81</v>
      </c>
      <c r="D249">
        <v>776.77</v>
      </c>
      <c r="E249">
        <v>776.73</v>
      </c>
      <c r="F249">
        <v>776.69</v>
      </c>
      <c r="G249">
        <v>776.65</v>
      </c>
      <c r="H249">
        <v>776.6</v>
      </c>
      <c r="I249">
        <v>776.56</v>
      </c>
      <c r="J249">
        <v>776.52</v>
      </c>
      <c r="K249">
        <v>776.48</v>
      </c>
      <c r="L249">
        <v>776.44</v>
      </c>
    </row>
    <row r="250" spans="1:12" x14ac:dyDescent="0.15">
      <c r="A250">
        <v>1225</v>
      </c>
      <c r="B250">
        <v>776.93</v>
      </c>
      <c r="C250">
        <v>776.89</v>
      </c>
      <c r="D250">
        <v>776.85</v>
      </c>
      <c r="E250">
        <v>776.81</v>
      </c>
      <c r="F250">
        <v>776.77</v>
      </c>
      <c r="G250">
        <v>776.72</v>
      </c>
      <c r="H250">
        <v>776.68</v>
      </c>
      <c r="I250">
        <v>776.64</v>
      </c>
      <c r="J250">
        <v>776.6</v>
      </c>
      <c r="K250">
        <v>776.56</v>
      </c>
      <c r="L250">
        <v>776.52</v>
      </c>
    </row>
    <row r="251" spans="1:12" x14ac:dyDescent="0.15">
      <c r="A251">
        <v>1230</v>
      </c>
      <c r="B251">
        <v>777.01</v>
      </c>
      <c r="C251">
        <v>776.97</v>
      </c>
      <c r="D251">
        <v>776.93</v>
      </c>
      <c r="E251">
        <v>776.89</v>
      </c>
      <c r="F251">
        <v>776.84</v>
      </c>
      <c r="G251">
        <v>776.8</v>
      </c>
      <c r="H251">
        <v>776.76</v>
      </c>
      <c r="I251">
        <v>776.72</v>
      </c>
      <c r="J251">
        <v>776.68</v>
      </c>
      <c r="K251">
        <v>776.64</v>
      </c>
      <c r="L251">
        <v>776.59</v>
      </c>
    </row>
    <row r="252" spans="1:12" x14ac:dyDescent="0.15">
      <c r="A252">
        <v>1235</v>
      </c>
      <c r="B252">
        <v>777.09</v>
      </c>
      <c r="C252">
        <v>777.05</v>
      </c>
      <c r="D252">
        <v>777.01</v>
      </c>
      <c r="E252">
        <v>776.96</v>
      </c>
      <c r="F252">
        <v>776.92</v>
      </c>
      <c r="G252">
        <v>776.88</v>
      </c>
      <c r="H252">
        <v>776.84</v>
      </c>
      <c r="I252">
        <v>776.8</v>
      </c>
      <c r="J252">
        <v>776.76</v>
      </c>
      <c r="K252">
        <v>776.71</v>
      </c>
      <c r="L252">
        <v>776.67</v>
      </c>
    </row>
    <row r="253" spans="1:12" x14ac:dyDescent="0.15">
      <c r="A253">
        <v>1240</v>
      </c>
      <c r="B253">
        <v>777.17</v>
      </c>
      <c r="C253">
        <v>777.13</v>
      </c>
      <c r="D253">
        <v>777.08</v>
      </c>
      <c r="E253">
        <v>777.04</v>
      </c>
      <c r="F253">
        <v>777</v>
      </c>
      <c r="G253">
        <v>776.96</v>
      </c>
      <c r="H253">
        <v>776.92</v>
      </c>
      <c r="I253">
        <v>776.88</v>
      </c>
      <c r="J253">
        <v>776.83</v>
      </c>
      <c r="K253">
        <v>776.79</v>
      </c>
      <c r="L253">
        <v>776.75</v>
      </c>
    </row>
    <row r="254" spans="1:12" x14ac:dyDescent="0.15">
      <c r="A254">
        <v>1245</v>
      </c>
      <c r="B254">
        <v>777.25</v>
      </c>
      <c r="C254">
        <v>777.2</v>
      </c>
      <c r="D254">
        <v>777.16</v>
      </c>
      <c r="E254">
        <v>777.12</v>
      </c>
      <c r="F254">
        <v>777.08</v>
      </c>
      <c r="G254">
        <v>777.04</v>
      </c>
      <c r="H254">
        <v>777</v>
      </c>
      <c r="I254">
        <v>776.95</v>
      </c>
      <c r="J254">
        <v>776.91</v>
      </c>
      <c r="K254">
        <v>776.87</v>
      </c>
      <c r="L254">
        <v>776.83</v>
      </c>
    </row>
    <row r="255" spans="1:12" x14ac:dyDescent="0.15">
      <c r="A255">
        <v>1250</v>
      </c>
      <c r="B255">
        <v>777.32</v>
      </c>
      <c r="C255">
        <v>777.28</v>
      </c>
      <c r="D255">
        <v>777.24</v>
      </c>
      <c r="E255">
        <v>777.2</v>
      </c>
      <c r="F255">
        <v>777.16</v>
      </c>
      <c r="G255">
        <v>777.12</v>
      </c>
      <c r="H255">
        <v>777.07</v>
      </c>
      <c r="I255">
        <v>777.03</v>
      </c>
      <c r="J255">
        <v>776.99</v>
      </c>
      <c r="K255">
        <v>776.95</v>
      </c>
      <c r="L255">
        <v>776.91</v>
      </c>
    </row>
    <row r="256" spans="1:12" x14ac:dyDescent="0.15">
      <c r="A256">
        <v>1255</v>
      </c>
      <c r="B256">
        <v>777.4</v>
      </c>
      <c r="C256">
        <v>777.36</v>
      </c>
      <c r="D256">
        <v>777.32</v>
      </c>
      <c r="E256">
        <v>777.28</v>
      </c>
      <c r="F256">
        <v>777.24</v>
      </c>
      <c r="G256">
        <v>777.19</v>
      </c>
      <c r="H256">
        <v>777.15</v>
      </c>
      <c r="I256">
        <v>777.11</v>
      </c>
      <c r="J256">
        <v>777.07</v>
      </c>
      <c r="K256">
        <v>777.03</v>
      </c>
      <c r="L256">
        <v>776.99</v>
      </c>
    </row>
    <row r="257" spans="1:12" x14ac:dyDescent="0.15">
      <c r="A257">
        <v>1260</v>
      </c>
      <c r="B257">
        <v>777.48</v>
      </c>
      <c r="C257">
        <v>777.44</v>
      </c>
      <c r="D257">
        <v>777.4</v>
      </c>
      <c r="E257">
        <v>777.36</v>
      </c>
      <c r="F257">
        <v>777.31</v>
      </c>
      <c r="G257">
        <v>777.27</v>
      </c>
      <c r="H257">
        <v>777.23</v>
      </c>
      <c r="I257">
        <v>777.19</v>
      </c>
      <c r="J257">
        <v>777.15</v>
      </c>
      <c r="K257">
        <v>777.11</v>
      </c>
      <c r="L257">
        <v>777.07</v>
      </c>
    </row>
    <row r="258" spans="1:12" x14ac:dyDescent="0.15">
      <c r="A258">
        <v>1265</v>
      </c>
      <c r="B258">
        <v>777.56</v>
      </c>
      <c r="C258">
        <v>777.52</v>
      </c>
      <c r="D258">
        <v>777.48</v>
      </c>
      <c r="E258">
        <v>777.43</v>
      </c>
      <c r="F258">
        <v>777.39</v>
      </c>
      <c r="G258">
        <v>777.35</v>
      </c>
      <c r="H258">
        <v>777.31</v>
      </c>
      <c r="I258">
        <v>777.27</v>
      </c>
      <c r="J258">
        <v>777.23</v>
      </c>
      <c r="K258">
        <v>777.18</v>
      </c>
      <c r="L258">
        <v>777.14</v>
      </c>
    </row>
    <row r="259" spans="1:12" x14ac:dyDescent="0.15">
      <c r="A259">
        <v>1270</v>
      </c>
      <c r="B259">
        <v>777.64</v>
      </c>
      <c r="C259">
        <v>777.6</v>
      </c>
      <c r="D259">
        <v>777.55</v>
      </c>
      <c r="E259">
        <v>777.51</v>
      </c>
      <c r="F259">
        <v>777.47</v>
      </c>
      <c r="G259">
        <v>777.43</v>
      </c>
      <c r="H259">
        <v>777.39</v>
      </c>
      <c r="I259">
        <v>777.35</v>
      </c>
      <c r="J259">
        <v>777.3</v>
      </c>
      <c r="K259">
        <v>777.26</v>
      </c>
      <c r="L259">
        <v>777.22</v>
      </c>
    </row>
    <row r="260" spans="1:12" x14ac:dyDescent="0.15">
      <c r="A260">
        <v>1275</v>
      </c>
      <c r="B260">
        <v>777.72</v>
      </c>
      <c r="C260">
        <v>777.67</v>
      </c>
      <c r="D260">
        <v>777.63</v>
      </c>
      <c r="E260">
        <v>777.59</v>
      </c>
      <c r="F260">
        <v>777.55</v>
      </c>
      <c r="G260">
        <v>777.51</v>
      </c>
      <c r="H260">
        <v>777.47</v>
      </c>
      <c r="I260">
        <v>777.42</v>
      </c>
      <c r="J260">
        <v>777.38</v>
      </c>
      <c r="K260">
        <v>777.34</v>
      </c>
      <c r="L260">
        <v>777.3</v>
      </c>
    </row>
    <row r="261" spans="1:12" x14ac:dyDescent="0.15">
      <c r="A261">
        <v>1280</v>
      </c>
      <c r="B261">
        <v>777.79</v>
      </c>
      <c r="C261">
        <v>777.75</v>
      </c>
      <c r="D261">
        <v>777.71</v>
      </c>
      <c r="E261">
        <v>777.67</v>
      </c>
      <c r="F261">
        <v>777.63</v>
      </c>
      <c r="G261">
        <v>777.59</v>
      </c>
      <c r="H261">
        <v>777.54</v>
      </c>
      <c r="I261">
        <v>777.5</v>
      </c>
      <c r="J261">
        <v>777.46</v>
      </c>
      <c r="K261">
        <v>777.42</v>
      </c>
      <c r="L261">
        <v>777.38</v>
      </c>
    </row>
    <row r="262" spans="1:12" x14ac:dyDescent="0.15">
      <c r="A262">
        <v>1285</v>
      </c>
      <c r="B262">
        <v>777.87</v>
      </c>
      <c r="C262">
        <v>777.83</v>
      </c>
      <c r="D262">
        <v>777.79</v>
      </c>
      <c r="E262">
        <v>777.75</v>
      </c>
      <c r="F262">
        <v>777.71</v>
      </c>
      <c r="G262">
        <v>777.66</v>
      </c>
      <c r="H262">
        <v>777.62</v>
      </c>
      <c r="I262">
        <v>777.58</v>
      </c>
      <c r="J262">
        <v>777.54</v>
      </c>
      <c r="K262">
        <v>777.5</v>
      </c>
      <c r="L262">
        <v>777.46</v>
      </c>
    </row>
    <row r="263" spans="1:12" x14ac:dyDescent="0.15">
      <c r="A263">
        <v>1290</v>
      </c>
      <c r="B263">
        <v>777.95</v>
      </c>
      <c r="C263">
        <v>777.91</v>
      </c>
      <c r="D263">
        <v>777.87</v>
      </c>
      <c r="E263">
        <v>777.83</v>
      </c>
      <c r="F263">
        <v>777.78</v>
      </c>
      <c r="G263">
        <v>777.74</v>
      </c>
      <c r="H263">
        <v>777.7</v>
      </c>
      <c r="I263">
        <v>777.66</v>
      </c>
      <c r="J263">
        <v>777.62</v>
      </c>
      <c r="K263">
        <v>777.58</v>
      </c>
      <c r="L263">
        <v>777.54</v>
      </c>
    </row>
    <row r="264" spans="1:12" x14ac:dyDescent="0.15">
      <c r="A264">
        <v>1295</v>
      </c>
      <c r="B264">
        <v>778.03</v>
      </c>
      <c r="C264">
        <v>777.99</v>
      </c>
      <c r="D264">
        <v>777.95</v>
      </c>
      <c r="E264">
        <v>777.9</v>
      </c>
      <c r="F264">
        <v>777.86</v>
      </c>
      <c r="G264">
        <v>777.82</v>
      </c>
      <c r="H264">
        <v>777.78</v>
      </c>
      <c r="I264">
        <v>777.74</v>
      </c>
      <c r="J264">
        <v>777.7</v>
      </c>
      <c r="K264">
        <v>777.65</v>
      </c>
      <c r="L264">
        <v>777.61</v>
      </c>
    </row>
    <row r="265" spans="1:12" x14ac:dyDescent="0.15">
      <c r="A265">
        <v>1300</v>
      </c>
      <c r="B265">
        <v>778.11</v>
      </c>
      <c r="C265">
        <v>778.07</v>
      </c>
      <c r="D265">
        <v>778.02</v>
      </c>
      <c r="E265">
        <v>777.98</v>
      </c>
      <c r="F265">
        <v>777.94</v>
      </c>
      <c r="G265">
        <v>777.9</v>
      </c>
      <c r="H265">
        <v>777.86</v>
      </c>
      <c r="I265">
        <v>777.82</v>
      </c>
      <c r="J265">
        <v>777.77</v>
      </c>
      <c r="K265">
        <v>777.73</v>
      </c>
      <c r="L265">
        <v>777.69</v>
      </c>
    </row>
    <row r="266" spans="1:12" x14ac:dyDescent="0.15">
      <c r="A266">
        <v>1305</v>
      </c>
      <c r="B266">
        <v>778.19</v>
      </c>
      <c r="C266">
        <v>778.14</v>
      </c>
      <c r="D266">
        <v>778.1</v>
      </c>
      <c r="E266">
        <v>778.06</v>
      </c>
      <c r="F266">
        <v>778.02</v>
      </c>
      <c r="G266">
        <v>777.98</v>
      </c>
      <c r="H266">
        <v>777.94</v>
      </c>
      <c r="I266">
        <v>777.89</v>
      </c>
      <c r="J266">
        <v>777.85</v>
      </c>
      <c r="K266">
        <v>777.81</v>
      </c>
      <c r="L266">
        <v>777.77</v>
      </c>
    </row>
    <row r="267" spans="1:12" x14ac:dyDescent="0.15">
      <c r="A267">
        <v>1310</v>
      </c>
      <c r="B267">
        <v>778.26</v>
      </c>
      <c r="C267">
        <v>778.22</v>
      </c>
      <c r="D267">
        <v>778.18</v>
      </c>
      <c r="E267">
        <v>778.14</v>
      </c>
      <c r="F267">
        <v>778.1</v>
      </c>
      <c r="G267">
        <v>778.06</v>
      </c>
      <c r="H267">
        <v>778.01</v>
      </c>
      <c r="I267">
        <v>777.97</v>
      </c>
      <c r="J267">
        <v>777.93</v>
      </c>
      <c r="K267">
        <v>777.89</v>
      </c>
      <c r="L267">
        <v>777.85</v>
      </c>
    </row>
    <row r="268" spans="1:12" x14ac:dyDescent="0.15">
      <c r="A268">
        <v>1315</v>
      </c>
      <c r="B268">
        <v>778.34</v>
      </c>
      <c r="C268">
        <v>778.3</v>
      </c>
      <c r="D268">
        <v>778.26</v>
      </c>
      <c r="E268">
        <v>778.22</v>
      </c>
      <c r="F268">
        <v>778.18</v>
      </c>
      <c r="G268">
        <v>778.13</v>
      </c>
      <c r="H268">
        <v>778.09</v>
      </c>
      <c r="I268">
        <v>778.05</v>
      </c>
      <c r="J268">
        <v>778.01</v>
      </c>
      <c r="K268">
        <v>777.97</v>
      </c>
      <c r="L268">
        <v>777.93</v>
      </c>
    </row>
    <row r="269" spans="1:12" x14ac:dyDescent="0.15">
      <c r="A269">
        <v>1320</v>
      </c>
      <c r="B269">
        <v>778.42</v>
      </c>
      <c r="C269">
        <v>778.38</v>
      </c>
      <c r="D269">
        <v>778.34</v>
      </c>
      <c r="E269">
        <v>778.3</v>
      </c>
      <c r="F269">
        <v>778.25</v>
      </c>
      <c r="G269">
        <v>778.21</v>
      </c>
      <c r="H269">
        <v>778.17</v>
      </c>
      <c r="I269">
        <v>778.13</v>
      </c>
      <c r="J269">
        <v>778.09</v>
      </c>
      <c r="K269">
        <v>778.05</v>
      </c>
      <c r="L269">
        <v>778</v>
      </c>
    </row>
    <row r="270" spans="1:12" x14ac:dyDescent="0.15">
      <c r="A270">
        <v>1325</v>
      </c>
      <c r="B270">
        <v>778.5</v>
      </c>
      <c r="C270">
        <v>778.46</v>
      </c>
      <c r="D270">
        <v>778.42</v>
      </c>
      <c r="E270">
        <v>778.37</v>
      </c>
      <c r="F270">
        <v>778.33</v>
      </c>
      <c r="G270">
        <v>778.29</v>
      </c>
      <c r="H270">
        <v>778.25</v>
      </c>
      <c r="I270">
        <v>778.21</v>
      </c>
      <c r="J270">
        <v>778.17</v>
      </c>
      <c r="K270">
        <v>778.12</v>
      </c>
      <c r="L270">
        <v>778.08</v>
      </c>
    </row>
    <row r="271" spans="1:12" x14ac:dyDescent="0.15">
      <c r="A271">
        <v>1330</v>
      </c>
      <c r="B271">
        <v>778.58</v>
      </c>
      <c r="C271">
        <v>778.54</v>
      </c>
      <c r="D271">
        <v>778.49</v>
      </c>
      <c r="E271">
        <v>778.45</v>
      </c>
      <c r="F271">
        <v>778.41</v>
      </c>
      <c r="G271">
        <v>778.37</v>
      </c>
      <c r="H271">
        <v>778.33</v>
      </c>
      <c r="I271">
        <v>778.29</v>
      </c>
      <c r="J271">
        <v>778.24</v>
      </c>
      <c r="K271">
        <v>778.2</v>
      </c>
      <c r="L271">
        <v>778.16</v>
      </c>
    </row>
    <row r="272" spans="1:12" x14ac:dyDescent="0.15">
      <c r="A272">
        <v>1335</v>
      </c>
      <c r="B272">
        <v>778.66</v>
      </c>
      <c r="C272">
        <v>778.61</v>
      </c>
      <c r="D272">
        <v>778.57</v>
      </c>
      <c r="E272">
        <v>778.53</v>
      </c>
      <c r="F272">
        <v>778.49</v>
      </c>
      <c r="G272">
        <v>778.45</v>
      </c>
      <c r="H272">
        <v>778.41</v>
      </c>
      <c r="I272">
        <v>778.36</v>
      </c>
      <c r="J272">
        <v>778.32</v>
      </c>
      <c r="K272">
        <v>778.28</v>
      </c>
      <c r="L272">
        <v>778.24</v>
      </c>
    </row>
    <row r="273" spans="1:12" x14ac:dyDescent="0.15">
      <c r="A273">
        <v>1340</v>
      </c>
      <c r="B273">
        <v>778.73</v>
      </c>
      <c r="C273">
        <v>778.69</v>
      </c>
      <c r="D273">
        <v>778.65</v>
      </c>
      <c r="E273">
        <v>778.61</v>
      </c>
      <c r="F273">
        <v>778.57</v>
      </c>
      <c r="G273">
        <v>778.53</v>
      </c>
      <c r="H273">
        <v>778.48</v>
      </c>
      <c r="I273">
        <v>778.44</v>
      </c>
      <c r="J273">
        <v>778.4</v>
      </c>
      <c r="K273">
        <v>778.36</v>
      </c>
      <c r="L273">
        <v>778.32</v>
      </c>
    </row>
    <row r="274" spans="1:12" x14ac:dyDescent="0.15">
      <c r="A274">
        <v>1345</v>
      </c>
      <c r="B274">
        <v>778.81</v>
      </c>
      <c r="C274">
        <v>778.77</v>
      </c>
      <c r="D274">
        <v>778.73</v>
      </c>
      <c r="E274">
        <v>778.69</v>
      </c>
      <c r="F274">
        <v>778.65</v>
      </c>
      <c r="G274">
        <v>778.6</v>
      </c>
      <c r="H274">
        <v>778.56</v>
      </c>
      <c r="I274">
        <v>778.52</v>
      </c>
      <c r="J274">
        <v>778.48</v>
      </c>
      <c r="K274">
        <v>778.44</v>
      </c>
      <c r="L274">
        <v>778.4</v>
      </c>
    </row>
    <row r="275" spans="1:12" x14ac:dyDescent="0.15">
      <c r="A275">
        <v>1350</v>
      </c>
      <c r="B275">
        <v>778.89</v>
      </c>
      <c r="C275">
        <v>778.85</v>
      </c>
      <c r="D275">
        <v>778.81</v>
      </c>
      <c r="E275">
        <v>778.77</v>
      </c>
      <c r="F275">
        <v>778.72</v>
      </c>
      <c r="G275">
        <v>778.68</v>
      </c>
      <c r="H275">
        <v>778.64</v>
      </c>
      <c r="I275">
        <v>778.6</v>
      </c>
      <c r="J275">
        <v>778.56</v>
      </c>
      <c r="K275">
        <v>778.52</v>
      </c>
      <c r="L275">
        <v>778.47</v>
      </c>
    </row>
    <row r="276" spans="1:12" x14ac:dyDescent="0.15">
      <c r="A276">
        <v>1355</v>
      </c>
      <c r="B276">
        <v>778.97</v>
      </c>
      <c r="C276">
        <v>778.93</v>
      </c>
      <c r="D276">
        <v>778.89</v>
      </c>
      <c r="E276">
        <v>778.84</v>
      </c>
      <c r="F276">
        <v>778.8</v>
      </c>
      <c r="G276">
        <v>778.76</v>
      </c>
      <c r="H276">
        <v>778.72</v>
      </c>
      <c r="I276">
        <v>778.68</v>
      </c>
      <c r="J276">
        <v>778.64</v>
      </c>
      <c r="K276">
        <v>778.59</v>
      </c>
      <c r="L276">
        <v>778.55</v>
      </c>
    </row>
    <row r="277" spans="1:12" x14ac:dyDescent="0.15">
      <c r="A277">
        <v>1360</v>
      </c>
      <c r="B277">
        <v>779.05</v>
      </c>
      <c r="C277">
        <v>779.01</v>
      </c>
      <c r="D277">
        <v>778.96</v>
      </c>
      <c r="E277">
        <v>778.92</v>
      </c>
      <c r="F277">
        <v>778.88</v>
      </c>
      <c r="G277">
        <v>778.84</v>
      </c>
      <c r="H277">
        <v>778.8</v>
      </c>
      <c r="I277">
        <v>778.76</v>
      </c>
      <c r="J277">
        <v>778.71</v>
      </c>
      <c r="K277">
        <v>778.67</v>
      </c>
      <c r="L277">
        <v>778.63</v>
      </c>
    </row>
    <row r="278" spans="1:12" x14ac:dyDescent="0.15">
      <c r="A278">
        <v>1365</v>
      </c>
      <c r="B278">
        <v>779.12</v>
      </c>
      <c r="C278">
        <v>779.08</v>
      </c>
      <c r="D278">
        <v>779.04</v>
      </c>
      <c r="E278">
        <v>779</v>
      </c>
      <c r="F278">
        <v>778.96</v>
      </c>
      <c r="G278">
        <v>778.92</v>
      </c>
      <c r="H278">
        <v>778.88</v>
      </c>
      <c r="I278">
        <v>778.83</v>
      </c>
      <c r="J278">
        <v>778.79</v>
      </c>
      <c r="K278">
        <v>778.75</v>
      </c>
      <c r="L278">
        <v>778.71</v>
      </c>
    </row>
    <row r="279" spans="1:12" x14ac:dyDescent="0.15">
      <c r="A279">
        <v>1370</v>
      </c>
      <c r="B279">
        <v>779.2</v>
      </c>
      <c r="C279">
        <v>779.16</v>
      </c>
      <c r="D279">
        <v>779.12</v>
      </c>
      <c r="E279">
        <v>779.08</v>
      </c>
      <c r="F279">
        <v>779.04</v>
      </c>
      <c r="G279">
        <v>779</v>
      </c>
      <c r="H279">
        <v>778.95</v>
      </c>
      <c r="I279">
        <v>778.91</v>
      </c>
      <c r="J279">
        <v>778.87</v>
      </c>
      <c r="K279">
        <v>778.83</v>
      </c>
      <c r="L279">
        <v>778.79</v>
      </c>
    </row>
    <row r="280" spans="1:12" x14ac:dyDescent="0.15">
      <c r="A280">
        <v>1375</v>
      </c>
      <c r="B280">
        <v>779.28</v>
      </c>
      <c r="C280">
        <v>779.24</v>
      </c>
      <c r="D280">
        <v>779.2</v>
      </c>
      <c r="E280">
        <v>779.16</v>
      </c>
      <c r="F280">
        <v>779.12</v>
      </c>
      <c r="G280">
        <v>779.07</v>
      </c>
      <c r="H280">
        <v>779.03</v>
      </c>
      <c r="I280">
        <v>778.99</v>
      </c>
      <c r="J280">
        <v>778.95</v>
      </c>
      <c r="K280">
        <v>778.91</v>
      </c>
      <c r="L280">
        <v>778.87</v>
      </c>
    </row>
    <row r="281" spans="1:12" x14ac:dyDescent="0.15">
      <c r="A281">
        <v>1380</v>
      </c>
      <c r="B281">
        <v>779.36</v>
      </c>
      <c r="C281">
        <v>779.32</v>
      </c>
      <c r="D281">
        <v>779.28</v>
      </c>
      <c r="E281">
        <v>779.24</v>
      </c>
      <c r="F281">
        <v>779.19</v>
      </c>
      <c r="G281">
        <v>779.15</v>
      </c>
      <c r="H281">
        <v>779.11</v>
      </c>
      <c r="I281">
        <v>779.07</v>
      </c>
      <c r="J281">
        <v>779.03</v>
      </c>
      <c r="K281">
        <v>778.99</v>
      </c>
      <c r="L281">
        <v>778.94</v>
      </c>
    </row>
    <row r="282" spans="1:12" x14ac:dyDescent="0.15">
      <c r="A282">
        <v>1385</v>
      </c>
      <c r="B282">
        <v>779.44</v>
      </c>
      <c r="C282">
        <v>779.4</v>
      </c>
      <c r="D282">
        <v>779.36</v>
      </c>
      <c r="E282">
        <v>779.31</v>
      </c>
      <c r="F282">
        <v>779.27</v>
      </c>
      <c r="G282">
        <v>779.23</v>
      </c>
      <c r="H282">
        <v>779.19</v>
      </c>
      <c r="I282">
        <v>779.15</v>
      </c>
      <c r="J282">
        <v>779.11</v>
      </c>
      <c r="K282">
        <v>779.06</v>
      </c>
      <c r="L282">
        <v>779.02</v>
      </c>
    </row>
    <row r="283" spans="1:12" x14ac:dyDescent="0.15">
      <c r="A283">
        <v>1390</v>
      </c>
      <c r="B283">
        <v>779.52</v>
      </c>
      <c r="C283">
        <v>779.47</v>
      </c>
      <c r="D283">
        <v>779.43</v>
      </c>
      <c r="E283">
        <v>779.39</v>
      </c>
      <c r="F283">
        <v>779.35</v>
      </c>
      <c r="G283">
        <v>779.31</v>
      </c>
      <c r="H283">
        <v>779.27</v>
      </c>
      <c r="I283">
        <v>779.23</v>
      </c>
      <c r="J283">
        <v>779.18</v>
      </c>
      <c r="K283">
        <v>779.14</v>
      </c>
      <c r="L283">
        <v>779.1</v>
      </c>
    </row>
    <row r="284" spans="1:12" x14ac:dyDescent="0.15">
      <c r="A284">
        <v>1395</v>
      </c>
      <c r="B284">
        <v>779.59</v>
      </c>
      <c r="C284">
        <v>779.55</v>
      </c>
      <c r="D284">
        <v>779.51</v>
      </c>
      <c r="E284">
        <v>779.47</v>
      </c>
      <c r="F284">
        <v>779.43</v>
      </c>
      <c r="G284">
        <v>779.39</v>
      </c>
      <c r="H284">
        <v>779.35</v>
      </c>
      <c r="I284">
        <v>779.3</v>
      </c>
      <c r="J284">
        <v>779.26</v>
      </c>
      <c r="K284">
        <v>779.22</v>
      </c>
      <c r="L284">
        <v>779.18</v>
      </c>
    </row>
    <row r="285" spans="1:12" x14ac:dyDescent="0.15">
      <c r="A285">
        <v>1400</v>
      </c>
      <c r="B285">
        <v>779.67</v>
      </c>
      <c r="C285">
        <v>779.63</v>
      </c>
      <c r="D285">
        <v>779.59</v>
      </c>
      <c r="E285">
        <v>779.55</v>
      </c>
      <c r="F285">
        <v>779.51</v>
      </c>
      <c r="G285">
        <v>779.47</v>
      </c>
      <c r="H285">
        <v>779.42</v>
      </c>
      <c r="I285">
        <v>779.38</v>
      </c>
      <c r="J285">
        <v>779.34</v>
      </c>
      <c r="K285">
        <v>779.3</v>
      </c>
      <c r="L285">
        <v>779.26</v>
      </c>
    </row>
    <row r="286" spans="1:12" x14ac:dyDescent="0.15">
      <c r="A286">
        <v>1405</v>
      </c>
      <c r="B286">
        <v>779.75</v>
      </c>
      <c r="C286">
        <v>779.71</v>
      </c>
      <c r="D286">
        <v>779.67</v>
      </c>
      <c r="E286">
        <v>779.63</v>
      </c>
      <c r="F286">
        <v>779.59</v>
      </c>
      <c r="G286">
        <v>779.54</v>
      </c>
      <c r="H286">
        <v>779.5</v>
      </c>
      <c r="I286">
        <v>779.46</v>
      </c>
      <c r="J286">
        <v>779.42</v>
      </c>
      <c r="K286">
        <v>779.38</v>
      </c>
      <c r="L286">
        <v>779.34</v>
      </c>
    </row>
    <row r="287" spans="1:12" x14ac:dyDescent="0.15">
      <c r="A287">
        <v>1410</v>
      </c>
      <c r="B287">
        <v>779.83</v>
      </c>
      <c r="C287">
        <v>779.79</v>
      </c>
      <c r="D287">
        <v>779.75</v>
      </c>
      <c r="E287">
        <v>779.71</v>
      </c>
      <c r="F287">
        <v>779.66</v>
      </c>
      <c r="G287">
        <v>779.62</v>
      </c>
      <c r="H287">
        <v>779.58</v>
      </c>
      <c r="I287">
        <v>779.54</v>
      </c>
      <c r="J287">
        <v>779.5</v>
      </c>
      <c r="K287">
        <v>779.46</v>
      </c>
      <c r="L287">
        <v>779.41</v>
      </c>
    </row>
    <row r="288" spans="1:12" x14ac:dyDescent="0.15">
      <c r="A288">
        <v>1415</v>
      </c>
      <c r="B288">
        <v>779.91</v>
      </c>
      <c r="C288">
        <v>779.87</v>
      </c>
      <c r="D288">
        <v>779.82</v>
      </c>
      <c r="E288">
        <v>779.78</v>
      </c>
      <c r="F288">
        <v>779.74</v>
      </c>
      <c r="G288">
        <v>779.7</v>
      </c>
      <c r="H288">
        <v>779.66</v>
      </c>
      <c r="I288">
        <v>779.62</v>
      </c>
      <c r="J288">
        <v>779.58</v>
      </c>
      <c r="K288">
        <v>779.53</v>
      </c>
      <c r="L288">
        <v>779.49</v>
      </c>
    </row>
    <row r="289" spans="1:12" x14ac:dyDescent="0.15">
      <c r="A289">
        <v>1420</v>
      </c>
      <c r="B289">
        <v>779.99</v>
      </c>
      <c r="C289">
        <v>779.94</v>
      </c>
      <c r="D289">
        <v>779.9</v>
      </c>
      <c r="E289">
        <v>779.86</v>
      </c>
      <c r="F289">
        <v>779.82</v>
      </c>
      <c r="G289">
        <v>779.78</v>
      </c>
      <c r="H289">
        <v>779.74</v>
      </c>
      <c r="I289">
        <v>779.7</v>
      </c>
      <c r="J289">
        <v>779.65</v>
      </c>
      <c r="K289">
        <v>779.61</v>
      </c>
      <c r="L289">
        <v>779.57</v>
      </c>
    </row>
    <row r="290" spans="1:12" x14ac:dyDescent="0.15">
      <c r="A290">
        <v>1425</v>
      </c>
      <c r="B290">
        <v>780.06</v>
      </c>
      <c r="C290">
        <v>780.02</v>
      </c>
      <c r="D290">
        <v>779.98</v>
      </c>
      <c r="E290">
        <v>779.94</v>
      </c>
      <c r="F290">
        <v>779.9</v>
      </c>
      <c r="G290">
        <v>779.86</v>
      </c>
      <c r="H290">
        <v>779.82</v>
      </c>
      <c r="I290">
        <v>779.77</v>
      </c>
      <c r="J290">
        <v>779.73</v>
      </c>
      <c r="K290">
        <v>779.69</v>
      </c>
      <c r="L290">
        <v>779.65</v>
      </c>
    </row>
    <row r="291" spans="1:12" x14ac:dyDescent="0.15">
      <c r="A291">
        <v>1430</v>
      </c>
      <c r="B291">
        <v>780.14</v>
      </c>
      <c r="C291">
        <v>780.1</v>
      </c>
      <c r="D291">
        <v>780.06</v>
      </c>
      <c r="E291">
        <v>780.02</v>
      </c>
      <c r="F291">
        <v>779.98</v>
      </c>
      <c r="G291">
        <v>779.94</v>
      </c>
      <c r="H291">
        <v>779.89</v>
      </c>
      <c r="I291">
        <v>779.85</v>
      </c>
      <c r="J291">
        <v>779.81</v>
      </c>
      <c r="K291">
        <v>779.77</v>
      </c>
      <c r="L291">
        <v>779.73</v>
      </c>
    </row>
    <row r="292" spans="1:12" x14ac:dyDescent="0.15">
      <c r="A292">
        <v>1435</v>
      </c>
      <c r="B292">
        <v>780.22</v>
      </c>
      <c r="C292">
        <v>780.18</v>
      </c>
      <c r="D292">
        <v>780.14</v>
      </c>
      <c r="E292">
        <v>780.1</v>
      </c>
      <c r="F292">
        <v>780.05</v>
      </c>
      <c r="G292">
        <v>780.01</v>
      </c>
      <c r="H292">
        <v>779.97</v>
      </c>
      <c r="I292">
        <v>779.93</v>
      </c>
      <c r="J292">
        <v>779.89</v>
      </c>
      <c r="K292">
        <v>779.85</v>
      </c>
      <c r="L292">
        <v>779.81</v>
      </c>
    </row>
    <row r="293" spans="1:12" x14ac:dyDescent="0.15">
      <c r="A293">
        <v>1440</v>
      </c>
      <c r="B293">
        <v>780.3</v>
      </c>
      <c r="C293">
        <v>780.26</v>
      </c>
      <c r="D293">
        <v>780.22</v>
      </c>
      <c r="E293">
        <v>780.17</v>
      </c>
      <c r="F293">
        <v>780.13</v>
      </c>
      <c r="G293">
        <v>780.09</v>
      </c>
      <c r="H293">
        <v>780.05</v>
      </c>
      <c r="I293">
        <v>780.01</v>
      </c>
      <c r="J293">
        <v>779.97</v>
      </c>
      <c r="K293">
        <v>779.93</v>
      </c>
      <c r="L293">
        <v>779.88</v>
      </c>
    </row>
    <row r="294" spans="1:12" x14ac:dyDescent="0.15">
      <c r="A294">
        <v>1445</v>
      </c>
      <c r="B294">
        <v>780.38</v>
      </c>
      <c r="C294">
        <v>780.34</v>
      </c>
      <c r="D294">
        <v>780.29</v>
      </c>
      <c r="E294">
        <v>780.25</v>
      </c>
      <c r="F294">
        <v>780.21</v>
      </c>
      <c r="G294">
        <v>780.17</v>
      </c>
      <c r="H294">
        <v>780.13</v>
      </c>
      <c r="I294">
        <v>780.09</v>
      </c>
      <c r="J294">
        <v>780.05</v>
      </c>
      <c r="K294">
        <v>780</v>
      </c>
      <c r="L294">
        <v>779.96</v>
      </c>
    </row>
    <row r="295" spans="1:12" x14ac:dyDescent="0.15">
      <c r="A295">
        <v>1450</v>
      </c>
      <c r="B295">
        <v>780.34</v>
      </c>
      <c r="C295">
        <v>780.3</v>
      </c>
      <c r="D295">
        <v>780.32</v>
      </c>
      <c r="E295">
        <v>780.33</v>
      </c>
      <c r="F295">
        <v>780.29</v>
      </c>
      <c r="G295">
        <v>780.25</v>
      </c>
      <c r="H295">
        <v>780.21</v>
      </c>
      <c r="I295">
        <v>780.17</v>
      </c>
      <c r="J295">
        <v>780.12</v>
      </c>
      <c r="K295">
        <v>780.08</v>
      </c>
      <c r="L295">
        <v>780.04</v>
      </c>
    </row>
    <row r="296" spans="1:12" x14ac:dyDescent="0.15">
      <c r="A296">
        <v>1455</v>
      </c>
      <c r="B296">
        <v>780.55</v>
      </c>
      <c r="C296">
        <v>780.5</v>
      </c>
      <c r="D296">
        <v>780.41</v>
      </c>
      <c r="E296">
        <v>780.32</v>
      </c>
      <c r="F296">
        <v>780.23</v>
      </c>
      <c r="G296">
        <v>780.22</v>
      </c>
      <c r="H296">
        <v>780.22</v>
      </c>
      <c r="I296">
        <v>780.23</v>
      </c>
      <c r="J296">
        <v>780.2</v>
      </c>
      <c r="K296">
        <v>780.16</v>
      </c>
      <c r="L296">
        <v>780.12</v>
      </c>
    </row>
    <row r="297" spans="1:12" x14ac:dyDescent="0.15">
      <c r="A297">
        <v>1460</v>
      </c>
      <c r="B297">
        <v>780.66</v>
      </c>
      <c r="C297">
        <v>780.61</v>
      </c>
      <c r="D297">
        <v>780.56</v>
      </c>
      <c r="E297">
        <v>780.51</v>
      </c>
      <c r="F297">
        <v>780.46</v>
      </c>
      <c r="G297">
        <v>780.37</v>
      </c>
      <c r="H297">
        <v>780.29</v>
      </c>
      <c r="I297">
        <v>780.21</v>
      </c>
      <c r="J297">
        <v>780.15</v>
      </c>
      <c r="K297">
        <v>780.14</v>
      </c>
      <c r="L297">
        <v>780.13</v>
      </c>
    </row>
    <row r="298" spans="1:12" x14ac:dyDescent="0.15">
      <c r="A298">
        <v>1465</v>
      </c>
      <c r="B298">
        <v>780.72</v>
      </c>
      <c r="C298">
        <v>780.73</v>
      </c>
      <c r="D298">
        <v>780.68</v>
      </c>
      <c r="E298">
        <v>780.63</v>
      </c>
      <c r="F298">
        <v>780.58</v>
      </c>
      <c r="G298">
        <v>780.52</v>
      </c>
      <c r="H298">
        <v>780.47</v>
      </c>
      <c r="I298">
        <v>780.42</v>
      </c>
      <c r="J298">
        <v>780.34</v>
      </c>
      <c r="K298">
        <v>780.26</v>
      </c>
      <c r="L298">
        <v>780.18</v>
      </c>
    </row>
    <row r="299" spans="1:12" x14ac:dyDescent="0.15">
      <c r="A299">
        <v>1470</v>
      </c>
      <c r="B299">
        <v>780.65</v>
      </c>
      <c r="C299">
        <v>780.68</v>
      </c>
      <c r="D299">
        <v>780.73</v>
      </c>
      <c r="E299">
        <v>780.76</v>
      </c>
      <c r="F299">
        <v>780.71</v>
      </c>
      <c r="G299">
        <v>780.65</v>
      </c>
      <c r="H299">
        <v>780.6</v>
      </c>
      <c r="I299">
        <v>780.54</v>
      </c>
      <c r="J299">
        <v>780.49</v>
      </c>
      <c r="K299">
        <v>780.44</v>
      </c>
      <c r="L299">
        <v>780.38</v>
      </c>
    </row>
    <row r="300" spans="1:12" x14ac:dyDescent="0.15">
      <c r="A300">
        <v>1475</v>
      </c>
      <c r="B300">
        <v>780.81</v>
      </c>
      <c r="C300">
        <v>780.69</v>
      </c>
      <c r="D300">
        <v>780.7</v>
      </c>
      <c r="E300">
        <v>780.72</v>
      </c>
      <c r="F300">
        <v>780.76</v>
      </c>
      <c r="G300">
        <v>780.79</v>
      </c>
      <c r="H300">
        <v>780.74</v>
      </c>
      <c r="I300">
        <v>780.68</v>
      </c>
      <c r="J300">
        <v>780.63</v>
      </c>
      <c r="K300">
        <v>780.57</v>
      </c>
      <c r="L300">
        <v>780.51</v>
      </c>
    </row>
    <row r="301" spans="1:12" x14ac:dyDescent="0.15">
      <c r="A301">
        <v>1480</v>
      </c>
      <c r="B301">
        <v>781.24</v>
      </c>
      <c r="C301">
        <v>781.06</v>
      </c>
      <c r="D301">
        <v>780.87</v>
      </c>
      <c r="E301">
        <v>780.76</v>
      </c>
      <c r="F301">
        <v>780.76</v>
      </c>
      <c r="G301">
        <v>780.77</v>
      </c>
      <c r="H301">
        <v>780.8</v>
      </c>
      <c r="I301">
        <v>780.84</v>
      </c>
      <c r="J301">
        <v>780.78</v>
      </c>
      <c r="K301">
        <v>780.72</v>
      </c>
      <c r="L301">
        <v>780.66</v>
      </c>
    </row>
    <row r="302" spans="1:12" x14ac:dyDescent="0.15">
      <c r="A302">
        <v>1485</v>
      </c>
      <c r="B302">
        <v>781.72</v>
      </c>
      <c r="C302">
        <v>781.51</v>
      </c>
      <c r="D302">
        <v>781.31</v>
      </c>
      <c r="E302">
        <v>781.12</v>
      </c>
      <c r="F302">
        <v>780.94</v>
      </c>
      <c r="G302">
        <v>780.84</v>
      </c>
      <c r="H302">
        <v>780.83</v>
      </c>
      <c r="I302">
        <v>780.83</v>
      </c>
      <c r="J302">
        <v>780.85</v>
      </c>
      <c r="K302">
        <v>780.88</v>
      </c>
      <c r="L302">
        <v>780.83</v>
      </c>
    </row>
    <row r="303" spans="1:12" x14ac:dyDescent="0.15">
      <c r="A303">
        <v>1490</v>
      </c>
      <c r="B303">
        <v>782.09</v>
      </c>
      <c r="C303">
        <v>781.95</v>
      </c>
      <c r="D303">
        <v>781.81</v>
      </c>
      <c r="E303">
        <v>781.59</v>
      </c>
      <c r="F303">
        <v>781.39</v>
      </c>
      <c r="G303">
        <v>781.21</v>
      </c>
      <c r="H303">
        <v>781.03</v>
      </c>
      <c r="I303">
        <v>780.93</v>
      </c>
      <c r="J303">
        <v>780.91</v>
      </c>
      <c r="K303">
        <v>780.91</v>
      </c>
      <c r="L303">
        <v>780.91</v>
      </c>
    </row>
    <row r="304" spans="1:12" x14ac:dyDescent="0.15">
      <c r="A304">
        <v>1495</v>
      </c>
      <c r="B304">
        <v>782.5</v>
      </c>
      <c r="C304">
        <v>782.35</v>
      </c>
      <c r="D304">
        <v>782.21</v>
      </c>
      <c r="E304">
        <v>782.07</v>
      </c>
      <c r="F304">
        <v>781.9</v>
      </c>
      <c r="G304">
        <v>781.68</v>
      </c>
      <c r="H304">
        <v>781.48</v>
      </c>
      <c r="I304">
        <v>781.3</v>
      </c>
      <c r="J304">
        <v>781.12</v>
      </c>
      <c r="K304">
        <v>781.03</v>
      </c>
      <c r="L304">
        <v>781.01</v>
      </c>
    </row>
    <row r="305" spans="1:12" x14ac:dyDescent="0.15">
      <c r="A305">
        <v>1500</v>
      </c>
      <c r="B305">
        <v>782.97</v>
      </c>
      <c r="C305">
        <v>782.8</v>
      </c>
      <c r="D305">
        <v>782.64</v>
      </c>
      <c r="E305">
        <v>782.49</v>
      </c>
      <c r="F305">
        <v>782.34</v>
      </c>
      <c r="G305">
        <v>782.19</v>
      </c>
      <c r="H305">
        <v>782</v>
      </c>
      <c r="I305">
        <v>781.78</v>
      </c>
      <c r="J305">
        <v>781.59</v>
      </c>
      <c r="K305">
        <v>781.4</v>
      </c>
      <c r="L305">
        <v>781.23</v>
      </c>
    </row>
    <row r="306" spans="1:12" x14ac:dyDescent="0.15">
      <c r="A306">
        <v>1505</v>
      </c>
      <c r="B306">
        <v>783.48</v>
      </c>
      <c r="C306">
        <v>783.3</v>
      </c>
      <c r="D306">
        <v>783.12</v>
      </c>
      <c r="E306">
        <v>782.95</v>
      </c>
      <c r="F306">
        <v>782.79</v>
      </c>
      <c r="G306">
        <v>782.63</v>
      </c>
      <c r="H306">
        <v>782.48</v>
      </c>
      <c r="I306">
        <v>782.33</v>
      </c>
      <c r="J306">
        <v>782.11</v>
      </c>
      <c r="K306">
        <v>781.9</v>
      </c>
      <c r="L306">
        <v>781.71</v>
      </c>
    </row>
    <row r="307" spans="1:12" x14ac:dyDescent="0.15">
      <c r="A307">
        <v>1510</v>
      </c>
      <c r="B307">
        <v>784.05</v>
      </c>
      <c r="C307">
        <v>783.85</v>
      </c>
      <c r="D307">
        <v>783.66</v>
      </c>
      <c r="E307">
        <v>783.47</v>
      </c>
      <c r="F307">
        <v>783.29</v>
      </c>
      <c r="G307">
        <v>783.12</v>
      </c>
      <c r="H307">
        <v>782.95</v>
      </c>
      <c r="I307">
        <v>782.79</v>
      </c>
      <c r="J307">
        <v>782.63</v>
      </c>
      <c r="K307">
        <v>782.47</v>
      </c>
      <c r="L307">
        <v>782.24</v>
      </c>
    </row>
    <row r="308" spans="1:12" x14ac:dyDescent="0.15">
      <c r="A308">
        <v>1515</v>
      </c>
      <c r="B308">
        <v>784.6</v>
      </c>
      <c r="C308">
        <v>784.46</v>
      </c>
      <c r="D308">
        <v>784.25</v>
      </c>
      <c r="E308">
        <v>784.05</v>
      </c>
      <c r="F308">
        <v>783.85</v>
      </c>
      <c r="G308">
        <v>783.66</v>
      </c>
      <c r="H308">
        <v>783.48</v>
      </c>
      <c r="I308">
        <v>783.3</v>
      </c>
      <c r="J308">
        <v>783.13</v>
      </c>
      <c r="K308">
        <v>782.97</v>
      </c>
      <c r="L308">
        <v>782.81</v>
      </c>
    </row>
    <row r="309" spans="1:12" x14ac:dyDescent="0.15">
      <c r="A309">
        <v>1520</v>
      </c>
      <c r="B309">
        <v>785.15</v>
      </c>
      <c r="C309">
        <v>785.01</v>
      </c>
      <c r="D309">
        <v>784.9</v>
      </c>
      <c r="E309">
        <v>784.69</v>
      </c>
      <c r="F309">
        <v>784.48</v>
      </c>
      <c r="G309">
        <v>784.27</v>
      </c>
      <c r="H309">
        <v>784.07</v>
      </c>
      <c r="I309">
        <v>783.87</v>
      </c>
      <c r="J309">
        <v>783.69</v>
      </c>
      <c r="K309">
        <v>783.51</v>
      </c>
      <c r="L309">
        <v>783.33</v>
      </c>
    </row>
    <row r="310" spans="1:12" x14ac:dyDescent="0.15">
      <c r="A310">
        <v>1525</v>
      </c>
      <c r="B310">
        <v>785.81</v>
      </c>
      <c r="C310">
        <v>785.63</v>
      </c>
      <c r="D310">
        <v>785.46</v>
      </c>
      <c r="E310">
        <v>785.33</v>
      </c>
      <c r="F310">
        <v>785.16</v>
      </c>
      <c r="G310">
        <v>784.93</v>
      </c>
      <c r="H310">
        <v>784.72</v>
      </c>
      <c r="I310">
        <v>784.5</v>
      </c>
      <c r="J310">
        <v>784.3</v>
      </c>
      <c r="K310">
        <v>784.1</v>
      </c>
      <c r="L310">
        <v>783.91</v>
      </c>
    </row>
    <row r="311" spans="1:12" x14ac:dyDescent="0.15">
      <c r="A311">
        <v>1530</v>
      </c>
      <c r="B311">
        <v>786.57</v>
      </c>
      <c r="C311">
        <v>786.35</v>
      </c>
      <c r="D311">
        <v>786.14</v>
      </c>
      <c r="E311">
        <v>785.96</v>
      </c>
      <c r="F311">
        <v>785.8</v>
      </c>
      <c r="G311">
        <v>785.66</v>
      </c>
      <c r="H311">
        <v>785.43</v>
      </c>
      <c r="I311">
        <v>785.2</v>
      </c>
      <c r="J311">
        <v>784.97</v>
      </c>
      <c r="K311">
        <v>784.76</v>
      </c>
      <c r="L311">
        <v>784.55</v>
      </c>
    </row>
    <row r="312" spans="1:12" x14ac:dyDescent="0.15">
      <c r="A312">
        <v>1535</v>
      </c>
      <c r="B312">
        <v>787.63</v>
      </c>
      <c r="C312">
        <v>787.21</v>
      </c>
      <c r="D312">
        <v>786.92</v>
      </c>
      <c r="E312">
        <v>786.69</v>
      </c>
      <c r="F312">
        <v>786.49</v>
      </c>
      <c r="G312">
        <v>786.31</v>
      </c>
      <c r="H312">
        <v>786.16</v>
      </c>
      <c r="I312">
        <v>785.95</v>
      </c>
      <c r="J312">
        <v>785.71</v>
      </c>
      <c r="K312">
        <v>785.48</v>
      </c>
      <c r="L312">
        <v>785.25</v>
      </c>
    </row>
    <row r="313" spans="1:12" x14ac:dyDescent="0.15">
      <c r="A313">
        <v>1540</v>
      </c>
      <c r="B313">
        <v>788.78</v>
      </c>
      <c r="C313">
        <v>788.32</v>
      </c>
      <c r="D313">
        <v>787.88</v>
      </c>
      <c r="E313">
        <v>787.53</v>
      </c>
      <c r="F313">
        <v>787.28</v>
      </c>
      <c r="G313">
        <v>787.06</v>
      </c>
      <c r="H313">
        <v>786.86</v>
      </c>
      <c r="I313">
        <v>786.68</v>
      </c>
      <c r="J313">
        <v>786.51</v>
      </c>
      <c r="K313">
        <v>786.26</v>
      </c>
      <c r="L313">
        <v>786.02</v>
      </c>
    </row>
    <row r="314" spans="1:12" x14ac:dyDescent="0.15">
      <c r="A314">
        <v>1545</v>
      </c>
      <c r="B314">
        <v>790.01</v>
      </c>
      <c r="C314">
        <v>789.51</v>
      </c>
      <c r="D314">
        <v>789.04</v>
      </c>
      <c r="E314">
        <v>788.59</v>
      </c>
      <c r="F314">
        <v>788.17</v>
      </c>
      <c r="G314">
        <v>787.91</v>
      </c>
      <c r="H314">
        <v>787.67</v>
      </c>
      <c r="I314">
        <v>787.45</v>
      </c>
      <c r="J314">
        <v>787.25</v>
      </c>
      <c r="K314">
        <v>787.08</v>
      </c>
      <c r="L314">
        <v>786.84</v>
      </c>
    </row>
    <row r="315" spans="1:12" x14ac:dyDescent="0.15">
      <c r="A315">
        <v>1550</v>
      </c>
      <c r="B315">
        <v>791.34</v>
      </c>
      <c r="C315">
        <v>790.8</v>
      </c>
      <c r="D315">
        <v>790.28</v>
      </c>
      <c r="E315">
        <v>789.8</v>
      </c>
      <c r="F315">
        <v>789.33</v>
      </c>
      <c r="G315">
        <v>788.88</v>
      </c>
      <c r="H315">
        <v>788.57</v>
      </c>
      <c r="I315">
        <v>788.31</v>
      </c>
      <c r="J315">
        <v>788.08</v>
      </c>
      <c r="K315">
        <v>787.86</v>
      </c>
      <c r="L315">
        <v>787.67</v>
      </c>
    </row>
    <row r="316" spans="1:12" x14ac:dyDescent="0.15">
      <c r="A316">
        <v>1555</v>
      </c>
      <c r="B316">
        <v>792.64</v>
      </c>
      <c r="C316">
        <v>792.15</v>
      </c>
      <c r="D316">
        <v>791.62</v>
      </c>
      <c r="E316">
        <v>791.09</v>
      </c>
      <c r="F316">
        <v>790.59</v>
      </c>
      <c r="G316">
        <v>790.11</v>
      </c>
      <c r="H316">
        <v>789.65</v>
      </c>
      <c r="I316">
        <v>789.27</v>
      </c>
      <c r="J316">
        <v>789</v>
      </c>
      <c r="K316">
        <v>788.74</v>
      </c>
      <c r="L316">
        <v>788.51</v>
      </c>
    </row>
    <row r="317" spans="1:12" x14ac:dyDescent="0.15">
      <c r="A317">
        <v>1560</v>
      </c>
      <c r="B317">
        <v>794.01</v>
      </c>
      <c r="C317">
        <v>793.5</v>
      </c>
      <c r="D317">
        <v>793</v>
      </c>
      <c r="E317">
        <v>792.48</v>
      </c>
      <c r="F317">
        <v>791.93</v>
      </c>
      <c r="G317">
        <v>791.41</v>
      </c>
      <c r="H317">
        <v>790.92</v>
      </c>
      <c r="I317">
        <v>790.44</v>
      </c>
      <c r="J317">
        <v>790.01</v>
      </c>
      <c r="K317">
        <v>789.72</v>
      </c>
      <c r="L317">
        <v>789.45</v>
      </c>
    </row>
    <row r="318" spans="1:12" x14ac:dyDescent="0.15">
      <c r="A318">
        <v>1565</v>
      </c>
      <c r="B318">
        <v>795.46</v>
      </c>
      <c r="C318">
        <v>794.92</v>
      </c>
      <c r="D318">
        <v>794.39</v>
      </c>
      <c r="E318">
        <v>793.89</v>
      </c>
      <c r="F318">
        <v>793.37</v>
      </c>
      <c r="G318">
        <v>792.8</v>
      </c>
      <c r="H318">
        <v>792.27</v>
      </c>
      <c r="I318">
        <v>791.76</v>
      </c>
      <c r="J318">
        <v>791.28</v>
      </c>
      <c r="K318">
        <v>790.81</v>
      </c>
      <c r="L318">
        <v>790.48</v>
      </c>
    </row>
    <row r="319" spans="1:12" x14ac:dyDescent="0.15">
      <c r="A319">
        <v>1570</v>
      </c>
      <c r="B319">
        <v>797</v>
      </c>
      <c r="C319">
        <v>796.42</v>
      </c>
      <c r="D319">
        <v>795.87</v>
      </c>
      <c r="E319">
        <v>795.33</v>
      </c>
      <c r="F319">
        <v>794.8</v>
      </c>
      <c r="G319">
        <v>794.29</v>
      </c>
      <c r="H319">
        <v>793.71</v>
      </c>
      <c r="I319">
        <v>793.16</v>
      </c>
      <c r="J319">
        <v>792.64</v>
      </c>
      <c r="K319">
        <v>792.14</v>
      </c>
      <c r="L319">
        <v>791.66</v>
      </c>
    </row>
    <row r="320" spans="1:12" x14ac:dyDescent="0.15">
      <c r="A320">
        <v>1575</v>
      </c>
      <c r="B320">
        <v>798.63</v>
      </c>
      <c r="C320">
        <v>798.01</v>
      </c>
      <c r="D320">
        <v>797.42</v>
      </c>
      <c r="E320">
        <v>796.85</v>
      </c>
      <c r="F320">
        <v>796.3</v>
      </c>
      <c r="G320">
        <v>795.76</v>
      </c>
      <c r="H320">
        <v>795.24</v>
      </c>
      <c r="I320">
        <v>794.66</v>
      </c>
      <c r="J320">
        <v>794.09</v>
      </c>
      <c r="K320">
        <v>793.56</v>
      </c>
      <c r="L320">
        <v>793.04</v>
      </c>
    </row>
    <row r="321" spans="1:12" x14ac:dyDescent="0.15">
      <c r="A321">
        <v>1580</v>
      </c>
      <c r="B321">
        <v>800.34</v>
      </c>
      <c r="C321">
        <v>799.69</v>
      </c>
      <c r="D321">
        <v>799.06</v>
      </c>
      <c r="E321">
        <v>798.45</v>
      </c>
      <c r="F321">
        <v>797.87</v>
      </c>
      <c r="G321">
        <v>797.3</v>
      </c>
      <c r="H321">
        <v>796.75</v>
      </c>
      <c r="I321">
        <v>796.21</v>
      </c>
      <c r="J321">
        <v>795.64</v>
      </c>
      <c r="K321">
        <v>795.06</v>
      </c>
      <c r="L321">
        <v>794.51</v>
      </c>
    </row>
    <row r="322" spans="1:12" x14ac:dyDescent="0.15">
      <c r="A322">
        <v>1585</v>
      </c>
      <c r="B322">
        <v>802.14</v>
      </c>
      <c r="C322">
        <v>801.46</v>
      </c>
      <c r="D322">
        <v>800.79</v>
      </c>
      <c r="E322">
        <v>800.15</v>
      </c>
      <c r="F322">
        <v>799.52</v>
      </c>
      <c r="G322">
        <v>798.92</v>
      </c>
      <c r="H322">
        <v>798.34</v>
      </c>
      <c r="I322">
        <v>797.77</v>
      </c>
      <c r="J322">
        <v>797.22</v>
      </c>
      <c r="K322">
        <v>796.65</v>
      </c>
      <c r="L322">
        <v>796.06</v>
      </c>
    </row>
    <row r="323" spans="1:12" x14ac:dyDescent="0.15">
      <c r="A323">
        <v>1590</v>
      </c>
      <c r="B323">
        <v>804.04</v>
      </c>
      <c r="C323">
        <v>803.31</v>
      </c>
      <c r="D323">
        <v>802.61</v>
      </c>
      <c r="E323">
        <v>801.93</v>
      </c>
      <c r="F323">
        <v>801.27</v>
      </c>
      <c r="G323">
        <v>800.63</v>
      </c>
      <c r="H323">
        <v>800.01</v>
      </c>
      <c r="I323">
        <v>799.41</v>
      </c>
      <c r="J323">
        <v>798.83</v>
      </c>
      <c r="K323">
        <v>798.27</v>
      </c>
      <c r="L323">
        <v>797.7</v>
      </c>
    </row>
    <row r="324" spans="1:12" x14ac:dyDescent="0.15">
      <c r="A324">
        <v>1595</v>
      </c>
      <c r="B324">
        <v>806.02</v>
      </c>
      <c r="C324">
        <v>805.25</v>
      </c>
      <c r="D324">
        <v>804.51</v>
      </c>
      <c r="E324">
        <v>803.79</v>
      </c>
      <c r="F324">
        <v>803.1</v>
      </c>
      <c r="G324">
        <v>802.42</v>
      </c>
      <c r="H324">
        <v>801.77</v>
      </c>
      <c r="I324">
        <v>801.14</v>
      </c>
      <c r="J324">
        <v>800.52</v>
      </c>
      <c r="K324">
        <v>799.93</v>
      </c>
      <c r="L324">
        <v>799.35</v>
      </c>
    </row>
    <row r="325" spans="1:12" x14ac:dyDescent="0.15">
      <c r="A325">
        <v>1600</v>
      </c>
      <c r="B325">
        <v>808.09</v>
      </c>
      <c r="C325">
        <v>807.29</v>
      </c>
      <c r="D325">
        <v>806.51</v>
      </c>
      <c r="E325">
        <v>805.75</v>
      </c>
      <c r="F325">
        <v>805.02</v>
      </c>
      <c r="G325">
        <v>804.3</v>
      </c>
      <c r="H325">
        <v>803.61</v>
      </c>
      <c r="I325">
        <v>802.94</v>
      </c>
      <c r="J325">
        <v>802.3</v>
      </c>
      <c r="K325">
        <v>801.67</v>
      </c>
      <c r="L325">
        <v>801.06</v>
      </c>
    </row>
    <row r="326" spans="1:12" x14ac:dyDescent="0.15">
      <c r="A326">
        <v>1605</v>
      </c>
      <c r="B326">
        <v>810.25</v>
      </c>
      <c r="C326">
        <v>809.41</v>
      </c>
      <c r="D326">
        <v>808.59</v>
      </c>
      <c r="E326">
        <v>807.8</v>
      </c>
      <c r="F326">
        <v>807.02</v>
      </c>
      <c r="G326">
        <v>806.27</v>
      </c>
      <c r="H326">
        <v>805.55</v>
      </c>
      <c r="I326">
        <v>804.84</v>
      </c>
      <c r="J326">
        <v>804.16</v>
      </c>
      <c r="K326">
        <v>803.49</v>
      </c>
      <c r="L326">
        <v>802.85</v>
      </c>
    </row>
    <row r="327" spans="1:12" x14ac:dyDescent="0.15">
      <c r="A327">
        <v>1610</v>
      </c>
      <c r="B327">
        <v>812.5</v>
      </c>
      <c r="C327">
        <v>811.62</v>
      </c>
      <c r="D327">
        <v>810.77</v>
      </c>
      <c r="E327">
        <v>809.93</v>
      </c>
      <c r="F327">
        <v>809.12</v>
      </c>
      <c r="G327">
        <v>808.33</v>
      </c>
      <c r="H327">
        <v>807.57</v>
      </c>
      <c r="I327">
        <v>806.82</v>
      </c>
      <c r="J327">
        <v>806.1</v>
      </c>
      <c r="K327">
        <v>805.4</v>
      </c>
      <c r="L327">
        <v>804.72</v>
      </c>
    </row>
    <row r="328" spans="1:12" x14ac:dyDescent="0.15">
      <c r="A328">
        <v>1615</v>
      </c>
      <c r="B328">
        <v>814.73</v>
      </c>
      <c r="C328">
        <v>813.92</v>
      </c>
      <c r="D328">
        <v>813.03</v>
      </c>
      <c r="E328">
        <v>812.16</v>
      </c>
      <c r="F328">
        <v>811.31</v>
      </c>
      <c r="G328">
        <v>810.48</v>
      </c>
      <c r="H328">
        <v>809.68</v>
      </c>
      <c r="I328">
        <v>808.9</v>
      </c>
      <c r="J328">
        <v>808.14</v>
      </c>
      <c r="K328">
        <v>807.4</v>
      </c>
      <c r="L328">
        <v>806.69</v>
      </c>
    </row>
    <row r="329" spans="1:12" x14ac:dyDescent="0.15">
      <c r="A329">
        <v>1620</v>
      </c>
      <c r="B329">
        <v>817.09</v>
      </c>
      <c r="C329">
        <v>816.21</v>
      </c>
      <c r="D329">
        <v>815.38</v>
      </c>
      <c r="E329">
        <v>814.48</v>
      </c>
      <c r="F329">
        <v>813.59</v>
      </c>
      <c r="G329">
        <v>812.72</v>
      </c>
      <c r="H329">
        <v>811.88</v>
      </c>
      <c r="I329">
        <v>811.06</v>
      </c>
      <c r="J329">
        <v>810.26</v>
      </c>
      <c r="K329">
        <v>809.49</v>
      </c>
      <c r="L329">
        <v>808.73</v>
      </c>
    </row>
    <row r="330" spans="1:12" x14ac:dyDescent="0.15">
      <c r="A330">
        <v>1625</v>
      </c>
      <c r="B330">
        <v>819.55</v>
      </c>
      <c r="C330">
        <v>818.61</v>
      </c>
      <c r="D330">
        <v>817.72</v>
      </c>
      <c r="E330">
        <v>816.87</v>
      </c>
      <c r="F330">
        <v>815.95</v>
      </c>
      <c r="G330">
        <v>815.05</v>
      </c>
      <c r="H330">
        <v>814.17</v>
      </c>
      <c r="I330">
        <v>813.31</v>
      </c>
      <c r="J330">
        <v>812.47</v>
      </c>
      <c r="K330">
        <v>811.66</v>
      </c>
      <c r="L330">
        <v>810.87</v>
      </c>
    </row>
    <row r="331" spans="1:12" x14ac:dyDescent="0.15">
      <c r="A331">
        <v>1630</v>
      </c>
      <c r="B331">
        <v>822.14</v>
      </c>
      <c r="C331">
        <v>821.13</v>
      </c>
      <c r="D331">
        <v>820.18</v>
      </c>
      <c r="E331">
        <v>819.26</v>
      </c>
      <c r="F331">
        <v>818.4</v>
      </c>
      <c r="G331">
        <v>817.47</v>
      </c>
      <c r="H331">
        <v>816.55</v>
      </c>
      <c r="I331">
        <v>815.65</v>
      </c>
      <c r="J331">
        <v>814.78</v>
      </c>
      <c r="K331">
        <v>813.93</v>
      </c>
      <c r="L331">
        <v>813.1</v>
      </c>
    </row>
    <row r="332" spans="1:12" x14ac:dyDescent="0.15">
      <c r="A332">
        <v>1635</v>
      </c>
      <c r="B332">
        <v>824.83</v>
      </c>
      <c r="C332">
        <v>823.77</v>
      </c>
      <c r="D332">
        <v>822.75</v>
      </c>
      <c r="E332">
        <v>821.78</v>
      </c>
      <c r="F332">
        <v>820.84</v>
      </c>
      <c r="G332">
        <v>819.96</v>
      </c>
      <c r="H332">
        <v>819.02</v>
      </c>
      <c r="I332">
        <v>818.08</v>
      </c>
      <c r="J332">
        <v>817.17</v>
      </c>
      <c r="K332">
        <v>816.28</v>
      </c>
      <c r="L332">
        <v>815.41</v>
      </c>
    </row>
    <row r="333" spans="1:12" x14ac:dyDescent="0.15">
      <c r="A333">
        <v>1640</v>
      </c>
      <c r="B333">
        <v>827.74</v>
      </c>
      <c r="C333">
        <v>826.51</v>
      </c>
      <c r="D333">
        <v>825.44</v>
      </c>
      <c r="E333">
        <v>824.4</v>
      </c>
      <c r="F333">
        <v>823.41</v>
      </c>
      <c r="G333">
        <v>822.46</v>
      </c>
      <c r="H333">
        <v>821.56</v>
      </c>
      <c r="I333">
        <v>820.61</v>
      </c>
      <c r="J333">
        <v>819.65</v>
      </c>
      <c r="K333">
        <v>818.73</v>
      </c>
      <c r="L333">
        <v>817.82</v>
      </c>
    </row>
    <row r="334" spans="1:12" x14ac:dyDescent="0.15">
      <c r="A334">
        <v>1645</v>
      </c>
      <c r="B334">
        <v>830.78</v>
      </c>
      <c r="C334">
        <v>829.47</v>
      </c>
      <c r="D334">
        <v>828.24</v>
      </c>
      <c r="E334">
        <v>827.14</v>
      </c>
      <c r="F334">
        <v>826.09</v>
      </c>
      <c r="G334">
        <v>825.08</v>
      </c>
      <c r="H334">
        <v>824.12</v>
      </c>
      <c r="I334">
        <v>823.2</v>
      </c>
      <c r="J334">
        <v>822.23</v>
      </c>
      <c r="K334">
        <v>821.26</v>
      </c>
      <c r="L334">
        <v>820.32</v>
      </c>
    </row>
    <row r="335" spans="1:12" x14ac:dyDescent="0.15">
      <c r="A335">
        <v>1650</v>
      </c>
      <c r="B335">
        <v>833.92</v>
      </c>
      <c r="C335">
        <v>832.56</v>
      </c>
      <c r="D335">
        <v>831.24</v>
      </c>
      <c r="E335">
        <v>829.99</v>
      </c>
      <c r="F335">
        <v>828.88</v>
      </c>
      <c r="G335">
        <v>827.81</v>
      </c>
      <c r="H335">
        <v>826.79</v>
      </c>
      <c r="I335">
        <v>825.8</v>
      </c>
      <c r="J335">
        <v>824.87</v>
      </c>
      <c r="K335">
        <v>823.88</v>
      </c>
      <c r="L335">
        <v>822.9</v>
      </c>
    </row>
    <row r="336" spans="1:12" x14ac:dyDescent="0.15">
      <c r="A336">
        <v>1655</v>
      </c>
      <c r="B336">
        <v>837.17</v>
      </c>
      <c r="C336">
        <v>835.75</v>
      </c>
      <c r="D336">
        <v>834.38</v>
      </c>
      <c r="E336">
        <v>833.04</v>
      </c>
      <c r="F336">
        <v>831.79</v>
      </c>
      <c r="G336">
        <v>830.66</v>
      </c>
      <c r="H336">
        <v>829.57</v>
      </c>
      <c r="I336">
        <v>828.53</v>
      </c>
      <c r="J336">
        <v>827.53</v>
      </c>
      <c r="K336">
        <v>826.58</v>
      </c>
      <c r="L336">
        <v>825.58</v>
      </c>
    </row>
    <row r="337" spans="1:12" x14ac:dyDescent="0.15">
      <c r="A337">
        <v>1660</v>
      </c>
      <c r="B337">
        <v>840.54</v>
      </c>
      <c r="C337">
        <v>839.06</v>
      </c>
      <c r="D337">
        <v>837.62</v>
      </c>
      <c r="E337">
        <v>836.23</v>
      </c>
      <c r="F337">
        <v>834.88</v>
      </c>
      <c r="G337">
        <v>833.62</v>
      </c>
      <c r="H337">
        <v>832.47</v>
      </c>
      <c r="I337">
        <v>831.37</v>
      </c>
      <c r="J337">
        <v>830.31</v>
      </c>
      <c r="K337">
        <v>829.29</v>
      </c>
      <c r="L337">
        <v>828.32</v>
      </c>
    </row>
    <row r="338" spans="1:12" x14ac:dyDescent="0.15">
      <c r="A338">
        <v>1665</v>
      </c>
      <c r="B338">
        <v>844.02</v>
      </c>
      <c r="C338">
        <v>842.48</v>
      </c>
      <c r="D338">
        <v>840.98</v>
      </c>
      <c r="E338">
        <v>839.53</v>
      </c>
      <c r="F338">
        <v>838.12</v>
      </c>
      <c r="G338">
        <v>836.76</v>
      </c>
      <c r="H338">
        <v>835.48</v>
      </c>
      <c r="I338">
        <v>834.32</v>
      </c>
      <c r="J338">
        <v>833.2</v>
      </c>
      <c r="K338">
        <v>832.12</v>
      </c>
      <c r="L338">
        <v>831.09</v>
      </c>
    </row>
    <row r="339" spans="1:12" x14ac:dyDescent="0.15">
      <c r="A339">
        <v>1670</v>
      </c>
      <c r="B339">
        <v>847.55</v>
      </c>
      <c r="C339">
        <v>846.01</v>
      </c>
      <c r="D339">
        <v>844.45</v>
      </c>
      <c r="E339">
        <v>842.94</v>
      </c>
      <c r="F339">
        <v>841.47</v>
      </c>
      <c r="G339">
        <v>840.05</v>
      </c>
      <c r="H339">
        <v>838.67</v>
      </c>
      <c r="I339">
        <v>837.38</v>
      </c>
      <c r="J339">
        <v>836.2</v>
      </c>
      <c r="K339">
        <v>835.07</v>
      </c>
      <c r="L339">
        <v>833.97</v>
      </c>
    </row>
    <row r="340" spans="1:12" x14ac:dyDescent="0.15">
      <c r="A340">
        <v>1675</v>
      </c>
      <c r="B340">
        <v>851.18</v>
      </c>
      <c r="C340">
        <v>849.59</v>
      </c>
      <c r="D340">
        <v>848.03</v>
      </c>
      <c r="E340">
        <v>846.45</v>
      </c>
      <c r="F340">
        <v>844.93</v>
      </c>
      <c r="G340">
        <v>843.45</v>
      </c>
      <c r="H340">
        <v>842.01</v>
      </c>
      <c r="I340">
        <v>840.62</v>
      </c>
      <c r="J340">
        <v>839.32</v>
      </c>
      <c r="K340">
        <v>838.12</v>
      </c>
      <c r="L340">
        <v>836.97</v>
      </c>
    </row>
    <row r="341" spans="1:12" x14ac:dyDescent="0.15">
      <c r="A341">
        <v>1680</v>
      </c>
      <c r="B341">
        <v>854.93</v>
      </c>
      <c r="C341">
        <v>853.28</v>
      </c>
      <c r="D341">
        <v>851.67</v>
      </c>
      <c r="E341">
        <v>850.09</v>
      </c>
      <c r="F341">
        <v>848.5</v>
      </c>
      <c r="G341">
        <v>846.96</v>
      </c>
      <c r="H341">
        <v>845.46</v>
      </c>
      <c r="I341">
        <v>844.01</v>
      </c>
      <c r="J341">
        <v>842.6</v>
      </c>
      <c r="K341">
        <v>841.29</v>
      </c>
      <c r="L341">
        <v>840.08</v>
      </c>
    </row>
    <row r="342" spans="1:12" x14ac:dyDescent="0.15">
      <c r="A342">
        <v>1685</v>
      </c>
      <c r="B342">
        <v>858.78</v>
      </c>
      <c r="C342">
        <v>857.07</v>
      </c>
      <c r="D342">
        <v>855.41</v>
      </c>
      <c r="E342">
        <v>853.78</v>
      </c>
      <c r="F342">
        <v>852.18</v>
      </c>
      <c r="G342">
        <v>850.57</v>
      </c>
      <c r="H342">
        <v>849.02</v>
      </c>
      <c r="I342">
        <v>847.51</v>
      </c>
      <c r="J342">
        <v>846.05</v>
      </c>
      <c r="K342">
        <v>844.62</v>
      </c>
      <c r="L342">
        <v>843.3</v>
      </c>
    </row>
    <row r="343" spans="1:12" x14ac:dyDescent="0.15">
      <c r="A343">
        <v>1690</v>
      </c>
      <c r="B343">
        <v>862.75</v>
      </c>
      <c r="C343">
        <v>860.98</v>
      </c>
      <c r="D343">
        <v>859.25</v>
      </c>
      <c r="E343">
        <v>857.57</v>
      </c>
      <c r="F343">
        <v>855.93</v>
      </c>
      <c r="G343">
        <v>854.31</v>
      </c>
      <c r="H343">
        <v>852.69</v>
      </c>
      <c r="I343">
        <v>851.12</v>
      </c>
      <c r="J343">
        <v>849.6</v>
      </c>
      <c r="K343">
        <v>848.12</v>
      </c>
      <c r="L343">
        <v>846.67</v>
      </c>
    </row>
    <row r="344" spans="1:12" x14ac:dyDescent="0.15">
      <c r="A344">
        <v>1695</v>
      </c>
      <c r="B344">
        <v>866.84</v>
      </c>
      <c r="C344">
        <v>865</v>
      </c>
      <c r="D344">
        <v>863.21</v>
      </c>
      <c r="E344">
        <v>861.47</v>
      </c>
      <c r="F344">
        <v>859.77</v>
      </c>
      <c r="G344">
        <v>858.12</v>
      </c>
      <c r="H344">
        <v>856.47</v>
      </c>
      <c r="I344">
        <v>854.84</v>
      </c>
      <c r="J344">
        <v>853.26</v>
      </c>
      <c r="K344">
        <v>851.72</v>
      </c>
      <c r="L344">
        <v>850.22</v>
      </c>
    </row>
    <row r="345" spans="1:12" x14ac:dyDescent="0.15">
      <c r="A345">
        <v>1700</v>
      </c>
      <c r="B345">
        <v>871.04</v>
      </c>
      <c r="C345">
        <v>869.14</v>
      </c>
      <c r="D345">
        <v>867.28</v>
      </c>
      <c r="E345">
        <v>865.48</v>
      </c>
      <c r="F345">
        <v>863.72</v>
      </c>
      <c r="G345">
        <v>862.01</v>
      </c>
      <c r="H345">
        <v>860.34</v>
      </c>
      <c r="I345">
        <v>858.67</v>
      </c>
      <c r="J345">
        <v>857.03</v>
      </c>
      <c r="K345">
        <v>855.43</v>
      </c>
      <c r="L345">
        <v>853.88</v>
      </c>
    </row>
    <row r="346" spans="1:12" x14ac:dyDescent="0.15">
      <c r="A346">
        <v>1705</v>
      </c>
      <c r="B346">
        <v>875.35</v>
      </c>
      <c r="C346">
        <v>873.39</v>
      </c>
      <c r="D346">
        <v>871.47</v>
      </c>
      <c r="E346">
        <v>869.6</v>
      </c>
      <c r="F346">
        <v>867.78</v>
      </c>
      <c r="G346">
        <v>866.01</v>
      </c>
      <c r="H346">
        <v>864.28</v>
      </c>
      <c r="I346">
        <v>862.59</v>
      </c>
      <c r="J346">
        <v>860.91</v>
      </c>
      <c r="K346">
        <v>859.25</v>
      </c>
      <c r="L346">
        <v>857.64</v>
      </c>
    </row>
    <row r="347" spans="1:12" x14ac:dyDescent="0.15">
      <c r="A347">
        <v>1710</v>
      </c>
      <c r="B347">
        <v>879.79</v>
      </c>
      <c r="C347">
        <v>877.76</v>
      </c>
      <c r="D347">
        <v>875.78</v>
      </c>
      <c r="E347">
        <v>873.84</v>
      </c>
      <c r="F347">
        <v>871.96</v>
      </c>
      <c r="G347">
        <v>870.12</v>
      </c>
      <c r="H347">
        <v>868.33</v>
      </c>
      <c r="I347">
        <v>866.59</v>
      </c>
      <c r="J347">
        <v>864.89</v>
      </c>
      <c r="K347">
        <v>863.18</v>
      </c>
      <c r="L347">
        <v>861.51</v>
      </c>
    </row>
    <row r="348" spans="1:12" x14ac:dyDescent="0.15">
      <c r="A348">
        <v>1715</v>
      </c>
      <c r="B348">
        <v>884.34</v>
      </c>
      <c r="C348">
        <v>882.24</v>
      </c>
      <c r="D348">
        <v>880.19</v>
      </c>
      <c r="E348">
        <v>878.2</v>
      </c>
      <c r="F348">
        <v>876.25</v>
      </c>
      <c r="G348">
        <v>874.35</v>
      </c>
      <c r="H348">
        <v>872.5</v>
      </c>
      <c r="I348">
        <v>870.69</v>
      </c>
      <c r="J348">
        <v>868.93</v>
      </c>
      <c r="K348">
        <v>867.21</v>
      </c>
      <c r="L348">
        <v>865.49</v>
      </c>
    </row>
    <row r="349" spans="1:12" x14ac:dyDescent="0.15">
      <c r="A349">
        <v>1720</v>
      </c>
      <c r="B349">
        <v>889</v>
      </c>
      <c r="C349">
        <v>886.84</v>
      </c>
      <c r="D349">
        <v>884.73</v>
      </c>
      <c r="E349">
        <v>882.66</v>
      </c>
      <c r="F349">
        <v>880.66</v>
      </c>
      <c r="G349">
        <v>878.69</v>
      </c>
      <c r="H349">
        <v>876.78</v>
      </c>
      <c r="I349">
        <v>874.91</v>
      </c>
      <c r="J349">
        <v>873.09</v>
      </c>
      <c r="K349">
        <v>871.31</v>
      </c>
      <c r="L349">
        <v>869.58</v>
      </c>
    </row>
    <row r="350" spans="1:12" x14ac:dyDescent="0.15">
      <c r="A350">
        <v>1725</v>
      </c>
      <c r="B350">
        <v>893.79</v>
      </c>
      <c r="C350">
        <v>891.56</v>
      </c>
      <c r="D350">
        <v>889.38</v>
      </c>
      <c r="E350">
        <v>887.25</v>
      </c>
      <c r="F350">
        <v>885.17</v>
      </c>
      <c r="G350">
        <v>883.15</v>
      </c>
      <c r="H350">
        <v>881.17</v>
      </c>
      <c r="I350">
        <v>879.24</v>
      </c>
      <c r="J350">
        <v>877.36</v>
      </c>
      <c r="K350">
        <v>875.52</v>
      </c>
      <c r="L350">
        <v>873.73</v>
      </c>
    </row>
    <row r="351" spans="1:12" x14ac:dyDescent="0.15">
      <c r="A351">
        <v>1730</v>
      </c>
      <c r="B351">
        <v>898.69</v>
      </c>
      <c r="C351">
        <v>896.39</v>
      </c>
      <c r="D351">
        <v>894.14</v>
      </c>
      <c r="E351">
        <v>891.95</v>
      </c>
      <c r="F351">
        <v>889.81</v>
      </c>
      <c r="G351">
        <v>887.72</v>
      </c>
      <c r="H351">
        <v>885.68</v>
      </c>
      <c r="I351">
        <v>883.68</v>
      </c>
      <c r="J351">
        <v>881.74</v>
      </c>
      <c r="K351">
        <v>879.84</v>
      </c>
      <c r="L351">
        <v>877.99</v>
      </c>
    </row>
    <row r="352" spans="1:12" x14ac:dyDescent="0.15">
      <c r="A352">
        <v>1735</v>
      </c>
      <c r="B352">
        <v>903.7</v>
      </c>
      <c r="C352">
        <v>901.34</v>
      </c>
      <c r="D352">
        <v>899.03</v>
      </c>
      <c r="E352">
        <v>896.77</v>
      </c>
      <c r="F352">
        <v>894.56</v>
      </c>
      <c r="G352">
        <v>892.4</v>
      </c>
      <c r="H352">
        <v>890.3</v>
      </c>
      <c r="I352">
        <v>888.24</v>
      </c>
      <c r="J352">
        <v>886.23</v>
      </c>
      <c r="K352">
        <v>884.27</v>
      </c>
      <c r="L352">
        <v>882.36</v>
      </c>
    </row>
    <row r="353" spans="1:12" x14ac:dyDescent="0.15">
      <c r="A353">
        <v>1740</v>
      </c>
      <c r="B353">
        <v>908.73</v>
      </c>
      <c r="C353">
        <v>906.31</v>
      </c>
      <c r="D353">
        <v>903.93</v>
      </c>
      <c r="E353">
        <v>901.6</v>
      </c>
      <c r="F353">
        <v>899.33</v>
      </c>
      <c r="G353">
        <v>897.11</v>
      </c>
      <c r="H353">
        <v>894.94</v>
      </c>
      <c r="I353">
        <v>892.82</v>
      </c>
      <c r="J353">
        <v>890.75</v>
      </c>
      <c r="K353">
        <v>888.72</v>
      </c>
      <c r="L353">
        <v>886.75</v>
      </c>
    </row>
    <row r="354" spans="1:12" x14ac:dyDescent="0.15">
      <c r="A354">
        <v>1745</v>
      </c>
      <c r="B354">
        <v>913.87</v>
      </c>
      <c r="C354">
        <v>911.37</v>
      </c>
      <c r="D354">
        <v>908.93</v>
      </c>
      <c r="E354">
        <v>906.54</v>
      </c>
      <c r="F354">
        <v>904.2</v>
      </c>
      <c r="G354">
        <v>901.92</v>
      </c>
      <c r="H354">
        <v>899.68</v>
      </c>
      <c r="I354">
        <v>897.5</v>
      </c>
      <c r="J354">
        <v>895.36</v>
      </c>
      <c r="K354">
        <v>893.28</v>
      </c>
      <c r="L354">
        <v>891.24</v>
      </c>
    </row>
    <row r="355" spans="1:12" x14ac:dyDescent="0.15">
      <c r="A355">
        <v>1750</v>
      </c>
      <c r="B355">
        <v>919.11</v>
      </c>
      <c r="C355">
        <v>916.55</v>
      </c>
      <c r="D355">
        <v>914.05</v>
      </c>
      <c r="E355">
        <v>911.59</v>
      </c>
      <c r="F355">
        <v>909.19</v>
      </c>
      <c r="G355">
        <v>906.84</v>
      </c>
      <c r="H355">
        <v>904.53</v>
      </c>
      <c r="I355">
        <v>902.29</v>
      </c>
      <c r="J355">
        <v>900.09</v>
      </c>
      <c r="K355">
        <v>897.94</v>
      </c>
      <c r="L355">
        <v>895.84</v>
      </c>
    </row>
    <row r="356" spans="1:12" x14ac:dyDescent="0.15">
      <c r="A356">
        <v>1755</v>
      </c>
      <c r="B356">
        <v>924.47</v>
      </c>
      <c r="C356">
        <v>921.85</v>
      </c>
      <c r="D356">
        <v>919.27</v>
      </c>
      <c r="E356">
        <v>916.75</v>
      </c>
      <c r="F356">
        <v>914.29</v>
      </c>
      <c r="G356">
        <v>911.87</v>
      </c>
      <c r="H356">
        <v>909.5</v>
      </c>
      <c r="I356">
        <v>907.19</v>
      </c>
      <c r="J356">
        <v>904.93</v>
      </c>
      <c r="K356">
        <v>902.71</v>
      </c>
      <c r="L356">
        <v>900.55</v>
      </c>
    </row>
    <row r="357" spans="1:12" x14ac:dyDescent="0.15">
      <c r="A357">
        <v>1760</v>
      </c>
      <c r="B357">
        <v>929.94</v>
      </c>
      <c r="C357">
        <v>927.25</v>
      </c>
      <c r="D357">
        <v>924.61</v>
      </c>
      <c r="E357">
        <v>922.03</v>
      </c>
      <c r="F357">
        <v>919.49</v>
      </c>
      <c r="G357">
        <v>917.01</v>
      </c>
      <c r="H357">
        <v>914.58</v>
      </c>
      <c r="I357">
        <v>912.2</v>
      </c>
      <c r="J357">
        <v>909.88</v>
      </c>
      <c r="K357">
        <v>907.6</v>
      </c>
      <c r="L357">
        <v>905.37</v>
      </c>
    </row>
    <row r="358" spans="1:12" x14ac:dyDescent="0.15">
      <c r="A358">
        <v>1765</v>
      </c>
      <c r="B358">
        <v>935.52</v>
      </c>
      <c r="C358">
        <v>932.77</v>
      </c>
      <c r="D358">
        <v>930.07</v>
      </c>
      <c r="E358">
        <v>927.42</v>
      </c>
      <c r="F358">
        <v>924.82</v>
      </c>
      <c r="G358">
        <v>922.27</v>
      </c>
      <c r="H358">
        <v>919.77</v>
      </c>
      <c r="I358">
        <v>917.33</v>
      </c>
      <c r="J358">
        <v>914.94</v>
      </c>
      <c r="K358">
        <v>912.6</v>
      </c>
      <c r="L358">
        <v>910.31</v>
      </c>
    </row>
    <row r="359" spans="1:12" x14ac:dyDescent="0.15">
      <c r="A359">
        <v>1770</v>
      </c>
      <c r="B359">
        <v>941.22</v>
      </c>
      <c r="C359">
        <v>938.4</v>
      </c>
      <c r="D359">
        <v>935.63</v>
      </c>
      <c r="E359">
        <v>932.91</v>
      </c>
      <c r="F359">
        <v>930.25</v>
      </c>
      <c r="G359">
        <v>927.64</v>
      </c>
      <c r="H359">
        <v>925.08</v>
      </c>
      <c r="I359">
        <v>922.57</v>
      </c>
      <c r="J359">
        <v>920.11</v>
      </c>
      <c r="K359">
        <v>917.7</v>
      </c>
      <c r="L359">
        <v>915.35</v>
      </c>
    </row>
    <row r="360" spans="1:12" x14ac:dyDescent="0.15">
      <c r="A360">
        <v>1775</v>
      </c>
      <c r="B360">
        <v>947.02</v>
      </c>
      <c r="C360">
        <v>944.14</v>
      </c>
      <c r="D360">
        <v>941.31</v>
      </c>
      <c r="E360">
        <v>938.53</v>
      </c>
      <c r="F360">
        <v>935.8</v>
      </c>
      <c r="G360">
        <v>933.12</v>
      </c>
      <c r="H360">
        <v>930.49</v>
      </c>
      <c r="I360">
        <v>927.92</v>
      </c>
      <c r="J360">
        <v>925.4</v>
      </c>
      <c r="K360">
        <v>922.93</v>
      </c>
      <c r="L360">
        <v>920.51</v>
      </c>
    </row>
    <row r="361" spans="1:12" x14ac:dyDescent="0.15">
      <c r="A361">
        <v>1780</v>
      </c>
      <c r="B361">
        <v>952.94</v>
      </c>
      <c r="C361">
        <v>949.99</v>
      </c>
      <c r="D361">
        <v>947.09</v>
      </c>
      <c r="E361">
        <v>944.25</v>
      </c>
      <c r="F361">
        <v>941.46</v>
      </c>
      <c r="G361">
        <v>938.71</v>
      </c>
      <c r="H361">
        <v>936.02</v>
      </c>
      <c r="I361">
        <v>933.38</v>
      </c>
      <c r="J361">
        <v>930.8</v>
      </c>
      <c r="K361">
        <v>928.26</v>
      </c>
      <c r="L361">
        <v>925.77</v>
      </c>
    </row>
    <row r="362" spans="1:12" x14ac:dyDescent="0.15">
      <c r="A362">
        <v>1785</v>
      </c>
      <c r="B362">
        <v>958.97</v>
      </c>
      <c r="C362">
        <v>955.96</v>
      </c>
      <c r="D362">
        <v>952.99</v>
      </c>
      <c r="E362">
        <v>950.08</v>
      </c>
      <c r="F362">
        <v>947.23</v>
      </c>
      <c r="G362">
        <v>944.42</v>
      </c>
      <c r="H362">
        <v>941.66</v>
      </c>
      <c r="I362">
        <v>938.96</v>
      </c>
      <c r="J362">
        <v>936.31</v>
      </c>
      <c r="K362">
        <v>933.7</v>
      </c>
      <c r="L362">
        <v>931.15</v>
      </c>
    </row>
    <row r="363" spans="1:12" x14ac:dyDescent="0.15">
      <c r="A363">
        <v>1790</v>
      </c>
      <c r="B363">
        <v>965.11</v>
      </c>
      <c r="C363">
        <v>962.04</v>
      </c>
      <c r="D363">
        <v>959.01</v>
      </c>
      <c r="E363">
        <v>956.03</v>
      </c>
      <c r="F363">
        <v>953.11</v>
      </c>
      <c r="G363">
        <v>950.24</v>
      </c>
      <c r="H363">
        <v>947.42</v>
      </c>
      <c r="I363">
        <v>944.65</v>
      </c>
      <c r="J363">
        <v>941.93</v>
      </c>
      <c r="K363">
        <v>939.26</v>
      </c>
      <c r="L363">
        <v>936.65</v>
      </c>
    </row>
    <row r="364" spans="1:12" x14ac:dyDescent="0.15">
      <c r="A364">
        <v>1795</v>
      </c>
      <c r="B364">
        <v>971.37</v>
      </c>
      <c r="C364">
        <v>968.23</v>
      </c>
      <c r="D364">
        <v>965.13</v>
      </c>
      <c r="E364">
        <v>962.09</v>
      </c>
      <c r="F364">
        <v>959.1</v>
      </c>
      <c r="G364">
        <v>956.17</v>
      </c>
      <c r="H364">
        <v>953.28</v>
      </c>
      <c r="I364">
        <v>950.45</v>
      </c>
      <c r="J364">
        <v>947.66</v>
      </c>
      <c r="K364">
        <v>944.93</v>
      </c>
      <c r="L364">
        <v>942.25</v>
      </c>
    </row>
    <row r="365" spans="1:12" x14ac:dyDescent="0.15">
      <c r="A365">
        <v>1800</v>
      </c>
      <c r="B365">
        <v>977.87</v>
      </c>
      <c r="C365">
        <v>974.66</v>
      </c>
      <c r="D365">
        <v>971.5</v>
      </c>
      <c r="E365">
        <v>968.4</v>
      </c>
      <c r="F365">
        <v>965.34</v>
      </c>
      <c r="G365">
        <v>962.34</v>
      </c>
      <c r="H365">
        <v>959.38</v>
      </c>
      <c r="I365">
        <v>956.48</v>
      </c>
      <c r="J365">
        <v>953.63</v>
      </c>
      <c r="K365">
        <v>950.84</v>
      </c>
      <c r="L365">
        <v>948.09</v>
      </c>
    </row>
    <row r="366" spans="1:12" x14ac:dyDescent="0.15">
      <c r="A366">
        <v>1805</v>
      </c>
      <c r="B366">
        <v>984.5</v>
      </c>
      <c r="C366">
        <v>981.22</v>
      </c>
      <c r="D366">
        <v>977.99</v>
      </c>
      <c r="E366">
        <v>974.82</v>
      </c>
      <c r="F366">
        <v>971.7</v>
      </c>
      <c r="G366">
        <v>968.63</v>
      </c>
      <c r="H366">
        <v>965.61</v>
      </c>
      <c r="I366">
        <v>962.64</v>
      </c>
      <c r="J366">
        <v>959.73</v>
      </c>
      <c r="K366">
        <v>956.86</v>
      </c>
      <c r="L366">
        <v>954.05</v>
      </c>
    </row>
    <row r="367" spans="1:12" x14ac:dyDescent="0.15">
      <c r="A367">
        <v>1810</v>
      </c>
      <c r="B367">
        <v>991.24</v>
      </c>
      <c r="C367">
        <v>987.9</v>
      </c>
      <c r="D367">
        <v>984.6</v>
      </c>
      <c r="E367">
        <v>981.36</v>
      </c>
      <c r="F367">
        <v>978.17</v>
      </c>
      <c r="G367">
        <v>975.04</v>
      </c>
      <c r="H367">
        <v>971.95</v>
      </c>
      <c r="I367">
        <v>968.92</v>
      </c>
      <c r="J367">
        <v>965.94</v>
      </c>
      <c r="K367">
        <v>963.01</v>
      </c>
      <c r="L367">
        <v>960.13</v>
      </c>
    </row>
    <row r="368" spans="1:12" x14ac:dyDescent="0.15">
      <c r="A368">
        <v>1815</v>
      </c>
      <c r="B368">
        <v>998.1</v>
      </c>
      <c r="C368">
        <v>994.69</v>
      </c>
      <c r="D368">
        <v>991.33</v>
      </c>
      <c r="E368">
        <v>988.02</v>
      </c>
      <c r="F368">
        <v>984.77</v>
      </c>
      <c r="G368">
        <v>981.56</v>
      </c>
      <c r="H368">
        <v>978.41</v>
      </c>
      <c r="I368">
        <v>975.31</v>
      </c>
      <c r="J368">
        <v>972.26</v>
      </c>
      <c r="K368">
        <v>969.27</v>
      </c>
      <c r="L368">
        <v>966.32</v>
      </c>
    </row>
    <row r="369" spans="1:12" x14ac:dyDescent="0.15">
      <c r="A369">
        <v>1820</v>
      </c>
      <c r="B369">
        <v>1005.08</v>
      </c>
      <c r="C369">
        <v>1001.6</v>
      </c>
      <c r="D369">
        <v>998.17</v>
      </c>
      <c r="E369">
        <v>994.8</v>
      </c>
      <c r="F369">
        <v>991.48</v>
      </c>
      <c r="G369">
        <v>988.21</v>
      </c>
      <c r="H369">
        <v>984.99</v>
      </c>
      <c r="I369">
        <v>981.82</v>
      </c>
      <c r="J369">
        <v>978.71</v>
      </c>
      <c r="K369">
        <v>975.64</v>
      </c>
      <c r="L369">
        <v>972.63</v>
      </c>
    </row>
    <row r="370" spans="1:12" x14ac:dyDescent="0.15">
      <c r="A370">
        <v>1825</v>
      </c>
      <c r="B370">
        <v>1012.17</v>
      </c>
      <c r="C370">
        <v>1008.63</v>
      </c>
      <c r="D370">
        <v>1005.13</v>
      </c>
      <c r="E370">
        <v>1001.69</v>
      </c>
      <c r="F370">
        <v>998.3</v>
      </c>
      <c r="G370">
        <v>994.97</v>
      </c>
      <c r="H370">
        <v>991.68</v>
      </c>
      <c r="I370">
        <v>988.45</v>
      </c>
      <c r="J370">
        <v>985.27</v>
      </c>
      <c r="K370">
        <v>982.14</v>
      </c>
      <c r="L370">
        <v>979.06</v>
      </c>
    </row>
    <row r="371" spans="1:12" x14ac:dyDescent="0.15">
      <c r="A371">
        <v>1830</v>
      </c>
      <c r="B371">
        <v>1019.38</v>
      </c>
      <c r="C371">
        <v>1015.77</v>
      </c>
      <c r="D371">
        <v>1012.21</v>
      </c>
      <c r="E371">
        <v>1008.7</v>
      </c>
      <c r="F371">
        <v>1005.25</v>
      </c>
      <c r="G371">
        <v>1001.85</v>
      </c>
      <c r="H371">
        <v>998.49</v>
      </c>
      <c r="I371">
        <v>995.19</v>
      </c>
      <c r="J371">
        <v>991.95</v>
      </c>
      <c r="K371">
        <v>988.75</v>
      </c>
      <c r="L371">
        <v>985.6</v>
      </c>
    </row>
    <row r="372" spans="1:12" x14ac:dyDescent="0.15">
      <c r="A372">
        <v>1835</v>
      </c>
      <c r="B372">
        <v>1026.71</v>
      </c>
      <c r="C372">
        <v>1023.03</v>
      </c>
      <c r="D372">
        <v>1019.41</v>
      </c>
      <c r="E372">
        <v>1015.83</v>
      </c>
      <c r="F372">
        <v>1012.31</v>
      </c>
      <c r="G372">
        <v>1008.84</v>
      </c>
      <c r="H372">
        <v>1005.42</v>
      </c>
      <c r="I372">
        <v>1002.06</v>
      </c>
      <c r="J372">
        <v>998.74</v>
      </c>
      <c r="K372">
        <v>995.48</v>
      </c>
      <c r="L372">
        <v>992.27</v>
      </c>
    </row>
    <row r="373" spans="1:12" x14ac:dyDescent="0.15">
      <c r="A373">
        <v>1840</v>
      </c>
      <c r="B373">
        <v>1034.1600000000001</v>
      </c>
      <c r="C373">
        <v>1030.4100000000001</v>
      </c>
      <c r="D373">
        <v>1026.72</v>
      </c>
      <c r="E373">
        <v>1023.08</v>
      </c>
      <c r="F373">
        <v>1019.49</v>
      </c>
      <c r="G373">
        <v>1015.95</v>
      </c>
      <c r="H373">
        <v>1012.47</v>
      </c>
      <c r="I373">
        <v>1009.04</v>
      </c>
      <c r="J373">
        <v>1005.65</v>
      </c>
      <c r="K373">
        <v>1002.33</v>
      </c>
      <c r="L373">
        <v>999.05</v>
      </c>
    </row>
    <row r="374" spans="1:12" x14ac:dyDescent="0.15">
      <c r="A374">
        <v>1845</v>
      </c>
      <c r="B374">
        <v>1041.72</v>
      </c>
      <c r="C374">
        <v>1037.9100000000001</v>
      </c>
      <c r="D374">
        <v>1034.1500000000001</v>
      </c>
      <c r="E374">
        <v>1030.44</v>
      </c>
      <c r="F374">
        <v>1026.79</v>
      </c>
      <c r="G374">
        <v>1023.18</v>
      </c>
      <c r="H374">
        <v>1019.63</v>
      </c>
      <c r="I374">
        <v>1016.13</v>
      </c>
      <c r="J374">
        <v>1012.69</v>
      </c>
      <c r="K374">
        <v>1009.29</v>
      </c>
      <c r="L374">
        <v>1005.94</v>
      </c>
    </row>
    <row r="375" spans="1:12" x14ac:dyDescent="0.15">
      <c r="A375">
        <v>1850</v>
      </c>
      <c r="B375">
        <v>1049.4000000000001</v>
      </c>
      <c r="C375">
        <v>1045.52</v>
      </c>
      <c r="D375">
        <v>1041.7</v>
      </c>
      <c r="E375">
        <v>1037.92</v>
      </c>
      <c r="F375">
        <v>1034.2</v>
      </c>
      <c r="G375">
        <v>1030.53</v>
      </c>
      <c r="H375">
        <v>1026.9100000000001</v>
      </c>
      <c r="I375">
        <v>1023.35</v>
      </c>
      <c r="J375">
        <v>1019.83</v>
      </c>
      <c r="K375">
        <v>1016.37</v>
      </c>
      <c r="L375">
        <v>1012.96</v>
      </c>
    </row>
    <row r="376" spans="1:12" x14ac:dyDescent="0.15">
      <c r="A376">
        <v>1855</v>
      </c>
      <c r="B376">
        <v>1057.2</v>
      </c>
      <c r="C376">
        <v>1053.26</v>
      </c>
      <c r="D376">
        <v>1049.3599999999999</v>
      </c>
      <c r="E376">
        <v>1045.52</v>
      </c>
      <c r="F376">
        <v>1041.73</v>
      </c>
      <c r="G376">
        <v>1038</v>
      </c>
      <c r="H376">
        <v>1034.31</v>
      </c>
      <c r="I376">
        <v>1030.68</v>
      </c>
      <c r="J376">
        <v>1027.0999999999999</v>
      </c>
      <c r="K376">
        <v>1023.57</v>
      </c>
      <c r="L376">
        <v>1020.09</v>
      </c>
    </row>
    <row r="377" spans="1:12" x14ac:dyDescent="0.15">
      <c r="A377">
        <v>1860</v>
      </c>
      <c r="B377">
        <v>1065.1199999999999</v>
      </c>
      <c r="C377">
        <v>1061.0999999999999</v>
      </c>
      <c r="D377">
        <v>1057.1500000000001</v>
      </c>
      <c r="E377">
        <v>1053.24</v>
      </c>
      <c r="F377">
        <v>1049.3800000000001</v>
      </c>
      <c r="G377">
        <v>1045.58</v>
      </c>
      <c r="H377">
        <v>1041.83</v>
      </c>
      <c r="I377">
        <v>1038.1300000000001</v>
      </c>
      <c r="J377">
        <v>1034.48</v>
      </c>
      <c r="K377">
        <v>1030.8800000000001</v>
      </c>
      <c r="L377">
        <v>1027.3399999999999</v>
      </c>
    </row>
    <row r="378" spans="1:12" x14ac:dyDescent="0.15">
      <c r="A378">
        <v>1865</v>
      </c>
      <c r="B378">
        <v>1073.1500000000001</v>
      </c>
      <c r="C378">
        <v>1069.07</v>
      </c>
      <c r="D378">
        <v>1065.05</v>
      </c>
      <c r="E378">
        <v>1061.07</v>
      </c>
      <c r="F378">
        <v>1057.1500000000001</v>
      </c>
      <c r="G378">
        <v>1053.28</v>
      </c>
      <c r="H378">
        <v>1049.46</v>
      </c>
      <c r="I378">
        <v>1045.69</v>
      </c>
      <c r="J378">
        <v>1041.98</v>
      </c>
      <c r="K378">
        <v>1038.32</v>
      </c>
      <c r="L378">
        <v>1034.7</v>
      </c>
    </row>
    <row r="379" spans="1:12" x14ac:dyDescent="0.15">
      <c r="A379">
        <v>1870</v>
      </c>
      <c r="B379">
        <v>1081.3</v>
      </c>
      <c r="C379">
        <v>1077.1600000000001</v>
      </c>
      <c r="D379">
        <v>1073.06</v>
      </c>
      <c r="E379">
        <v>1069.02</v>
      </c>
      <c r="F379">
        <v>1065.03</v>
      </c>
      <c r="G379">
        <v>1061.0999999999999</v>
      </c>
      <c r="H379">
        <v>1057.21</v>
      </c>
      <c r="I379">
        <v>1053.3800000000001</v>
      </c>
      <c r="J379">
        <v>1049.5999999999999</v>
      </c>
      <c r="K379">
        <v>1045.8699999999999</v>
      </c>
      <c r="L379">
        <v>1042.19</v>
      </c>
    </row>
    <row r="380" spans="1:12" x14ac:dyDescent="0.15">
      <c r="A380">
        <v>1875</v>
      </c>
      <c r="B380">
        <v>1089.57</v>
      </c>
      <c r="C380">
        <v>1085.3599999999999</v>
      </c>
      <c r="D380">
        <v>1081.2</v>
      </c>
      <c r="E380">
        <v>1077.0899999999999</v>
      </c>
      <c r="F380">
        <v>1073.03</v>
      </c>
      <c r="G380">
        <v>1069.03</v>
      </c>
      <c r="H380">
        <v>1065.08</v>
      </c>
      <c r="I380">
        <v>1061.18</v>
      </c>
      <c r="J380">
        <v>1057.33</v>
      </c>
      <c r="K380">
        <v>1053.53</v>
      </c>
      <c r="L380">
        <v>1049.79</v>
      </c>
    </row>
    <row r="381" spans="1:12" x14ac:dyDescent="0.15">
      <c r="A381">
        <v>1880</v>
      </c>
      <c r="B381">
        <v>1097.96</v>
      </c>
      <c r="C381">
        <v>1093.68</v>
      </c>
      <c r="D381">
        <v>1089.45</v>
      </c>
      <c r="E381">
        <v>1085.28</v>
      </c>
      <c r="F381">
        <v>1081.1500000000001</v>
      </c>
      <c r="G381">
        <v>1077.08</v>
      </c>
      <c r="H381">
        <v>1073.06</v>
      </c>
      <c r="I381">
        <v>1069.0999999999999</v>
      </c>
      <c r="J381">
        <v>1065.18</v>
      </c>
      <c r="K381">
        <v>1061.32</v>
      </c>
      <c r="L381">
        <v>1057.51</v>
      </c>
    </row>
    <row r="382" spans="1:12" x14ac:dyDescent="0.15">
      <c r="A382">
        <v>1885</v>
      </c>
      <c r="B382">
        <v>1106.46</v>
      </c>
      <c r="C382">
        <v>1102.1099999999999</v>
      </c>
      <c r="D382">
        <v>1097.82</v>
      </c>
      <c r="E382">
        <v>1093.58</v>
      </c>
      <c r="F382">
        <v>1089.3900000000001</v>
      </c>
      <c r="G382">
        <v>1085.25</v>
      </c>
      <c r="H382">
        <v>1081.17</v>
      </c>
      <c r="I382">
        <v>1077.1300000000001</v>
      </c>
      <c r="J382">
        <v>1073.1500000000001</v>
      </c>
      <c r="K382">
        <v>1069.22</v>
      </c>
      <c r="L382">
        <v>1065.3399999999999</v>
      </c>
    </row>
    <row r="383" spans="1:12" x14ac:dyDescent="0.15">
      <c r="A383">
        <v>1890</v>
      </c>
      <c r="B383">
        <v>1115.08</v>
      </c>
      <c r="C383">
        <v>1110.67</v>
      </c>
      <c r="D383">
        <v>1106.31</v>
      </c>
      <c r="E383">
        <v>1102</v>
      </c>
      <c r="F383">
        <v>1097.74</v>
      </c>
      <c r="G383">
        <v>1093.54</v>
      </c>
      <c r="H383">
        <v>1089.3900000000001</v>
      </c>
      <c r="I383">
        <v>1085.29</v>
      </c>
      <c r="J383">
        <v>1081.24</v>
      </c>
      <c r="K383">
        <v>1077.24</v>
      </c>
      <c r="L383">
        <v>1073.3</v>
      </c>
    </row>
    <row r="384" spans="1:12" x14ac:dyDescent="0.15">
      <c r="A384">
        <v>1895</v>
      </c>
      <c r="B384">
        <v>1123.82</v>
      </c>
      <c r="C384">
        <v>1119.3399999999999</v>
      </c>
      <c r="D384">
        <v>1114.9100000000001</v>
      </c>
      <c r="E384">
        <v>1110.54</v>
      </c>
      <c r="F384">
        <v>1106.21</v>
      </c>
      <c r="G384">
        <v>1101.94</v>
      </c>
      <c r="H384">
        <v>1097.72</v>
      </c>
      <c r="I384">
        <v>1093.56</v>
      </c>
      <c r="J384">
        <v>1089.44</v>
      </c>
      <c r="K384">
        <v>1085.3800000000001</v>
      </c>
      <c r="L384">
        <v>1081.3699999999999</v>
      </c>
    </row>
    <row r="385" spans="1:12" x14ac:dyDescent="0.15">
      <c r="A385">
        <v>1900</v>
      </c>
      <c r="B385">
        <v>1132.68</v>
      </c>
      <c r="C385">
        <v>1128.1300000000001</v>
      </c>
      <c r="D385">
        <v>1123.6400000000001</v>
      </c>
      <c r="E385">
        <v>1119.19</v>
      </c>
      <c r="F385">
        <v>1114.8</v>
      </c>
      <c r="G385">
        <v>1110.47</v>
      </c>
      <c r="H385">
        <v>1106.18</v>
      </c>
      <c r="I385">
        <v>1101.94</v>
      </c>
      <c r="J385">
        <v>1097.76</v>
      </c>
      <c r="K385">
        <v>1093.6300000000001</v>
      </c>
      <c r="L385">
        <v>1089.55</v>
      </c>
    </row>
    <row r="386" spans="1:12" x14ac:dyDescent="0.15">
      <c r="A386">
        <v>1905</v>
      </c>
      <c r="B386">
        <v>1141.6500000000001</v>
      </c>
      <c r="C386">
        <v>1137.04</v>
      </c>
      <c r="D386">
        <v>1132.48</v>
      </c>
      <c r="E386">
        <v>1127.97</v>
      </c>
      <c r="F386">
        <v>1123.51</v>
      </c>
      <c r="G386">
        <v>1119.0999999999999</v>
      </c>
      <c r="H386">
        <v>1114.75</v>
      </c>
      <c r="I386">
        <v>1110.45</v>
      </c>
      <c r="J386">
        <v>1106.2</v>
      </c>
      <c r="K386">
        <v>1102</v>
      </c>
      <c r="L386">
        <v>1097.8599999999999</v>
      </c>
    </row>
    <row r="387" spans="1:12" x14ac:dyDescent="0.15">
      <c r="A387">
        <v>1910</v>
      </c>
      <c r="B387">
        <v>1150.74</v>
      </c>
      <c r="C387">
        <v>1146.06</v>
      </c>
      <c r="D387">
        <v>1141.44</v>
      </c>
      <c r="E387">
        <v>1136.8599999999999</v>
      </c>
      <c r="F387">
        <v>1132.33</v>
      </c>
      <c r="G387">
        <v>1127.8599999999999</v>
      </c>
      <c r="H387">
        <v>1123.44</v>
      </c>
      <c r="I387">
        <v>1119.07</v>
      </c>
      <c r="J387">
        <v>1114.76</v>
      </c>
      <c r="K387">
        <v>1110.49</v>
      </c>
      <c r="L387">
        <v>1106.28</v>
      </c>
    </row>
    <row r="388" spans="1:12" x14ac:dyDescent="0.15">
      <c r="A388">
        <v>1915</v>
      </c>
      <c r="B388">
        <v>1159.95</v>
      </c>
      <c r="C388">
        <v>1155.21</v>
      </c>
      <c r="D388">
        <v>1150.51</v>
      </c>
      <c r="E388">
        <v>1145.8699999999999</v>
      </c>
      <c r="F388">
        <v>1141.28</v>
      </c>
      <c r="G388">
        <v>1136.74</v>
      </c>
      <c r="H388">
        <v>1132.25</v>
      </c>
      <c r="I388">
        <v>1127.81</v>
      </c>
      <c r="J388">
        <v>1123.43</v>
      </c>
      <c r="K388">
        <v>1119.0999999999999</v>
      </c>
      <c r="L388">
        <v>1114.82</v>
      </c>
    </row>
    <row r="389" spans="1:12" x14ac:dyDescent="0.15">
      <c r="A389">
        <v>1920</v>
      </c>
      <c r="B389">
        <v>1169.28</v>
      </c>
      <c r="C389">
        <v>1164.47</v>
      </c>
      <c r="D389">
        <v>1159.71</v>
      </c>
      <c r="E389">
        <v>1154.99</v>
      </c>
      <c r="F389">
        <v>1150.3399999999999</v>
      </c>
      <c r="G389">
        <v>1145.73</v>
      </c>
      <c r="H389">
        <v>1141.18</v>
      </c>
      <c r="I389">
        <v>1136.67</v>
      </c>
      <c r="J389">
        <v>1132.22</v>
      </c>
      <c r="K389">
        <v>1127.83</v>
      </c>
      <c r="L389">
        <v>1123.48</v>
      </c>
    </row>
    <row r="390" spans="1:12" x14ac:dyDescent="0.15">
      <c r="A390">
        <v>1925</v>
      </c>
      <c r="B390">
        <v>1178.73</v>
      </c>
      <c r="C390">
        <v>1173.8499999999999</v>
      </c>
      <c r="D390">
        <v>1169.02</v>
      </c>
      <c r="E390">
        <v>1164.24</v>
      </c>
      <c r="F390">
        <v>1159.51</v>
      </c>
      <c r="G390">
        <v>1154.8399999999999</v>
      </c>
      <c r="H390">
        <v>1150.22</v>
      </c>
      <c r="I390">
        <v>1145.6500000000001</v>
      </c>
      <c r="J390">
        <v>1141.1300000000001</v>
      </c>
      <c r="K390">
        <v>1136.67</v>
      </c>
      <c r="L390">
        <v>1132.26</v>
      </c>
    </row>
    <row r="391" spans="1:12" x14ac:dyDescent="0.15">
      <c r="A391">
        <v>1930</v>
      </c>
      <c r="B391">
        <v>1188.29</v>
      </c>
      <c r="C391">
        <v>1183.3399999999999</v>
      </c>
      <c r="D391">
        <v>1178.44</v>
      </c>
      <c r="E391">
        <v>1173.5999999999999</v>
      </c>
      <c r="F391">
        <v>1168.81</v>
      </c>
      <c r="G391">
        <v>1164.07</v>
      </c>
      <c r="H391">
        <v>1159.3800000000001</v>
      </c>
      <c r="I391">
        <v>1154.74</v>
      </c>
      <c r="J391">
        <v>1150.1600000000001</v>
      </c>
      <c r="K391">
        <v>1145.6300000000001</v>
      </c>
      <c r="L391">
        <v>1141.1500000000001</v>
      </c>
    </row>
    <row r="392" spans="1:12" x14ac:dyDescent="0.15">
      <c r="A392">
        <v>1935</v>
      </c>
      <c r="B392">
        <v>1197.97</v>
      </c>
      <c r="C392">
        <v>1192.95</v>
      </c>
      <c r="D392">
        <v>1187.99</v>
      </c>
      <c r="E392">
        <v>1183.08</v>
      </c>
      <c r="F392">
        <v>1178.22</v>
      </c>
      <c r="G392">
        <v>1173.4100000000001</v>
      </c>
      <c r="H392">
        <v>1168.6600000000001</v>
      </c>
      <c r="I392">
        <v>1163.96</v>
      </c>
      <c r="J392">
        <v>1159.3</v>
      </c>
      <c r="K392">
        <v>1154.71</v>
      </c>
      <c r="L392">
        <v>1150.1600000000001</v>
      </c>
    </row>
    <row r="393" spans="1:12" x14ac:dyDescent="0.15">
      <c r="A393">
        <v>1940</v>
      </c>
      <c r="B393">
        <v>1207.77</v>
      </c>
      <c r="C393">
        <v>1202.69</v>
      </c>
      <c r="D393">
        <v>1197.6600000000001</v>
      </c>
      <c r="E393">
        <v>1192.68</v>
      </c>
      <c r="F393">
        <v>1187.75</v>
      </c>
      <c r="G393">
        <v>1182.8800000000001</v>
      </c>
      <c r="H393">
        <v>1178.05</v>
      </c>
      <c r="I393">
        <v>1173.28</v>
      </c>
      <c r="J393">
        <v>1168.57</v>
      </c>
      <c r="K393">
        <v>1163.9000000000001</v>
      </c>
      <c r="L393">
        <v>1159.29</v>
      </c>
    </row>
    <row r="394" spans="1:12" x14ac:dyDescent="0.15">
      <c r="A394">
        <v>1945</v>
      </c>
      <c r="B394">
        <v>1217.69</v>
      </c>
      <c r="C394">
        <v>1212.53</v>
      </c>
      <c r="D394">
        <v>1207.44</v>
      </c>
      <c r="E394">
        <v>1202.3900000000001</v>
      </c>
      <c r="F394">
        <v>1197.4000000000001</v>
      </c>
      <c r="G394">
        <v>1192.46</v>
      </c>
      <c r="H394">
        <v>1187.57</v>
      </c>
      <c r="I394">
        <v>1182.73</v>
      </c>
      <c r="J394">
        <v>1177.95</v>
      </c>
      <c r="K394">
        <v>1173.21</v>
      </c>
      <c r="L394">
        <v>1168.53</v>
      </c>
    </row>
    <row r="395" spans="1:12" x14ac:dyDescent="0.15">
      <c r="A395">
        <v>1950</v>
      </c>
      <c r="B395">
        <v>1227.72</v>
      </c>
      <c r="C395">
        <v>1222.5</v>
      </c>
      <c r="D395">
        <v>1217.3399999999999</v>
      </c>
      <c r="E395">
        <v>1212.22</v>
      </c>
      <c r="F395">
        <v>1207.1600000000001</v>
      </c>
      <c r="G395">
        <v>1202.1500000000001</v>
      </c>
      <c r="H395">
        <v>1197.2</v>
      </c>
      <c r="I395">
        <v>1192.29</v>
      </c>
      <c r="J395">
        <v>1187.44</v>
      </c>
      <c r="K395">
        <v>1182.6400000000001</v>
      </c>
      <c r="L395">
        <v>1177.9000000000001</v>
      </c>
    </row>
    <row r="396" spans="1:12" x14ac:dyDescent="0.15">
      <c r="A396">
        <v>1955</v>
      </c>
      <c r="B396">
        <v>1237.8699999999999</v>
      </c>
      <c r="C396">
        <v>1232.5899999999999</v>
      </c>
      <c r="D396">
        <v>1227.3499999999999</v>
      </c>
      <c r="E396">
        <v>1222.17</v>
      </c>
      <c r="F396">
        <v>1217.05</v>
      </c>
      <c r="G396">
        <v>1211.97</v>
      </c>
      <c r="H396">
        <v>1206.95</v>
      </c>
      <c r="I396">
        <v>1201.98</v>
      </c>
      <c r="J396">
        <v>1197.06</v>
      </c>
      <c r="K396">
        <v>1192.19</v>
      </c>
      <c r="L396">
        <v>1187.3800000000001</v>
      </c>
    </row>
    <row r="397" spans="1:12" x14ac:dyDescent="0.15">
      <c r="A397">
        <v>1960</v>
      </c>
      <c r="B397">
        <v>1248.1400000000001</v>
      </c>
      <c r="C397">
        <v>1242.79</v>
      </c>
      <c r="D397">
        <v>1237.49</v>
      </c>
      <c r="E397">
        <v>1232.24</v>
      </c>
      <c r="F397">
        <v>1227.05</v>
      </c>
      <c r="G397">
        <v>1221.9000000000001</v>
      </c>
      <c r="H397">
        <v>1216.81</v>
      </c>
      <c r="I397">
        <v>1211.78</v>
      </c>
      <c r="J397">
        <v>1206.79</v>
      </c>
      <c r="K397">
        <v>1201.8599999999999</v>
      </c>
      <c r="L397">
        <v>1196.98</v>
      </c>
    </row>
    <row r="398" spans="1:12" x14ac:dyDescent="0.15">
      <c r="A398">
        <v>1965</v>
      </c>
      <c r="B398">
        <v>1258.53</v>
      </c>
      <c r="C398">
        <v>1253.1099999999999</v>
      </c>
      <c r="D398">
        <v>1247.74</v>
      </c>
      <c r="E398">
        <v>1242.43</v>
      </c>
      <c r="F398">
        <v>1237.17</v>
      </c>
      <c r="G398">
        <v>1231.96</v>
      </c>
      <c r="H398">
        <v>1226.8</v>
      </c>
      <c r="I398">
        <v>1221.69</v>
      </c>
      <c r="J398">
        <v>1216.6400000000001</v>
      </c>
      <c r="K398">
        <v>1211.6400000000001</v>
      </c>
      <c r="L398">
        <v>1206.69</v>
      </c>
    </row>
    <row r="399" spans="1:12" x14ac:dyDescent="0.15">
      <c r="A399">
        <v>1970</v>
      </c>
      <c r="B399">
        <v>1269.03</v>
      </c>
      <c r="C399">
        <v>1263.55</v>
      </c>
      <c r="D399">
        <v>1258.1099999999999</v>
      </c>
      <c r="E399">
        <v>1252.73</v>
      </c>
      <c r="F399">
        <v>1247.4000000000001</v>
      </c>
      <c r="G399">
        <v>1242.1199999999999</v>
      </c>
      <c r="H399">
        <v>1236.9000000000001</v>
      </c>
      <c r="I399">
        <v>1231.73</v>
      </c>
      <c r="J399">
        <v>1226.6099999999999</v>
      </c>
      <c r="K399">
        <v>1221.54</v>
      </c>
      <c r="L399">
        <v>1216.52</v>
      </c>
    </row>
    <row r="400" spans="1:12" x14ac:dyDescent="0.15">
      <c r="A400">
        <v>1975</v>
      </c>
      <c r="B400">
        <v>1279.6600000000001</v>
      </c>
      <c r="C400">
        <v>1274.0999999999999</v>
      </c>
      <c r="D400">
        <v>1268.5999999999999</v>
      </c>
      <c r="E400">
        <v>1263.1500000000001</v>
      </c>
      <c r="F400">
        <v>1257.76</v>
      </c>
      <c r="G400">
        <v>1252.4100000000001</v>
      </c>
      <c r="H400">
        <v>1247.1199999999999</v>
      </c>
      <c r="I400">
        <v>1241.8800000000001</v>
      </c>
      <c r="J400">
        <v>1236.69</v>
      </c>
      <c r="K400">
        <v>1231.56</v>
      </c>
      <c r="L400">
        <v>1226.48</v>
      </c>
    </row>
    <row r="401" spans="1:12" x14ac:dyDescent="0.15">
      <c r="A401">
        <v>1980</v>
      </c>
      <c r="B401">
        <v>1290.4000000000001</v>
      </c>
      <c r="C401">
        <v>1284.78</v>
      </c>
      <c r="D401">
        <v>1279.21</v>
      </c>
      <c r="E401">
        <v>1273.69</v>
      </c>
      <c r="F401">
        <v>1268.23</v>
      </c>
      <c r="G401">
        <v>1262.82</v>
      </c>
      <c r="H401">
        <v>1257.46</v>
      </c>
      <c r="I401">
        <v>1252.1500000000001</v>
      </c>
      <c r="J401">
        <v>1246.9000000000001</v>
      </c>
      <c r="K401">
        <v>1241.69</v>
      </c>
      <c r="L401">
        <v>1236.54</v>
      </c>
    </row>
    <row r="402" spans="1:12" x14ac:dyDescent="0.15">
      <c r="A402">
        <v>1985</v>
      </c>
      <c r="B402">
        <v>1301.26</v>
      </c>
      <c r="C402">
        <v>1295.57</v>
      </c>
      <c r="D402">
        <v>1289.93</v>
      </c>
      <c r="E402">
        <v>1284.3499999999999</v>
      </c>
      <c r="F402">
        <v>1278.82</v>
      </c>
      <c r="G402">
        <v>1273.3399999999999</v>
      </c>
      <c r="H402">
        <v>1267.9100000000001</v>
      </c>
      <c r="I402">
        <v>1262.54</v>
      </c>
      <c r="J402">
        <v>1257.22</v>
      </c>
      <c r="K402">
        <v>1251.95</v>
      </c>
      <c r="L402">
        <v>1246.73</v>
      </c>
    </row>
    <row r="403" spans="1:12" x14ac:dyDescent="0.15">
      <c r="A403">
        <v>1990</v>
      </c>
      <c r="B403">
        <v>1312.23</v>
      </c>
      <c r="C403">
        <v>1306.48</v>
      </c>
      <c r="D403">
        <v>1300.77</v>
      </c>
      <c r="E403">
        <v>1295.1199999999999</v>
      </c>
      <c r="F403">
        <v>1289.53</v>
      </c>
      <c r="G403">
        <v>1283.98</v>
      </c>
      <c r="H403">
        <v>1278.49</v>
      </c>
      <c r="I403">
        <v>1273.05</v>
      </c>
      <c r="J403">
        <v>1267.6600000000001</v>
      </c>
      <c r="K403">
        <v>1262.32</v>
      </c>
      <c r="L403">
        <v>1257.04</v>
      </c>
    </row>
    <row r="404" spans="1:12" x14ac:dyDescent="0.15">
      <c r="A404">
        <v>1995</v>
      </c>
      <c r="B404">
        <v>1323.33</v>
      </c>
      <c r="C404">
        <v>1317.5</v>
      </c>
      <c r="D404">
        <v>1311.73</v>
      </c>
      <c r="E404">
        <v>1306.02</v>
      </c>
      <c r="F404">
        <v>1300.3499999999999</v>
      </c>
      <c r="G404">
        <v>1294.74</v>
      </c>
      <c r="H404">
        <v>1289.18</v>
      </c>
      <c r="I404">
        <v>1283.67</v>
      </c>
      <c r="J404">
        <v>1278.21</v>
      </c>
      <c r="K404">
        <v>1272.81</v>
      </c>
      <c r="L404">
        <v>1267.46</v>
      </c>
    </row>
    <row r="405" spans="1:12" x14ac:dyDescent="0.15">
      <c r="A405">
        <v>2000</v>
      </c>
      <c r="B405">
        <v>1334.54</v>
      </c>
      <c r="C405">
        <v>1328.65</v>
      </c>
      <c r="D405">
        <v>1322.81</v>
      </c>
      <c r="E405">
        <v>1317.03</v>
      </c>
      <c r="F405">
        <v>1311.3</v>
      </c>
      <c r="G405">
        <v>1305.6099999999999</v>
      </c>
      <c r="H405">
        <v>1299.99</v>
      </c>
      <c r="I405">
        <v>1294.4100000000001</v>
      </c>
      <c r="J405">
        <v>1288.8900000000001</v>
      </c>
      <c r="K405">
        <v>1283.42</v>
      </c>
      <c r="L405">
        <v>1278</v>
      </c>
    </row>
    <row r="406" spans="1:12" x14ac:dyDescent="0.15">
      <c r="A406">
        <v>2005</v>
      </c>
      <c r="B406">
        <v>1345.85</v>
      </c>
      <c r="C406">
        <v>1339.91</v>
      </c>
      <c r="D406">
        <v>1334.01</v>
      </c>
      <c r="E406">
        <v>1328.16</v>
      </c>
      <c r="F406">
        <v>1322.36</v>
      </c>
      <c r="G406">
        <v>1316.61</v>
      </c>
      <c r="H406">
        <v>1310.91</v>
      </c>
      <c r="I406">
        <v>1305.27</v>
      </c>
      <c r="J406">
        <v>1299.68</v>
      </c>
      <c r="K406">
        <v>1294.1400000000001</v>
      </c>
      <c r="L406">
        <v>1288.6600000000001</v>
      </c>
    </row>
    <row r="407" spans="1:12" x14ac:dyDescent="0.15">
      <c r="A407">
        <v>2010</v>
      </c>
      <c r="B407">
        <v>1357.21</v>
      </c>
      <c r="C407">
        <v>1351.26</v>
      </c>
      <c r="D407">
        <v>1345.32</v>
      </c>
      <c r="E407">
        <v>1339.4</v>
      </c>
      <c r="F407">
        <v>1333.54</v>
      </c>
      <c r="G407">
        <v>1327.72</v>
      </c>
      <c r="H407">
        <v>1321.96</v>
      </c>
      <c r="I407">
        <v>1316.25</v>
      </c>
      <c r="J407">
        <v>1310.5899999999999</v>
      </c>
      <c r="K407">
        <v>1304.99</v>
      </c>
      <c r="L407">
        <v>1299.43</v>
      </c>
    </row>
    <row r="408" spans="1:12" x14ac:dyDescent="0.15">
      <c r="A408">
        <v>2015</v>
      </c>
      <c r="B408">
        <v>1368.58</v>
      </c>
      <c r="C408">
        <v>1362.63</v>
      </c>
      <c r="D408">
        <v>1356.69</v>
      </c>
      <c r="E408">
        <v>1350.74</v>
      </c>
      <c r="F408">
        <v>1344.82</v>
      </c>
      <c r="G408">
        <v>1338.94</v>
      </c>
      <c r="H408">
        <v>1333.11</v>
      </c>
      <c r="I408">
        <v>1327.34</v>
      </c>
      <c r="J408">
        <v>1321.61</v>
      </c>
      <c r="K408">
        <v>1315.94</v>
      </c>
      <c r="L408">
        <v>1310.32</v>
      </c>
    </row>
    <row r="409" spans="1:12" x14ac:dyDescent="0.15">
      <c r="A409">
        <v>2020</v>
      </c>
      <c r="B409">
        <v>1379.96</v>
      </c>
      <c r="C409">
        <v>1374.01</v>
      </c>
      <c r="D409">
        <v>1368.06</v>
      </c>
      <c r="E409">
        <v>1362.11</v>
      </c>
      <c r="F409">
        <v>1356.17</v>
      </c>
      <c r="G409">
        <v>1350.24</v>
      </c>
      <c r="H409">
        <v>1344.36</v>
      </c>
      <c r="I409">
        <v>1338.52</v>
      </c>
      <c r="J409">
        <v>1332.73</v>
      </c>
      <c r="K409">
        <v>1327</v>
      </c>
      <c r="L409">
        <v>1321.31</v>
      </c>
    </row>
    <row r="410" spans="1:12" x14ac:dyDescent="0.15">
      <c r="A410">
        <v>2025</v>
      </c>
      <c r="B410">
        <v>1391.34</v>
      </c>
      <c r="C410">
        <v>1385.39</v>
      </c>
      <c r="D410">
        <v>1379.43</v>
      </c>
      <c r="E410">
        <v>1373.48</v>
      </c>
      <c r="F410">
        <v>1367.53</v>
      </c>
      <c r="G410">
        <v>1361.59</v>
      </c>
      <c r="H410">
        <v>1355.67</v>
      </c>
      <c r="I410">
        <v>1349.78</v>
      </c>
      <c r="J410">
        <v>1343.93</v>
      </c>
      <c r="K410">
        <v>1338.14</v>
      </c>
      <c r="L410">
        <v>1332.39</v>
      </c>
    </row>
    <row r="411" spans="1:12" x14ac:dyDescent="0.15">
      <c r="A411">
        <v>2030</v>
      </c>
      <c r="B411">
        <v>1402.72</v>
      </c>
      <c r="C411">
        <v>1396.76</v>
      </c>
      <c r="D411">
        <v>1390.8</v>
      </c>
      <c r="E411">
        <v>1384.85</v>
      </c>
      <c r="F411">
        <v>1378.9</v>
      </c>
      <c r="G411">
        <v>1372.95</v>
      </c>
      <c r="H411">
        <v>1367.01</v>
      </c>
      <c r="I411">
        <v>1361.08</v>
      </c>
      <c r="J411">
        <v>1355.19</v>
      </c>
      <c r="K411">
        <v>1349.34</v>
      </c>
      <c r="L411">
        <v>1343.54</v>
      </c>
    </row>
    <row r="412" spans="1:12" x14ac:dyDescent="0.15">
      <c r="A412">
        <v>2035</v>
      </c>
      <c r="B412">
        <v>1413.97</v>
      </c>
      <c r="C412">
        <v>1408.02</v>
      </c>
      <c r="D412">
        <v>1402.07</v>
      </c>
      <c r="E412">
        <v>1396.12</v>
      </c>
      <c r="F412">
        <v>1390.18</v>
      </c>
      <c r="G412">
        <v>1384.23</v>
      </c>
      <c r="H412">
        <v>1378.29</v>
      </c>
      <c r="I412">
        <v>1372.35</v>
      </c>
      <c r="J412">
        <v>1366.43</v>
      </c>
      <c r="K412">
        <v>1360.54</v>
      </c>
      <c r="L412">
        <v>1354.69</v>
      </c>
    </row>
    <row r="413" spans="1:12" x14ac:dyDescent="0.15">
      <c r="A413">
        <v>2040</v>
      </c>
      <c r="B413">
        <v>1424.99</v>
      </c>
      <c r="C413">
        <v>1419.07</v>
      </c>
      <c r="D413">
        <v>1413.15</v>
      </c>
      <c r="E413">
        <v>1407.22</v>
      </c>
      <c r="F413">
        <v>1401.28</v>
      </c>
      <c r="G413">
        <v>1395.35</v>
      </c>
      <c r="H413">
        <v>1389.42</v>
      </c>
      <c r="I413">
        <v>1383.49</v>
      </c>
      <c r="J413">
        <v>1377.56</v>
      </c>
      <c r="K413">
        <v>1371.65</v>
      </c>
      <c r="L413">
        <v>1365.77</v>
      </c>
    </row>
    <row r="414" spans="1:12" x14ac:dyDescent="0.15">
      <c r="A414">
        <v>2045</v>
      </c>
      <c r="B414">
        <v>1435.67</v>
      </c>
      <c r="C414">
        <v>1429.82</v>
      </c>
      <c r="D414">
        <v>1423.94</v>
      </c>
      <c r="E414">
        <v>1418.06</v>
      </c>
      <c r="F414">
        <v>1412.17</v>
      </c>
      <c r="G414">
        <v>1406.27</v>
      </c>
      <c r="H414">
        <v>1400.35</v>
      </c>
      <c r="I414">
        <v>1394.44</v>
      </c>
      <c r="J414">
        <v>1388.52</v>
      </c>
      <c r="K414">
        <v>1382.6</v>
      </c>
      <c r="L414">
        <v>1376.7</v>
      </c>
    </row>
    <row r="415" spans="1:12" x14ac:dyDescent="0.15">
      <c r="A415">
        <v>2050</v>
      </c>
      <c r="B415">
        <v>1445.95</v>
      </c>
      <c r="C415">
        <v>1440.18</v>
      </c>
      <c r="D415">
        <v>1434.39</v>
      </c>
      <c r="E415">
        <v>1428.57</v>
      </c>
      <c r="F415">
        <v>1422.73</v>
      </c>
      <c r="G415">
        <v>1416.88</v>
      </c>
      <c r="H415">
        <v>1411.02</v>
      </c>
      <c r="I415">
        <v>1405.15</v>
      </c>
      <c r="J415">
        <v>1399.27</v>
      </c>
      <c r="K415">
        <v>1393.38</v>
      </c>
      <c r="L415">
        <v>1387.48</v>
      </c>
    </row>
    <row r="416" spans="1:12" x14ac:dyDescent="0.15">
      <c r="A416">
        <v>2055</v>
      </c>
      <c r="B416">
        <v>1455.72</v>
      </c>
      <c r="C416">
        <v>1450.1</v>
      </c>
      <c r="D416">
        <v>1444.43</v>
      </c>
      <c r="E416">
        <v>1438.69</v>
      </c>
      <c r="F416">
        <v>1432.93</v>
      </c>
      <c r="G416">
        <v>1427.15</v>
      </c>
      <c r="H416">
        <v>1421.35</v>
      </c>
      <c r="I416">
        <v>1415.53</v>
      </c>
      <c r="J416">
        <v>1409.7</v>
      </c>
      <c r="K416">
        <v>1403.86</v>
      </c>
      <c r="L416">
        <v>1398.01</v>
      </c>
    </row>
    <row r="417" spans="1:12" x14ac:dyDescent="0.15">
      <c r="A417">
        <v>2060</v>
      </c>
      <c r="B417">
        <v>1464.94</v>
      </c>
      <c r="C417">
        <v>1459.49</v>
      </c>
      <c r="D417">
        <v>1453.97</v>
      </c>
      <c r="E417">
        <v>1448.38</v>
      </c>
      <c r="F417">
        <v>1442.73</v>
      </c>
      <c r="G417">
        <v>1437.04</v>
      </c>
      <c r="H417">
        <v>1431.31</v>
      </c>
      <c r="I417">
        <v>1425.57</v>
      </c>
      <c r="J417">
        <v>1419.8</v>
      </c>
      <c r="K417">
        <v>1414.02</v>
      </c>
      <c r="L417">
        <v>1408.22</v>
      </c>
    </row>
    <row r="418" spans="1:12" x14ac:dyDescent="0.15">
      <c r="A418">
        <v>2065</v>
      </c>
      <c r="B418">
        <v>1473.55</v>
      </c>
      <c r="C418">
        <v>1468.3</v>
      </c>
      <c r="D418">
        <v>1462.96</v>
      </c>
      <c r="E418">
        <v>1457.53</v>
      </c>
      <c r="F418">
        <v>1452.04</v>
      </c>
      <c r="G418">
        <v>1446.48</v>
      </c>
      <c r="H418">
        <v>1440.87</v>
      </c>
      <c r="I418">
        <v>1435.21</v>
      </c>
      <c r="J418">
        <v>1429.52</v>
      </c>
      <c r="K418">
        <v>1423.81</v>
      </c>
      <c r="L418">
        <v>1418.08</v>
      </c>
    </row>
    <row r="419" spans="1:12" x14ac:dyDescent="0.15">
      <c r="A419">
        <v>2070</v>
      </c>
      <c r="B419">
        <v>1481.46</v>
      </c>
      <c r="C419">
        <v>1476.49</v>
      </c>
      <c r="D419">
        <v>1471.36</v>
      </c>
      <c r="E419">
        <v>1466.12</v>
      </c>
      <c r="F419">
        <v>1460.8</v>
      </c>
      <c r="G419">
        <v>1455.4</v>
      </c>
      <c r="H419">
        <v>1449.94</v>
      </c>
      <c r="I419">
        <v>1444.42</v>
      </c>
      <c r="J419">
        <v>1438.84</v>
      </c>
      <c r="K419">
        <v>1433.21</v>
      </c>
      <c r="L419">
        <v>1427.56</v>
      </c>
    </row>
    <row r="420" spans="1:12" x14ac:dyDescent="0.15">
      <c r="A420">
        <v>2075</v>
      </c>
      <c r="B420">
        <v>1488.63</v>
      </c>
      <c r="C420">
        <v>1483.96</v>
      </c>
      <c r="D420">
        <v>1479.12</v>
      </c>
      <c r="E420">
        <v>1474.12</v>
      </c>
      <c r="F420">
        <v>1468.99</v>
      </c>
      <c r="G420">
        <v>1463.77</v>
      </c>
      <c r="H420">
        <v>1458.48</v>
      </c>
      <c r="I420">
        <v>1453.1</v>
      </c>
      <c r="J420">
        <v>1447.67</v>
      </c>
      <c r="K420">
        <v>1442.18</v>
      </c>
      <c r="L420">
        <v>1436.64</v>
      </c>
    </row>
    <row r="421" spans="1:12" x14ac:dyDescent="0.15">
      <c r="A421">
        <v>2080</v>
      </c>
      <c r="B421">
        <v>1495.01</v>
      </c>
      <c r="C421">
        <v>1490.69</v>
      </c>
      <c r="D421">
        <v>1486.15</v>
      </c>
      <c r="E421">
        <v>1481.44</v>
      </c>
      <c r="F421">
        <v>1476.57</v>
      </c>
      <c r="G421">
        <v>1471.55</v>
      </c>
      <c r="H421">
        <v>1466.44</v>
      </c>
      <c r="I421">
        <v>1461.25</v>
      </c>
      <c r="J421">
        <v>1455.97</v>
      </c>
      <c r="K421">
        <v>1450.63</v>
      </c>
      <c r="L421">
        <v>1445.23</v>
      </c>
    </row>
    <row r="422" spans="1:12" x14ac:dyDescent="0.15">
      <c r="A422">
        <v>2085</v>
      </c>
      <c r="B422">
        <v>1500.56</v>
      </c>
      <c r="C422">
        <v>1496.62</v>
      </c>
      <c r="D422">
        <v>1492.44</v>
      </c>
      <c r="E422">
        <v>1488.03</v>
      </c>
      <c r="F422">
        <v>1483.46</v>
      </c>
      <c r="G422">
        <v>1478.71</v>
      </c>
      <c r="H422">
        <v>1473.81</v>
      </c>
      <c r="I422">
        <v>1468.81</v>
      </c>
      <c r="J422">
        <v>1463.72</v>
      </c>
      <c r="K422">
        <v>1458.55</v>
      </c>
      <c r="L422">
        <v>1453.3</v>
      </c>
    </row>
    <row r="423" spans="1:12" x14ac:dyDescent="0.15">
      <c r="A423">
        <v>2090</v>
      </c>
      <c r="B423">
        <v>1505.26</v>
      </c>
      <c r="C423">
        <v>1501.74</v>
      </c>
      <c r="D423">
        <v>1497.95</v>
      </c>
      <c r="E423">
        <v>1493.91</v>
      </c>
      <c r="F423">
        <v>1489.64</v>
      </c>
      <c r="G423">
        <v>1485.19</v>
      </c>
      <c r="H423">
        <v>1480.58</v>
      </c>
      <c r="I423">
        <v>1475.81</v>
      </c>
      <c r="J423">
        <v>1470.91</v>
      </c>
      <c r="K423">
        <v>1465.93</v>
      </c>
      <c r="L423">
        <v>1460.87</v>
      </c>
    </row>
    <row r="424" spans="1:12" x14ac:dyDescent="0.15">
      <c r="A424">
        <v>2095</v>
      </c>
      <c r="B424">
        <v>1509.1</v>
      </c>
      <c r="C424">
        <v>1506.1</v>
      </c>
      <c r="D424">
        <v>1502.71</v>
      </c>
      <c r="E424">
        <v>1499.05</v>
      </c>
      <c r="F424">
        <v>1495.14</v>
      </c>
      <c r="G424">
        <v>1491.01</v>
      </c>
      <c r="H424">
        <v>1486.69</v>
      </c>
      <c r="I424">
        <v>1482.21</v>
      </c>
      <c r="J424">
        <v>1477.56</v>
      </c>
      <c r="K424">
        <v>1472.77</v>
      </c>
      <c r="L424">
        <v>1467.9</v>
      </c>
    </row>
    <row r="425" spans="1:12" x14ac:dyDescent="0.15">
      <c r="A425">
        <v>2099</v>
      </c>
      <c r="B425">
        <v>1511.32</v>
      </c>
      <c r="C425">
        <v>1508.86</v>
      </c>
      <c r="D425">
        <v>1505.93</v>
      </c>
      <c r="E425">
        <v>1502.58</v>
      </c>
      <c r="F425">
        <v>1498.97</v>
      </c>
      <c r="G425">
        <v>1495.11</v>
      </c>
      <c r="H425">
        <v>1491.03</v>
      </c>
      <c r="I425">
        <v>1486.77</v>
      </c>
      <c r="J425">
        <v>1482.35</v>
      </c>
      <c r="K425">
        <v>1477.77</v>
      </c>
      <c r="L425">
        <v>1473.04</v>
      </c>
    </row>
  </sheetData>
  <mergeCells count="1">
    <mergeCell ref="R1:V1"/>
  </mergeCells>
  <phoneticPr fontId="1" type="noConversion"/>
  <hyperlinks>
    <hyperlink ref="R4" location="SOUNDING!A1" display="Back" xr:uid="{00000000-0004-0000-0A00-000000000000}"/>
  </hyperlink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1" tint="0.34998626667073579"/>
  </sheetPr>
  <dimension ref="A1:W425"/>
  <sheetViews>
    <sheetView showRowColHeaders="0" workbookViewId="0">
      <pane xSplit="17" ySplit="4" topLeftCell="R5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2" width="9" style="7"/>
    <col min="13" max="13" width="9" style="10"/>
    <col min="14" max="17" width="9" style="10" hidden="1" customWidth="1"/>
    <col min="18" max="16384" width="9" style="10"/>
  </cols>
  <sheetData>
    <row r="1" spans="1:23" x14ac:dyDescent="0.15">
      <c r="A1" s="6"/>
      <c r="Q1" s="13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7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R4" s="16" t="s">
        <v>90</v>
      </c>
    </row>
    <row r="5" spans="1:23" x14ac:dyDescent="0.15">
      <c r="A5">
        <v>0</v>
      </c>
      <c r="B5">
        <v>16.02</v>
      </c>
      <c r="C5">
        <v>10.59</v>
      </c>
      <c r="D5">
        <v>5.37</v>
      </c>
      <c r="E5">
        <v>1.52</v>
      </c>
      <c r="F5">
        <v>0.69</v>
      </c>
      <c r="G5">
        <v>0.4</v>
      </c>
      <c r="H5">
        <v>0.26</v>
      </c>
      <c r="I5">
        <v>0.18</v>
      </c>
      <c r="J5">
        <v>0.14000000000000001</v>
      </c>
      <c r="K5">
        <v>0.09</v>
      </c>
      <c r="L5">
        <v>7.0000000000000007E-2</v>
      </c>
    </row>
    <row r="6" spans="1:23" x14ac:dyDescent="0.15">
      <c r="A6">
        <v>5</v>
      </c>
      <c r="B6">
        <v>27.7</v>
      </c>
      <c r="C6">
        <v>22.08</v>
      </c>
      <c r="D6">
        <v>16.600000000000001</v>
      </c>
      <c r="E6">
        <v>11.31</v>
      </c>
      <c r="F6">
        <v>6.88</v>
      </c>
      <c r="G6">
        <v>4.6100000000000003</v>
      </c>
      <c r="H6">
        <v>3.37</v>
      </c>
      <c r="I6">
        <v>2.61</v>
      </c>
      <c r="J6">
        <v>2.1</v>
      </c>
      <c r="K6">
        <v>1.73</v>
      </c>
      <c r="L6">
        <v>1.44</v>
      </c>
    </row>
    <row r="7" spans="1:23" x14ac:dyDescent="0.15">
      <c r="A7">
        <v>10</v>
      </c>
      <c r="B7">
        <v>39.67</v>
      </c>
      <c r="C7">
        <v>33.880000000000003</v>
      </c>
      <c r="D7">
        <v>28.22</v>
      </c>
      <c r="E7">
        <v>22.69</v>
      </c>
      <c r="F7">
        <v>17.350000000000001</v>
      </c>
      <c r="G7">
        <v>12.72</v>
      </c>
      <c r="H7">
        <v>9.7200000000000006</v>
      </c>
      <c r="I7">
        <v>7.76</v>
      </c>
      <c r="J7">
        <v>6.38</v>
      </c>
      <c r="K7">
        <v>5.37</v>
      </c>
      <c r="L7">
        <v>4.5999999999999996</v>
      </c>
    </row>
    <row r="8" spans="1:23" x14ac:dyDescent="0.15">
      <c r="A8">
        <v>15</v>
      </c>
      <c r="B8">
        <v>51.87</v>
      </c>
      <c r="C8">
        <v>45.95</v>
      </c>
      <c r="D8">
        <v>40.130000000000003</v>
      </c>
      <c r="E8">
        <v>34.42</v>
      </c>
      <c r="F8">
        <v>28.86</v>
      </c>
      <c r="G8">
        <v>23.47</v>
      </c>
      <c r="H8">
        <v>18.73</v>
      </c>
      <c r="I8">
        <v>15.31</v>
      </c>
      <c r="J8">
        <v>12.79</v>
      </c>
      <c r="K8">
        <v>10.94</v>
      </c>
      <c r="L8">
        <v>9.48</v>
      </c>
    </row>
    <row r="9" spans="1:23" x14ac:dyDescent="0.15">
      <c r="A9">
        <v>20</v>
      </c>
      <c r="B9">
        <v>64.28</v>
      </c>
      <c r="C9">
        <v>58.23</v>
      </c>
      <c r="D9">
        <v>52.28</v>
      </c>
      <c r="E9">
        <v>46.43</v>
      </c>
      <c r="F9">
        <v>40.69</v>
      </c>
      <c r="G9">
        <v>35.090000000000003</v>
      </c>
      <c r="H9">
        <v>29.66</v>
      </c>
      <c r="I9">
        <v>24.85</v>
      </c>
      <c r="J9">
        <v>21.13</v>
      </c>
      <c r="K9">
        <v>18.23</v>
      </c>
      <c r="L9">
        <v>15.95</v>
      </c>
    </row>
    <row r="10" spans="1:23" x14ac:dyDescent="0.15">
      <c r="A10">
        <v>25</v>
      </c>
      <c r="B10">
        <v>76.87</v>
      </c>
      <c r="C10">
        <v>70.709999999999994</v>
      </c>
      <c r="D10">
        <v>64.64</v>
      </c>
      <c r="E10">
        <v>58.65</v>
      </c>
      <c r="F10">
        <v>52.77</v>
      </c>
      <c r="G10">
        <v>47.01</v>
      </c>
      <c r="H10">
        <v>41.37</v>
      </c>
      <c r="I10">
        <v>35.909999999999997</v>
      </c>
      <c r="J10">
        <v>31.04</v>
      </c>
      <c r="K10">
        <v>27.1</v>
      </c>
      <c r="L10">
        <v>23.93</v>
      </c>
    </row>
    <row r="11" spans="1:23" x14ac:dyDescent="0.15">
      <c r="A11">
        <v>30</v>
      </c>
      <c r="B11">
        <v>89.63</v>
      </c>
      <c r="C11">
        <v>83.37</v>
      </c>
      <c r="D11">
        <v>77.180000000000007</v>
      </c>
      <c r="E11">
        <v>71.08</v>
      </c>
      <c r="F11">
        <v>65.08</v>
      </c>
      <c r="G11">
        <v>59.17</v>
      </c>
      <c r="H11">
        <v>53.37</v>
      </c>
      <c r="I11">
        <v>47.71</v>
      </c>
      <c r="J11">
        <v>42.21</v>
      </c>
      <c r="K11">
        <v>37.299999999999997</v>
      </c>
      <c r="L11">
        <v>33.19</v>
      </c>
    </row>
    <row r="12" spans="1:23" x14ac:dyDescent="0.15">
      <c r="A12">
        <v>35</v>
      </c>
      <c r="B12">
        <v>102.54</v>
      </c>
      <c r="C12">
        <v>96.18</v>
      </c>
      <c r="D12">
        <v>89.9</v>
      </c>
      <c r="E12">
        <v>83.69</v>
      </c>
      <c r="F12">
        <v>77.569999999999993</v>
      </c>
      <c r="G12">
        <v>71.540000000000006</v>
      </c>
      <c r="H12">
        <v>65.599999999999994</v>
      </c>
      <c r="I12">
        <v>59.78</v>
      </c>
      <c r="J12">
        <v>54.09</v>
      </c>
      <c r="K12">
        <v>48.57</v>
      </c>
      <c r="L12">
        <v>43.62</v>
      </c>
    </row>
    <row r="13" spans="1:23" x14ac:dyDescent="0.15">
      <c r="A13">
        <v>40</v>
      </c>
      <c r="B13">
        <v>115.59</v>
      </c>
      <c r="C13">
        <v>109.15</v>
      </c>
      <c r="D13">
        <v>102.77</v>
      </c>
      <c r="E13">
        <v>96.47</v>
      </c>
      <c r="F13">
        <v>90.24</v>
      </c>
      <c r="G13">
        <v>84.1</v>
      </c>
      <c r="H13">
        <v>78.040000000000006</v>
      </c>
      <c r="I13">
        <v>72.08</v>
      </c>
      <c r="J13">
        <v>66.23</v>
      </c>
      <c r="K13">
        <v>60.51</v>
      </c>
      <c r="L13">
        <v>54.97</v>
      </c>
    </row>
    <row r="14" spans="1:23" x14ac:dyDescent="0.15">
      <c r="A14">
        <v>45</v>
      </c>
      <c r="B14">
        <v>128.78</v>
      </c>
      <c r="C14">
        <v>122.25</v>
      </c>
      <c r="D14">
        <v>115.79</v>
      </c>
      <c r="E14">
        <v>109.39</v>
      </c>
      <c r="F14">
        <v>103.07</v>
      </c>
      <c r="G14">
        <v>96.82</v>
      </c>
      <c r="H14">
        <v>90.65</v>
      </c>
      <c r="I14">
        <v>84.57</v>
      </c>
      <c r="J14">
        <v>78.59</v>
      </c>
      <c r="K14">
        <v>72.72</v>
      </c>
      <c r="L14">
        <v>66.97</v>
      </c>
    </row>
    <row r="15" spans="1:23" x14ac:dyDescent="0.15">
      <c r="A15">
        <v>50</v>
      </c>
      <c r="B15">
        <v>142.09</v>
      </c>
      <c r="C15">
        <v>135.49</v>
      </c>
      <c r="D15">
        <v>128.94</v>
      </c>
      <c r="E15">
        <v>122.46</v>
      </c>
      <c r="F15">
        <v>116.05</v>
      </c>
      <c r="G15">
        <v>109.7</v>
      </c>
      <c r="H15">
        <v>103.43</v>
      </c>
      <c r="I15">
        <v>97.25</v>
      </c>
      <c r="J15">
        <v>91.14</v>
      </c>
      <c r="K15">
        <v>85.14</v>
      </c>
      <c r="L15">
        <v>79.239999999999995</v>
      </c>
    </row>
    <row r="16" spans="1:23" x14ac:dyDescent="0.15">
      <c r="A16">
        <v>55</v>
      </c>
      <c r="B16">
        <v>155.52000000000001</v>
      </c>
      <c r="C16">
        <v>148.84</v>
      </c>
      <c r="D16">
        <v>142.22</v>
      </c>
      <c r="E16">
        <v>135.66</v>
      </c>
      <c r="F16">
        <v>129.16</v>
      </c>
      <c r="G16">
        <v>122.73</v>
      </c>
      <c r="H16">
        <v>116.36</v>
      </c>
      <c r="I16">
        <v>110.08</v>
      </c>
      <c r="J16">
        <v>103.87</v>
      </c>
      <c r="K16">
        <v>97.75</v>
      </c>
      <c r="L16">
        <v>91.72</v>
      </c>
    </row>
    <row r="17" spans="1:12" x14ac:dyDescent="0.15">
      <c r="A17">
        <v>60</v>
      </c>
      <c r="B17">
        <v>169.06</v>
      </c>
      <c r="C17">
        <v>162.31</v>
      </c>
      <c r="D17">
        <v>155.62</v>
      </c>
      <c r="E17">
        <v>148.97999999999999</v>
      </c>
      <c r="F17">
        <v>142.4</v>
      </c>
      <c r="G17">
        <v>135.88</v>
      </c>
      <c r="H17">
        <v>129.43</v>
      </c>
      <c r="I17">
        <v>123.05</v>
      </c>
      <c r="J17">
        <v>116.75</v>
      </c>
      <c r="K17">
        <v>110.52</v>
      </c>
      <c r="L17">
        <v>104.38</v>
      </c>
    </row>
    <row r="18" spans="1:12" x14ac:dyDescent="0.15">
      <c r="A18">
        <v>65</v>
      </c>
      <c r="B18">
        <v>182.7</v>
      </c>
      <c r="C18">
        <v>175.89</v>
      </c>
      <c r="D18">
        <v>169.13</v>
      </c>
      <c r="E18">
        <v>162.41999999999999</v>
      </c>
      <c r="F18">
        <v>155.76</v>
      </c>
      <c r="G18">
        <v>149.16999999999999</v>
      </c>
      <c r="H18">
        <v>142.63999999999999</v>
      </c>
      <c r="I18">
        <v>136.16999999999999</v>
      </c>
      <c r="J18">
        <v>129.77000000000001</v>
      </c>
      <c r="K18">
        <v>123.45</v>
      </c>
      <c r="L18">
        <v>117.2</v>
      </c>
    </row>
    <row r="19" spans="1:12" x14ac:dyDescent="0.15">
      <c r="A19">
        <v>70</v>
      </c>
      <c r="B19">
        <v>196.45</v>
      </c>
      <c r="C19">
        <v>189.57</v>
      </c>
      <c r="D19">
        <v>182.74</v>
      </c>
      <c r="E19">
        <v>175.96</v>
      </c>
      <c r="F19">
        <v>169.24</v>
      </c>
      <c r="G19">
        <v>162.57</v>
      </c>
      <c r="H19">
        <v>155.96</v>
      </c>
      <c r="I19">
        <v>149.41</v>
      </c>
      <c r="J19">
        <v>142.93</v>
      </c>
      <c r="K19">
        <v>136.51</v>
      </c>
      <c r="L19">
        <v>130.16999999999999</v>
      </c>
    </row>
    <row r="20" spans="1:12" x14ac:dyDescent="0.15">
      <c r="A20">
        <v>75</v>
      </c>
      <c r="B20">
        <v>210.29</v>
      </c>
      <c r="C20">
        <v>203.35</v>
      </c>
      <c r="D20">
        <v>196.45</v>
      </c>
      <c r="E20">
        <v>189.61</v>
      </c>
      <c r="F20">
        <v>182.82</v>
      </c>
      <c r="G20">
        <v>176.08</v>
      </c>
      <c r="H20">
        <v>169.4</v>
      </c>
      <c r="I20">
        <v>162.77000000000001</v>
      </c>
      <c r="J20">
        <v>156.21</v>
      </c>
      <c r="K20">
        <v>149.71</v>
      </c>
      <c r="L20">
        <v>143.28</v>
      </c>
    </row>
    <row r="21" spans="1:12" x14ac:dyDescent="0.15">
      <c r="A21">
        <v>80</v>
      </c>
      <c r="B21">
        <v>224.22</v>
      </c>
      <c r="C21">
        <v>217.22</v>
      </c>
      <c r="D21">
        <v>210.27</v>
      </c>
      <c r="E21">
        <v>203.36</v>
      </c>
      <c r="F21">
        <v>196.5</v>
      </c>
      <c r="G21">
        <v>189.7</v>
      </c>
      <c r="H21">
        <v>182.95</v>
      </c>
      <c r="I21">
        <v>176.25</v>
      </c>
      <c r="J21">
        <v>169.61</v>
      </c>
      <c r="K21">
        <v>163.03</v>
      </c>
      <c r="L21">
        <v>156.52000000000001</v>
      </c>
    </row>
    <row r="22" spans="1:12" x14ac:dyDescent="0.15">
      <c r="A22">
        <v>85</v>
      </c>
      <c r="B22">
        <v>238.23</v>
      </c>
      <c r="C22">
        <v>231.18</v>
      </c>
      <c r="D22">
        <v>224.17</v>
      </c>
      <c r="E22">
        <v>217.2</v>
      </c>
      <c r="F22">
        <v>210.29</v>
      </c>
      <c r="G22">
        <v>203.42</v>
      </c>
      <c r="H22">
        <v>196.6</v>
      </c>
      <c r="I22">
        <v>189.83</v>
      </c>
      <c r="J22">
        <v>183.12</v>
      </c>
      <c r="K22">
        <v>176.47</v>
      </c>
      <c r="L22">
        <v>169.87</v>
      </c>
    </row>
    <row r="23" spans="1:12" x14ac:dyDescent="0.15">
      <c r="A23">
        <v>90</v>
      </c>
      <c r="B23">
        <v>252.33</v>
      </c>
      <c r="C23">
        <v>245.22</v>
      </c>
      <c r="D23">
        <v>238.16</v>
      </c>
      <c r="E23">
        <v>231.14</v>
      </c>
      <c r="F23">
        <v>224.16</v>
      </c>
      <c r="G23">
        <v>217.23</v>
      </c>
      <c r="H23">
        <v>210.35</v>
      </c>
      <c r="I23">
        <v>203.52</v>
      </c>
      <c r="J23">
        <v>196.74</v>
      </c>
      <c r="K23">
        <v>190.01</v>
      </c>
      <c r="L23">
        <v>183.35</v>
      </c>
    </row>
    <row r="24" spans="1:12" x14ac:dyDescent="0.15">
      <c r="A24">
        <v>95</v>
      </c>
      <c r="B24">
        <v>266.51</v>
      </c>
      <c r="C24">
        <v>259.35000000000002</v>
      </c>
      <c r="D24">
        <v>252.23</v>
      </c>
      <c r="E24">
        <v>245.16</v>
      </c>
      <c r="F24">
        <v>238.12</v>
      </c>
      <c r="G24">
        <v>231.13</v>
      </c>
      <c r="H24">
        <v>224.19</v>
      </c>
      <c r="I24">
        <v>217.3</v>
      </c>
      <c r="J24">
        <v>210.46</v>
      </c>
      <c r="K24">
        <v>203.66</v>
      </c>
      <c r="L24">
        <v>196.93</v>
      </c>
    </row>
    <row r="25" spans="1:12" x14ac:dyDescent="0.15">
      <c r="A25">
        <v>100</v>
      </c>
      <c r="B25">
        <v>280.76</v>
      </c>
      <c r="C25">
        <v>273.56</v>
      </c>
      <c r="D25">
        <v>266.39</v>
      </c>
      <c r="E25">
        <v>259.26</v>
      </c>
      <c r="F25">
        <v>252.17</v>
      </c>
      <c r="G25">
        <v>245.13</v>
      </c>
      <c r="H25">
        <v>238.13</v>
      </c>
      <c r="I25">
        <v>231.17</v>
      </c>
      <c r="J25">
        <v>224.27</v>
      </c>
      <c r="K25">
        <v>217.41</v>
      </c>
      <c r="L25">
        <v>210.61</v>
      </c>
    </row>
    <row r="26" spans="1:12" x14ac:dyDescent="0.15">
      <c r="A26">
        <v>105</v>
      </c>
      <c r="B26">
        <v>295.08999999999997</v>
      </c>
      <c r="C26">
        <v>287.83999999999997</v>
      </c>
      <c r="D26">
        <v>280.62</v>
      </c>
      <c r="E26">
        <v>273.44</v>
      </c>
      <c r="F26">
        <v>266.3</v>
      </c>
      <c r="G26">
        <v>259.2</v>
      </c>
      <c r="H26">
        <v>252.15</v>
      </c>
      <c r="I26">
        <v>245.14</v>
      </c>
      <c r="J26">
        <v>238.17</v>
      </c>
      <c r="K26">
        <v>231.25</v>
      </c>
      <c r="L26">
        <v>224.39</v>
      </c>
    </row>
    <row r="27" spans="1:12" x14ac:dyDescent="0.15">
      <c r="A27">
        <v>110</v>
      </c>
      <c r="B27">
        <v>309.49</v>
      </c>
      <c r="C27">
        <v>302.19</v>
      </c>
      <c r="D27">
        <v>294.92</v>
      </c>
      <c r="E27">
        <v>287.7</v>
      </c>
      <c r="F27">
        <v>280.51</v>
      </c>
      <c r="G27">
        <v>273.36</v>
      </c>
      <c r="H27">
        <v>266.25</v>
      </c>
      <c r="I27">
        <v>259.18</v>
      </c>
      <c r="J27">
        <v>252.16</v>
      </c>
      <c r="K27">
        <v>245.18</v>
      </c>
      <c r="L27">
        <v>238.26</v>
      </c>
    </row>
    <row r="28" spans="1:12" x14ac:dyDescent="0.15">
      <c r="A28">
        <v>115</v>
      </c>
      <c r="B28">
        <v>323.95999999999998</v>
      </c>
      <c r="C28">
        <v>316.62</v>
      </c>
      <c r="D28">
        <v>309.3</v>
      </c>
      <c r="E28">
        <v>302.02999999999997</v>
      </c>
      <c r="F28">
        <v>294.79000000000002</v>
      </c>
      <c r="G28">
        <v>287.58999999999997</v>
      </c>
      <c r="H28">
        <v>280.43</v>
      </c>
      <c r="I28">
        <v>273.31</v>
      </c>
      <c r="J28">
        <v>266.23</v>
      </c>
      <c r="K28">
        <v>259.2</v>
      </c>
      <c r="L28">
        <v>252.21</v>
      </c>
    </row>
    <row r="29" spans="1:12" x14ac:dyDescent="0.15">
      <c r="A29">
        <v>120</v>
      </c>
      <c r="B29">
        <v>338.5</v>
      </c>
      <c r="C29">
        <v>331.11</v>
      </c>
      <c r="D29">
        <v>323.75</v>
      </c>
      <c r="E29">
        <v>316.43</v>
      </c>
      <c r="F29">
        <v>309.14</v>
      </c>
      <c r="G29">
        <v>301.89</v>
      </c>
      <c r="H29">
        <v>294.68</v>
      </c>
      <c r="I29">
        <v>287.52</v>
      </c>
      <c r="J29">
        <v>280.39</v>
      </c>
      <c r="K29">
        <v>273.3</v>
      </c>
      <c r="L29">
        <v>266.26</v>
      </c>
    </row>
    <row r="30" spans="1:12" x14ac:dyDescent="0.15">
      <c r="A30">
        <v>125</v>
      </c>
      <c r="B30">
        <v>353.1</v>
      </c>
      <c r="C30">
        <v>345.67</v>
      </c>
      <c r="D30">
        <v>338.27</v>
      </c>
      <c r="E30">
        <v>330.9</v>
      </c>
      <c r="F30">
        <v>323.57</v>
      </c>
      <c r="G30">
        <v>316.27</v>
      </c>
      <c r="H30">
        <v>309.02</v>
      </c>
      <c r="I30">
        <v>301.8</v>
      </c>
      <c r="J30">
        <v>294.62</v>
      </c>
      <c r="K30">
        <v>287.48</v>
      </c>
      <c r="L30">
        <v>280.38</v>
      </c>
    </row>
    <row r="31" spans="1:12" x14ac:dyDescent="0.15">
      <c r="A31">
        <v>130</v>
      </c>
      <c r="B31">
        <v>367.76</v>
      </c>
      <c r="C31">
        <v>360.29</v>
      </c>
      <c r="D31">
        <v>352.84</v>
      </c>
      <c r="E31">
        <v>345.44</v>
      </c>
      <c r="F31">
        <v>338.06</v>
      </c>
      <c r="G31">
        <v>330.72</v>
      </c>
      <c r="H31">
        <v>323.42</v>
      </c>
      <c r="I31">
        <v>316.14999999999998</v>
      </c>
      <c r="J31">
        <v>308.92</v>
      </c>
      <c r="K31">
        <v>301.73</v>
      </c>
      <c r="L31">
        <v>294.58</v>
      </c>
    </row>
    <row r="32" spans="1:12" x14ac:dyDescent="0.15">
      <c r="A32">
        <v>135</v>
      </c>
      <c r="B32">
        <v>382.49</v>
      </c>
      <c r="C32">
        <v>374.97</v>
      </c>
      <c r="D32">
        <v>367.49</v>
      </c>
      <c r="E32">
        <v>360.04</v>
      </c>
      <c r="F32">
        <v>352.62</v>
      </c>
      <c r="G32">
        <v>345.23</v>
      </c>
      <c r="H32">
        <v>337.88</v>
      </c>
      <c r="I32">
        <v>330.57</v>
      </c>
      <c r="J32">
        <v>323.3</v>
      </c>
      <c r="K32">
        <v>316.06</v>
      </c>
      <c r="L32">
        <v>308.86</v>
      </c>
    </row>
    <row r="33" spans="1:12" x14ac:dyDescent="0.15">
      <c r="A33">
        <v>140</v>
      </c>
      <c r="B33">
        <v>397.27</v>
      </c>
      <c r="C33">
        <v>389.71</v>
      </c>
      <c r="D33">
        <v>382.19</v>
      </c>
      <c r="E33">
        <v>374.7</v>
      </c>
      <c r="F33">
        <v>367.24</v>
      </c>
      <c r="G33">
        <v>359.81</v>
      </c>
      <c r="H33">
        <v>352.42</v>
      </c>
      <c r="I33">
        <v>345.06</v>
      </c>
      <c r="J33">
        <v>337.74</v>
      </c>
      <c r="K33">
        <v>330.46</v>
      </c>
      <c r="L33">
        <v>323.20999999999998</v>
      </c>
    </row>
    <row r="34" spans="1:12" x14ac:dyDescent="0.15">
      <c r="A34">
        <v>145</v>
      </c>
      <c r="B34">
        <v>412.11</v>
      </c>
      <c r="C34">
        <v>404.52</v>
      </c>
      <c r="D34">
        <v>396.95</v>
      </c>
      <c r="E34">
        <v>389.42</v>
      </c>
      <c r="F34">
        <v>381.92</v>
      </c>
      <c r="G34">
        <v>374.45</v>
      </c>
      <c r="H34">
        <v>367.02</v>
      </c>
      <c r="I34">
        <v>359.62</v>
      </c>
      <c r="J34">
        <v>352.25</v>
      </c>
      <c r="K34">
        <v>344.92</v>
      </c>
      <c r="L34">
        <v>337.63</v>
      </c>
    </row>
    <row r="35" spans="1:12" x14ac:dyDescent="0.15">
      <c r="A35">
        <v>150</v>
      </c>
      <c r="B35">
        <v>427</v>
      </c>
      <c r="C35">
        <v>419.37</v>
      </c>
      <c r="D35">
        <v>411.77</v>
      </c>
      <c r="E35">
        <v>404.2</v>
      </c>
      <c r="F35">
        <v>396.66</v>
      </c>
      <c r="G35">
        <v>389.15</v>
      </c>
      <c r="H35">
        <v>381.68</v>
      </c>
      <c r="I35">
        <v>374.23</v>
      </c>
      <c r="J35">
        <v>366.83</v>
      </c>
      <c r="K35">
        <v>359.45</v>
      </c>
      <c r="L35">
        <v>352.11</v>
      </c>
    </row>
    <row r="36" spans="1:12" x14ac:dyDescent="0.15">
      <c r="A36">
        <v>155</v>
      </c>
      <c r="B36">
        <v>441.95</v>
      </c>
      <c r="C36">
        <v>434.28</v>
      </c>
      <c r="D36">
        <v>426.65</v>
      </c>
      <c r="E36">
        <v>419.04</v>
      </c>
      <c r="F36">
        <v>411.46</v>
      </c>
      <c r="G36">
        <v>403.91</v>
      </c>
      <c r="H36">
        <v>396.4</v>
      </c>
      <c r="I36">
        <v>388.91</v>
      </c>
      <c r="J36">
        <v>381.46</v>
      </c>
      <c r="K36">
        <v>374.05</v>
      </c>
      <c r="L36">
        <v>366.66</v>
      </c>
    </row>
    <row r="37" spans="1:12" x14ac:dyDescent="0.15">
      <c r="A37">
        <v>160</v>
      </c>
      <c r="B37">
        <v>456.13</v>
      </c>
      <c r="C37">
        <v>449.25</v>
      </c>
      <c r="D37">
        <v>441.58</v>
      </c>
      <c r="E37">
        <v>433.93</v>
      </c>
      <c r="F37">
        <v>426.32</v>
      </c>
      <c r="G37">
        <v>418.73</v>
      </c>
      <c r="H37">
        <v>411.18</v>
      </c>
      <c r="I37">
        <v>403.65</v>
      </c>
      <c r="J37">
        <v>396.16</v>
      </c>
      <c r="K37">
        <v>388.7</v>
      </c>
      <c r="L37">
        <v>381.28</v>
      </c>
    </row>
    <row r="38" spans="1:12" x14ac:dyDescent="0.15">
      <c r="A38">
        <v>165</v>
      </c>
      <c r="B38">
        <v>466.3</v>
      </c>
      <c r="C38">
        <v>462.96</v>
      </c>
      <c r="D38">
        <v>456.55</v>
      </c>
      <c r="E38">
        <v>448.88</v>
      </c>
      <c r="F38">
        <v>441.23</v>
      </c>
      <c r="G38">
        <v>433.6</v>
      </c>
      <c r="H38">
        <v>426.01</v>
      </c>
      <c r="I38">
        <v>418.45</v>
      </c>
      <c r="J38">
        <v>410.92</v>
      </c>
      <c r="K38">
        <v>403.42</v>
      </c>
      <c r="L38">
        <v>395.95</v>
      </c>
    </row>
    <row r="39" spans="1:12" x14ac:dyDescent="0.15">
      <c r="A39">
        <v>170</v>
      </c>
      <c r="B39">
        <v>471.55</v>
      </c>
      <c r="C39">
        <v>468.97</v>
      </c>
      <c r="D39">
        <v>466.39</v>
      </c>
      <c r="E39">
        <v>462.51</v>
      </c>
      <c r="F39">
        <v>455.59</v>
      </c>
      <c r="G39">
        <v>448.14</v>
      </c>
      <c r="H39">
        <v>440.64</v>
      </c>
      <c r="I39">
        <v>433.14</v>
      </c>
      <c r="J39">
        <v>425.61</v>
      </c>
      <c r="K39">
        <v>418.11</v>
      </c>
      <c r="L39">
        <v>410.62</v>
      </c>
    </row>
    <row r="40" spans="1:12" x14ac:dyDescent="0.15">
      <c r="A40">
        <v>175</v>
      </c>
      <c r="B40">
        <v>476.19</v>
      </c>
      <c r="C40">
        <v>473.61</v>
      </c>
      <c r="D40">
        <v>471.03</v>
      </c>
      <c r="E40">
        <v>468.45</v>
      </c>
      <c r="F40">
        <v>465.06</v>
      </c>
      <c r="G40">
        <v>459.41</v>
      </c>
      <c r="H40">
        <v>452.79</v>
      </c>
      <c r="I40">
        <v>445.83</v>
      </c>
      <c r="J40">
        <v>438.8</v>
      </c>
      <c r="K40">
        <v>431.6</v>
      </c>
      <c r="L40">
        <v>424.18</v>
      </c>
    </row>
    <row r="41" spans="1:12" x14ac:dyDescent="0.15">
      <c r="A41">
        <v>180</v>
      </c>
      <c r="B41">
        <v>480.81</v>
      </c>
      <c r="C41">
        <v>478.24</v>
      </c>
      <c r="D41">
        <v>475.66</v>
      </c>
      <c r="E41">
        <v>473.08</v>
      </c>
      <c r="F41">
        <v>470.5</v>
      </c>
      <c r="G41">
        <v>467.23</v>
      </c>
      <c r="H41">
        <v>462.19</v>
      </c>
      <c r="I41">
        <v>456.32</v>
      </c>
      <c r="J41">
        <v>449.82</v>
      </c>
      <c r="K41">
        <v>443.11</v>
      </c>
      <c r="L41">
        <v>436.16</v>
      </c>
    </row>
    <row r="42" spans="1:12" x14ac:dyDescent="0.15">
      <c r="A42">
        <v>185</v>
      </c>
      <c r="B42">
        <v>485.42</v>
      </c>
      <c r="C42">
        <v>482.85</v>
      </c>
      <c r="D42">
        <v>480.27</v>
      </c>
      <c r="E42">
        <v>477.7</v>
      </c>
      <c r="F42">
        <v>475.12</v>
      </c>
      <c r="G42">
        <v>472.55</v>
      </c>
      <c r="H42">
        <v>469.32</v>
      </c>
      <c r="I42">
        <v>464.75</v>
      </c>
      <c r="J42">
        <v>459.19</v>
      </c>
      <c r="K42">
        <v>453.25</v>
      </c>
      <c r="L42">
        <v>446.87</v>
      </c>
    </row>
    <row r="43" spans="1:12" x14ac:dyDescent="0.15">
      <c r="A43">
        <v>190</v>
      </c>
      <c r="B43">
        <v>490.01</v>
      </c>
      <c r="C43">
        <v>487.44</v>
      </c>
      <c r="D43">
        <v>484.87</v>
      </c>
      <c r="E43">
        <v>482.3</v>
      </c>
      <c r="F43">
        <v>479.73</v>
      </c>
      <c r="G43">
        <v>477.16</v>
      </c>
      <c r="H43">
        <v>474.59</v>
      </c>
      <c r="I43">
        <v>471.35</v>
      </c>
      <c r="J43">
        <v>467.01</v>
      </c>
      <c r="K43">
        <v>461.79</v>
      </c>
      <c r="L43">
        <v>456.12</v>
      </c>
    </row>
    <row r="44" spans="1:12" x14ac:dyDescent="0.15">
      <c r="A44">
        <v>195</v>
      </c>
      <c r="B44">
        <v>494.58</v>
      </c>
      <c r="C44">
        <v>492.02</v>
      </c>
      <c r="D44">
        <v>489.45</v>
      </c>
      <c r="E44">
        <v>486.89</v>
      </c>
      <c r="F44">
        <v>484.32</v>
      </c>
      <c r="G44">
        <v>481.75</v>
      </c>
      <c r="H44">
        <v>479.18</v>
      </c>
      <c r="I44">
        <v>476.61</v>
      </c>
      <c r="J44">
        <v>473.36</v>
      </c>
      <c r="K44">
        <v>469.16</v>
      </c>
      <c r="L44">
        <v>464.34</v>
      </c>
    </row>
    <row r="45" spans="1:12" x14ac:dyDescent="0.15">
      <c r="A45">
        <v>200</v>
      </c>
      <c r="B45">
        <v>499.14</v>
      </c>
      <c r="C45">
        <v>496.58</v>
      </c>
      <c r="D45">
        <v>494.02</v>
      </c>
      <c r="E45">
        <v>491.46</v>
      </c>
      <c r="F45">
        <v>488.89</v>
      </c>
      <c r="G45">
        <v>486.33</v>
      </c>
      <c r="H45">
        <v>483.76</v>
      </c>
      <c r="I45">
        <v>481.2</v>
      </c>
      <c r="J45">
        <v>478.6</v>
      </c>
      <c r="K45">
        <v>475.37</v>
      </c>
      <c r="L45">
        <v>471.3</v>
      </c>
    </row>
    <row r="46" spans="1:12" x14ac:dyDescent="0.15">
      <c r="A46">
        <v>205</v>
      </c>
      <c r="B46">
        <v>503.36</v>
      </c>
      <c r="C46">
        <v>500.81</v>
      </c>
      <c r="D46">
        <v>498.25</v>
      </c>
      <c r="E46">
        <v>495.69</v>
      </c>
      <c r="F46">
        <v>493.12</v>
      </c>
      <c r="G46">
        <v>490.56</v>
      </c>
      <c r="H46">
        <v>487.99</v>
      </c>
      <c r="I46">
        <v>485.43</v>
      </c>
      <c r="J46">
        <v>482.86</v>
      </c>
      <c r="K46">
        <v>480.23</v>
      </c>
      <c r="L46">
        <v>476.94</v>
      </c>
    </row>
    <row r="47" spans="1:12" x14ac:dyDescent="0.15">
      <c r="A47">
        <v>210</v>
      </c>
      <c r="B47">
        <v>507.49</v>
      </c>
      <c r="C47">
        <v>504.94</v>
      </c>
      <c r="D47">
        <v>502.38</v>
      </c>
      <c r="E47">
        <v>499.82</v>
      </c>
      <c r="F47">
        <v>497.26</v>
      </c>
      <c r="G47">
        <v>494.7</v>
      </c>
      <c r="H47">
        <v>492.13</v>
      </c>
      <c r="I47">
        <v>489.56</v>
      </c>
      <c r="J47">
        <v>487</v>
      </c>
      <c r="K47">
        <v>484.43</v>
      </c>
      <c r="L47">
        <v>481.75</v>
      </c>
    </row>
    <row r="48" spans="1:12" x14ac:dyDescent="0.15">
      <c r="A48">
        <v>215</v>
      </c>
      <c r="B48">
        <v>511.6</v>
      </c>
      <c r="C48">
        <v>509.05</v>
      </c>
      <c r="D48">
        <v>506.5</v>
      </c>
      <c r="E48">
        <v>503.94</v>
      </c>
      <c r="F48">
        <v>501.38</v>
      </c>
      <c r="G48">
        <v>498.82</v>
      </c>
      <c r="H48">
        <v>496.25</v>
      </c>
      <c r="I48">
        <v>493.68</v>
      </c>
      <c r="J48">
        <v>491.12</v>
      </c>
      <c r="K48">
        <v>488.55</v>
      </c>
      <c r="L48">
        <v>485.98</v>
      </c>
    </row>
    <row r="49" spans="1:12" x14ac:dyDescent="0.15">
      <c r="A49">
        <v>220</v>
      </c>
      <c r="B49">
        <v>515.69000000000005</v>
      </c>
      <c r="C49">
        <v>513.15</v>
      </c>
      <c r="D49">
        <v>510.6</v>
      </c>
      <c r="E49">
        <v>508.04</v>
      </c>
      <c r="F49">
        <v>505.48</v>
      </c>
      <c r="G49">
        <v>502.92</v>
      </c>
      <c r="H49">
        <v>500.36</v>
      </c>
      <c r="I49">
        <v>497.79</v>
      </c>
      <c r="J49">
        <v>495.22</v>
      </c>
      <c r="K49">
        <v>492.66</v>
      </c>
      <c r="L49">
        <v>490.09</v>
      </c>
    </row>
    <row r="50" spans="1:12" x14ac:dyDescent="0.15">
      <c r="A50">
        <v>225</v>
      </c>
      <c r="B50">
        <v>519.77</v>
      </c>
      <c r="C50">
        <v>517.22</v>
      </c>
      <c r="D50">
        <v>514.67999999999995</v>
      </c>
      <c r="E50">
        <v>512.12</v>
      </c>
      <c r="F50">
        <v>509.57</v>
      </c>
      <c r="G50">
        <v>507.01</v>
      </c>
      <c r="H50">
        <v>504.45</v>
      </c>
      <c r="I50">
        <v>501.88</v>
      </c>
      <c r="J50">
        <v>499.32</v>
      </c>
      <c r="K50">
        <v>496.75</v>
      </c>
      <c r="L50">
        <v>494.18</v>
      </c>
    </row>
    <row r="51" spans="1:12" x14ac:dyDescent="0.15">
      <c r="A51">
        <v>230</v>
      </c>
      <c r="B51">
        <v>523.82000000000005</v>
      </c>
      <c r="C51">
        <v>521.28</v>
      </c>
      <c r="D51">
        <v>518.74</v>
      </c>
      <c r="E51">
        <v>516.19000000000005</v>
      </c>
      <c r="F51">
        <v>513.64</v>
      </c>
      <c r="G51">
        <v>511.08</v>
      </c>
      <c r="H51">
        <v>508.52</v>
      </c>
      <c r="I51">
        <v>505.96</v>
      </c>
      <c r="J51">
        <v>503.39</v>
      </c>
      <c r="K51">
        <v>500.83</v>
      </c>
      <c r="L51">
        <v>498.26</v>
      </c>
    </row>
    <row r="52" spans="1:12" x14ac:dyDescent="0.15">
      <c r="A52">
        <v>235</v>
      </c>
      <c r="B52">
        <v>527.85</v>
      </c>
      <c r="C52">
        <v>525.32000000000005</v>
      </c>
      <c r="D52">
        <v>522.78</v>
      </c>
      <c r="E52">
        <v>520.24</v>
      </c>
      <c r="F52">
        <v>517.69000000000005</v>
      </c>
      <c r="G52">
        <v>515.14</v>
      </c>
      <c r="H52">
        <v>512.58000000000004</v>
      </c>
      <c r="I52">
        <v>510.02</v>
      </c>
      <c r="J52">
        <v>507.45</v>
      </c>
      <c r="K52">
        <v>504.89</v>
      </c>
      <c r="L52">
        <v>502.32</v>
      </c>
    </row>
    <row r="53" spans="1:12" x14ac:dyDescent="0.15">
      <c r="A53">
        <v>240</v>
      </c>
      <c r="B53">
        <v>531.86</v>
      </c>
      <c r="C53">
        <v>529.34</v>
      </c>
      <c r="D53">
        <v>526.79999999999995</v>
      </c>
      <c r="E53">
        <v>524.26</v>
      </c>
      <c r="F53">
        <v>521.72</v>
      </c>
      <c r="G53">
        <v>519.16999999999996</v>
      </c>
      <c r="H53">
        <v>516.62</v>
      </c>
      <c r="I53">
        <v>514.05999999999995</v>
      </c>
      <c r="J53">
        <v>511.5</v>
      </c>
      <c r="K53">
        <v>508.93</v>
      </c>
      <c r="L53">
        <v>506.37</v>
      </c>
    </row>
    <row r="54" spans="1:12" x14ac:dyDescent="0.15">
      <c r="A54">
        <v>245</v>
      </c>
      <c r="B54">
        <v>535.85</v>
      </c>
      <c r="C54">
        <v>533.33000000000004</v>
      </c>
      <c r="D54">
        <v>530.79999999999995</v>
      </c>
      <c r="E54">
        <v>528.27</v>
      </c>
      <c r="F54">
        <v>525.73</v>
      </c>
      <c r="G54">
        <v>523.19000000000005</v>
      </c>
      <c r="H54">
        <v>520.64</v>
      </c>
      <c r="I54">
        <v>518.08000000000004</v>
      </c>
      <c r="J54">
        <v>515.53</v>
      </c>
      <c r="K54">
        <v>512.96</v>
      </c>
      <c r="L54">
        <v>510.4</v>
      </c>
    </row>
    <row r="55" spans="1:12" x14ac:dyDescent="0.15">
      <c r="A55">
        <v>250</v>
      </c>
      <c r="B55">
        <v>539.82000000000005</v>
      </c>
      <c r="C55">
        <v>537.30999999999995</v>
      </c>
      <c r="D55">
        <v>534.78</v>
      </c>
      <c r="E55">
        <v>532.26</v>
      </c>
      <c r="F55">
        <v>529.72</v>
      </c>
      <c r="G55">
        <v>527.17999999999995</v>
      </c>
      <c r="H55">
        <v>524.64</v>
      </c>
      <c r="I55">
        <v>522.09</v>
      </c>
      <c r="J55">
        <v>519.53</v>
      </c>
      <c r="K55">
        <v>516.97</v>
      </c>
      <c r="L55">
        <v>514.41</v>
      </c>
    </row>
    <row r="56" spans="1:12" x14ac:dyDescent="0.15">
      <c r="A56">
        <v>255</v>
      </c>
      <c r="B56">
        <v>543.76</v>
      </c>
      <c r="C56">
        <v>541.26</v>
      </c>
      <c r="D56">
        <v>538.74</v>
      </c>
      <c r="E56">
        <v>536.22</v>
      </c>
      <c r="F56">
        <v>533.69000000000005</v>
      </c>
      <c r="G56">
        <v>531.16</v>
      </c>
      <c r="H56">
        <v>528.62</v>
      </c>
      <c r="I56">
        <v>526.07000000000005</v>
      </c>
      <c r="J56">
        <v>523.52</v>
      </c>
      <c r="K56">
        <v>520.97</v>
      </c>
      <c r="L56">
        <v>518.41</v>
      </c>
    </row>
    <row r="57" spans="1:12" x14ac:dyDescent="0.15">
      <c r="A57">
        <v>260</v>
      </c>
      <c r="B57">
        <v>547.67999999999995</v>
      </c>
      <c r="C57">
        <v>545.17999999999995</v>
      </c>
      <c r="D57">
        <v>542.67999999999995</v>
      </c>
      <c r="E57">
        <v>540.16</v>
      </c>
      <c r="F57">
        <v>537.64</v>
      </c>
      <c r="G57">
        <v>535.11</v>
      </c>
      <c r="H57">
        <v>532.58000000000004</v>
      </c>
      <c r="I57">
        <v>530.04</v>
      </c>
      <c r="J57">
        <v>527.49</v>
      </c>
      <c r="K57">
        <v>524.94000000000005</v>
      </c>
      <c r="L57">
        <v>522.39</v>
      </c>
    </row>
    <row r="58" spans="1:12" x14ac:dyDescent="0.15">
      <c r="A58">
        <v>265</v>
      </c>
      <c r="B58">
        <v>551.58000000000004</v>
      </c>
      <c r="C58">
        <v>549.09</v>
      </c>
      <c r="D58">
        <v>546.59</v>
      </c>
      <c r="E58">
        <v>544.08000000000004</v>
      </c>
      <c r="F58">
        <v>541.57000000000005</v>
      </c>
      <c r="G58">
        <v>539.04999999999995</v>
      </c>
      <c r="H58">
        <v>536.52</v>
      </c>
      <c r="I58">
        <v>533.98</v>
      </c>
      <c r="J58">
        <v>531.44000000000005</v>
      </c>
      <c r="K58">
        <v>528.9</v>
      </c>
      <c r="L58">
        <v>526.34</v>
      </c>
    </row>
    <row r="59" spans="1:12" x14ac:dyDescent="0.15">
      <c r="A59">
        <v>270</v>
      </c>
      <c r="B59">
        <v>555.45000000000005</v>
      </c>
      <c r="C59">
        <v>552.97</v>
      </c>
      <c r="D59">
        <v>550.48</v>
      </c>
      <c r="E59">
        <v>547.98</v>
      </c>
      <c r="F59">
        <v>545.47</v>
      </c>
      <c r="G59">
        <v>542.95000000000005</v>
      </c>
      <c r="H59">
        <v>540.42999999999995</v>
      </c>
      <c r="I59">
        <v>537.9</v>
      </c>
      <c r="J59">
        <v>535.37</v>
      </c>
      <c r="K59">
        <v>532.83000000000004</v>
      </c>
      <c r="L59">
        <v>530.28</v>
      </c>
    </row>
    <row r="60" spans="1:12" x14ac:dyDescent="0.15">
      <c r="A60">
        <v>275</v>
      </c>
      <c r="B60">
        <v>559.29999999999995</v>
      </c>
      <c r="C60">
        <v>556.82000000000005</v>
      </c>
      <c r="D60">
        <v>554.34</v>
      </c>
      <c r="E60">
        <v>551.85</v>
      </c>
      <c r="F60">
        <v>549.35</v>
      </c>
      <c r="G60">
        <v>546.84</v>
      </c>
      <c r="H60">
        <v>544.33000000000004</v>
      </c>
      <c r="I60">
        <v>541.79999999999995</v>
      </c>
      <c r="J60">
        <v>539.28</v>
      </c>
      <c r="K60">
        <v>536.74</v>
      </c>
      <c r="L60">
        <v>534.20000000000005</v>
      </c>
    </row>
    <row r="61" spans="1:12" x14ac:dyDescent="0.15">
      <c r="A61">
        <v>280</v>
      </c>
      <c r="B61">
        <v>563.12</v>
      </c>
      <c r="C61">
        <v>560.65</v>
      </c>
      <c r="D61">
        <v>558.17999999999995</v>
      </c>
      <c r="E61">
        <v>555.69000000000005</v>
      </c>
      <c r="F61">
        <v>553.20000000000005</v>
      </c>
      <c r="G61">
        <v>550.70000000000005</v>
      </c>
      <c r="H61">
        <v>548.20000000000005</v>
      </c>
      <c r="I61">
        <v>545.67999999999995</v>
      </c>
      <c r="J61">
        <v>543.16</v>
      </c>
      <c r="K61">
        <v>540.63</v>
      </c>
      <c r="L61">
        <v>538.1</v>
      </c>
    </row>
    <row r="62" spans="1:12" x14ac:dyDescent="0.15">
      <c r="A62">
        <v>285</v>
      </c>
      <c r="B62">
        <v>566.91</v>
      </c>
      <c r="C62">
        <v>564.45000000000005</v>
      </c>
      <c r="D62">
        <v>561.99</v>
      </c>
      <c r="E62">
        <v>559.52</v>
      </c>
      <c r="F62">
        <v>557.03</v>
      </c>
      <c r="G62">
        <v>554.54</v>
      </c>
      <c r="H62">
        <v>552.04</v>
      </c>
      <c r="I62">
        <v>549.54</v>
      </c>
      <c r="J62">
        <v>547.02</v>
      </c>
      <c r="K62">
        <v>544.5</v>
      </c>
      <c r="L62">
        <v>541.97</v>
      </c>
    </row>
    <row r="63" spans="1:12" x14ac:dyDescent="0.15">
      <c r="A63">
        <v>290</v>
      </c>
      <c r="B63">
        <v>570.66999999999996</v>
      </c>
      <c r="C63">
        <v>568.23</v>
      </c>
      <c r="D63">
        <v>565.78</v>
      </c>
      <c r="E63">
        <v>563.30999999999995</v>
      </c>
      <c r="F63">
        <v>560.84</v>
      </c>
      <c r="G63">
        <v>558.36</v>
      </c>
      <c r="H63">
        <v>555.87</v>
      </c>
      <c r="I63">
        <v>553.37</v>
      </c>
      <c r="J63">
        <v>550.86</v>
      </c>
      <c r="K63">
        <v>548.34</v>
      </c>
      <c r="L63">
        <v>545.82000000000005</v>
      </c>
    </row>
    <row r="64" spans="1:12" x14ac:dyDescent="0.15">
      <c r="A64">
        <v>295</v>
      </c>
      <c r="B64">
        <v>574.41</v>
      </c>
      <c r="C64">
        <v>571.98</v>
      </c>
      <c r="D64">
        <v>569.53</v>
      </c>
      <c r="E64">
        <v>567.08000000000004</v>
      </c>
      <c r="F64">
        <v>564.62</v>
      </c>
      <c r="G64">
        <v>562.14</v>
      </c>
      <c r="H64">
        <v>559.66</v>
      </c>
      <c r="I64">
        <v>557.16999999999996</v>
      </c>
      <c r="J64">
        <v>554.66999999999996</v>
      </c>
      <c r="K64">
        <v>552.16999999999996</v>
      </c>
      <c r="L64">
        <v>549.65</v>
      </c>
    </row>
    <row r="65" spans="1:12" x14ac:dyDescent="0.15">
      <c r="A65">
        <v>300</v>
      </c>
      <c r="B65">
        <v>578.12</v>
      </c>
      <c r="C65">
        <v>575.70000000000005</v>
      </c>
      <c r="D65">
        <v>573.27</v>
      </c>
      <c r="E65">
        <v>570.82000000000005</v>
      </c>
      <c r="F65">
        <v>568.37</v>
      </c>
      <c r="G65">
        <v>565.91</v>
      </c>
      <c r="H65">
        <v>563.42999999999995</v>
      </c>
      <c r="I65">
        <v>560.95000000000005</v>
      </c>
      <c r="J65">
        <v>558.46</v>
      </c>
      <c r="K65">
        <v>555.96</v>
      </c>
      <c r="L65">
        <v>553.46</v>
      </c>
    </row>
    <row r="66" spans="1:12" x14ac:dyDescent="0.15">
      <c r="A66">
        <v>305</v>
      </c>
      <c r="B66">
        <v>581.79999999999995</v>
      </c>
      <c r="C66">
        <v>579.39</v>
      </c>
      <c r="D66">
        <v>576.97</v>
      </c>
      <c r="E66">
        <v>574.54</v>
      </c>
      <c r="F66">
        <v>572.1</v>
      </c>
      <c r="G66">
        <v>569.64</v>
      </c>
      <c r="H66">
        <v>567.17999999999995</v>
      </c>
      <c r="I66">
        <v>564.71</v>
      </c>
      <c r="J66">
        <v>562.23</v>
      </c>
      <c r="K66">
        <v>559.74</v>
      </c>
      <c r="L66">
        <v>557.24</v>
      </c>
    </row>
    <row r="67" spans="1:12" x14ac:dyDescent="0.15">
      <c r="A67">
        <v>310</v>
      </c>
      <c r="B67">
        <v>585.46</v>
      </c>
      <c r="C67">
        <v>583.05999999999995</v>
      </c>
      <c r="D67">
        <v>580.65</v>
      </c>
      <c r="E67">
        <v>578.23</v>
      </c>
      <c r="F67">
        <v>575.79</v>
      </c>
      <c r="G67">
        <v>573.35</v>
      </c>
      <c r="H67">
        <v>570.9</v>
      </c>
      <c r="I67">
        <v>568.44000000000005</v>
      </c>
      <c r="J67">
        <v>565.96</v>
      </c>
      <c r="K67">
        <v>563.48</v>
      </c>
      <c r="L67">
        <v>560.99</v>
      </c>
    </row>
    <row r="68" spans="1:12" x14ac:dyDescent="0.15">
      <c r="A68">
        <v>315</v>
      </c>
      <c r="B68">
        <v>589.08000000000004</v>
      </c>
      <c r="C68">
        <v>586.69000000000005</v>
      </c>
      <c r="D68">
        <v>584.29</v>
      </c>
      <c r="E68">
        <v>581.88</v>
      </c>
      <c r="F68">
        <v>579.46</v>
      </c>
      <c r="G68">
        <v>577.03</v>
      </c>
      <c r="H68">
        <v>574.59</v>
      </c>
      <c r="I68">
        <v>572.14</v>
      </c>
      <c r="J68">
        <v>569.67999999999995</v>
      </c>
      <c r="K68">
        <v>567.21</v>
      </c>
      <c r="L68">
        <v>564.72</v>
      </c>
    </row>
    <row r="69" spans="1:12" x14ac:dyDescent="0.15">
      <c r="A69">
        <v>320</v>
      </c>
      <c r="B69">
        <v>592.66999999999996</v>
      </c>
      <c r="C69">
        <v>590.29999999999995</v>
      </c>
      <c r="D69">
        <v>587.91</v>
      </c>
      <c r="E69">
        <v>585.51</v>
      </c>
      <c r="F69">
        <v>583.11</v>
      </c>
      <c r="G69">
        <v>580.69000000000005</v>
      </c>
      <c r="H69">
        <v>578.26</v>
      </c>
      <c r="I69">
        <v>575.80999999999995</v>
      </c>
      <c r="J69">
        <v>573.36</v>
      </c>
      <c r="K69">
        <v>570.9</v>
      </c>
      <c r="L69">
        <v>568.42999999999995</v>
      </c>
    </row>
    <row r="70" spans="1:12" x14ac:dyDescent="0.15">
      <c r="A70">
        <v>325</v>
      </c>
      <c r="B70">
        <v>596.23</v>
      </c>
      <c r="C70">
        <v>593.87</v>
      </c>
      <c r="D70">
        <v>591.5</v>
      </c>
      <c r="E70">
        <v>589.12</v>
      </c>
      <c r="F70">
        <v>586.72</v>
      </c>
      <c r="G70">
        <v>584.30999999999995</v>
      </c>
      <c r="H70">
        <v>581.89</v>
      </c>
      <c r="I70">
        <v>579.46</v>
      </c>
      <c r="J70">
        <v>577.02</v>
      </c>
      <c r="K70">
        <v>574.57000000000005</v>
      </c>
      <c r="L70">
        <v>572.11</v>
      </c>
    </row>
    <row r="71" spans="1:12" x14ac:dyDescent="0.15">
      <c r="A71">
        <v>330</v>
      </c>
      <c r="B71">
        <v>599.77</v>
      </c>
      <c r="C71">
        <v>597.41999999999996</v>
      </c>
      <c r="D71">
        <v>595.05999999999995</v>
      </c>
      <c r="E71">
        <v>592.69000000000005</v>
      </c>
      <c r="F71">
        <v>590.29999999999995</v>
      </c>
      <c r="G71">
        <v>587.91</v>
      </c>
      <c r="H71">
        <v>585.5</v>
      </c>
      <c r="I71">
        <v>583.08000000000004</v>
      </c>
      <c r="J71">
        <v>580.65</v>
      </c>
      <c r="K71">
        <v>578.21</v>
      </c>
      <c r="L71">
        <v>575.76</v>
      </c>
    </row>
    <row r="72" spans="1:12" x14ac:dyDescent="0.15">
      <c r="A72">
        <v>335</v>
      </c>
      <c r="B72">
        <v>603.27</v>
      </c>
      <c r="C72">
        <v>600.92999999999995</v>
      </c>
      <c r="D72">
        <v>598.59</v>
      </c>
      <c r="E72">
        <v>596.23</v>
      </c>
      <c r="F72">
        <v>593.86</v>
      </c>
      <c r="G72">
        <v>591.47</v>
      </c>
      <c r="H72">
        <v>589.08000000000004</v>
      </c>
      <c r="I72">
        <v>586.66999999999996</v>
      </c>
      <c r="J72">
        <v>584.25</v>
      </c>
      <c r="K72">
        <v>581.82000000000005</v>
      </c>
      <c r="L72">
        <v>579.39</v>
      </c>
    </row>
    <row r="73" spans="1:12" x14ac:dyDescent="0.15">
      <c r="A73">
        <v>340</v>
      </c>
      <c r="B73">
        <v>606.74</v>
      </c>
      <c r="C73">
        <v>604.41999999999996</v>
      </c>
      <c r="D73">
        <v>602.08000000000004</v>
      </c>
      <c r="E73">
        <v>599.74</v>
      </c>
      <c r="F73">
        <v>597.38</v>
      </c>
      <c r="G73">
        <v>595.01</v>
      </c>
      <c r="H73">
        <v>592.63</v>
      </c>
      <c r="I73">
        <v>590.23</v>
      </c>
      <c r="J73">
        <v>587.83000000000004</v>
      </c>
      <c r="K73">
        <v>585.41</v>
      </c>
      <c r="L73">
        <v>582.98</v>
      </c>
    </row>
    <row r="74" spans="1:12" x14ac:dyDescent="0.15">
      <c r="A74">
        <v>345</v>
      </c>
      <c r="B74">
        <v>610.16999999999996</v>
      </c>
      <c r="C74">
        <v>607.87</v>
      </c>
      <c r="D74">
        <v>605.54999999999995</v>
      </c>
      <c r="E74">
        <v>603.22</v>
      </c>
      <c r="F74">
        <v>600.87</v>
      </c>
      <c r="G74">
        <v>598.52</v>
      </c>
      <c r="H74">
        <v>596.15</v>
      </c>
      <c r="I74">
        <v>593.77</v>
      </c>
      <c r="J74">
        <v>591.37</v>
      </c>
      <c r="K74">
        <v>588.97</v>
      </c>
      <c r="L74">
        <v>586.54999999999995</v>
      </c>
    </row>
    <row r="75" spans="1:12" x14ac:dyDescent="0.15">
      <c r="A75">
        <v>350</v>
      </c>
      <c r="B75">
        <v>613.58000000000004</v>
      </c>
      <c r="C75">
        <v>611.29</v>
      </c>
      <c r="D75">
        <v>608.98</v>
      </c>
      <c r="E75">
        <v>606.66999999999996</v>
      </c>
      <c r="F75">
        <v>604.34</v>
      </c>
      <c r="G75">
        <v>601.99</v>
      </c>
      <c r="H75">
        <v>599.64</v>
      </c>
      <c r="I75">
        <v>597.27</v>
      </c>
      <c r="J75">
        <v>594.89</v>
      </c>
      <c r="K75">
        <v>592.49</v>
      </c>
      <c r="L75">
        <v>590.09</v>
      </c>
    </row>
    <row r="76" spans="1:12" x14ac:dyDescent="0.15">
      <c r="A76">
        <v>355</v>
      </c>
      <c r="B76">
        <v>616.95000000000005</v>
      </c>
      <c r="C76">
        <v>614.66999999999996</v>
      </c>
      <c r="D76">
        <v>612.39</v>
      </c>
      <c r="E76">
        <v>610.08000000000004</v>
      </c>
      <c r="F76">
        <v>607.77</v>
      </c>
      <c r="G76">
        <v>605.44000000000005</v>
      </c>
      <c r="H76">
        <v>603.1</v>
      </c>
      <c r="I76">
        <v>600.74</v>
      </c>
      <c r="J76">
        <v>598.37</v>
      </c>
      <c r="K76">
        <v>595.99</v>
      </c>
      <c r="L76">
        <v>593.6</v>
      </c>
    </row>
    <row r="77" spans="1:12" x14ac:dyDescent="0.15">
      <c r="A77">
        <v>360</v>
      </c>
      <c r="B77">
        <v>620.29</v>
      </c>
      <c r="C77">
        <v>618.03</v>
      </c>
      <c r="D77">
        <v>615.75</v>
      </c>
      <c r="E77">
        <v>613.47</v>
      </c>
      <c r="F77">
        <v>611.16999999999996</v>
      </c>
      <c r="G77">
        <v>608.85</v>
      </c>
      <c r="H77">
        <v>606.52</v>
      </c>
      <c r="I77">
        <v>604.17999999999995</v>
      </c>
      <c r="J77">
        <v>601.83000000000004</v>
      </c>
      <c r="K77">
        <v>599.46</v>
      </c>
      <c r="L77">
        <v>597.08000000000004</v>
      </c>
    </row>
    <row r="78" spans="1:12" x14ac:dyDescent="0.15">
      <c r="A78">
        <v>365</v>
      </c>
      <c r="B78">
        <v>623.59</v>
      </c>
      <c r="C78">
        <v>621.35</v>
      </c>
      <c r="D78">
        <v>619.09</v>
      </c>
      <c r="E78">
        <v>616.82000000000005</v>
      </c>
      <c r="F78">
        <v>614.53</v>
      </c>
      <c r="G78">
        <v>612.23</v>
      </c>
      <c r="H78">
        <v>609.91999999999996</v>
      </c>
      <c r="I78">
        <v>607.59</v>
      </c>
      <c r="J78">
        <v>605.25</v>
      </c>
      <c r="K78">
        <v>602.9</v>
      </c>
      <c r="L78">
        <v>600.53</v>
      </c>
    </row>
    <row r="79" spans="1:12" x14ac:dyDescent="0.15">
      <c r="A79">
        <v>370</v>
      </c>
      <c r="B79">
        <v>626.86</v>
      </c>
      <c r="C79">
        <v>624.64</v>
      </c>
      <c r="D79">
        <v>622.4</v>
      </c>
      <c r="E79">
        <v>620.14</v>
      </c>
      <c r="F79">
        <v>617.87</v>
      </c>
      <c r="G79">
        <v>615.58000000000004</v>
      </c>
      <c r="H79">
        <v>613.28</v>
      </c>
      <c r="I79">
        <v>610.97</v>
      </c>
      <c r="J79">
        <v>608.65</v>
      </c>
      <c r="K79">
        <v>606.30999999999995</v>
      </c>
      <c r="L79">
        <v>603.95000000000005</v>
      </c>
    </row>
    <row r="80" spans="1:12" x14ac:dyDescent="0.15">
      <c r="A80">
        <v>375</v>
      </c>
      <c r="B80">
        <v>630.1</v>
      </c>
      <c r="C80">
        <v>627.89</v>
      </c>
      <c r="D80">
        <v>625.66999999999996</v>
      </c>
      <c r="E80">
        <v>623.41999999999996</v>
      </c>
      <c r="F80">
        <v>621.16999999999996</v>
      </c>
      <c r="G80">
        <v>618.9</v>
      </c>
      <c r="H80">
        <v>616.62</v>
      </c>
      <c r="I80">
        <v>614.32000000000005</v>
      </c>
      <c r="J80">
        <v>612.01</v>
      </c>
      <c r="K80">
        <v>609.67999999999995</v>
      </c>
      <c r="L80">
        <v>607.34</v>
      </c>
    </row>
    <row r="81" spans="1:12" x14ac:dyDescent="0.15">
      <c r="A81">
        <v>380</v>
      </c>
      <c r="B81">
        <v>633.30999999999995</v>
      </c>
      <c r="C81">
        <v>631.11</v>
      </c>
      <c r="D81">
        <v>628.9</v>
      </c>
      <c r="E81">
        <v>626.67999999999995</v>
      </c>
      <c r="F81">
        <v>624.44000000000005</v>
      </c>
      <c r="G81">
        <v>622.19000000000005</v>
      </c>
      <c r="H81">
        <v>619.91999999999996</v>
      </c>
      <c r="I81">
        <v>617.63</v>
      </c>
      <c r="J81">
        <v>615.34</v>
      </c>
      <c r="K81">
        <v>613.03</v>
      </c>
      <c r="L81">
        <v>610.70000000000005</v>
      </c>
    </row>
    <row r="82" spans="1:12" x14ac:dyDescent="0.15">
      <c r="A82">
        <v>385</v>
      </c>
      <c r="B82">
        <v>636.47</v>
      </c>
      <c r="C82">
        <v>634.29999999999995</v>
      </c>
      <c r="D82">
        <v>632.1</v>
      </c>
      <c r="E82">
        <v>629.9</v>
      </c>
      <c r="F82">
        <v>627.66999999999996</v>
      </c>
      <c r="G82">
        <v>625.44000000000005</v>
      </c>
      <c r="H82">
        <v>623.17999999999995</v>
      </c>
      <c r="I82">
        <v>620.91999999999996</v>
      </c>
      <c r="J82">
        <v>618.64</v>
      </c>
      <c r="K82">
        <v>616.34</v>
      </c>
      <c r="L82">
        <v>614.03</v>
      </c>
    </row>
    <row r="83" spans="1:12" x14ac:dyDescent="0.15">
      <c r="A83">
        <v>390</v>
      </c>
      <c r="B83">
        <v>639.61</v>
      </c>
      <c r="C83">
        <v>637.45000000000005</v>
      </c>
      <c r="D83">
        <v>635.27</v>
      </c>
      <c r="E83">
        <v>633.08000000000004</v>
      </c>
      <c r="F83">
        <v>630.88</v>
      </c>
      <c r="G83">
        <v>628.65</v>
      </c>
      <c r="H83">
        <v>626.41999999999996</v>
      </c>
      <c r="I83">
        <v>624.16999999999996</v>
      </c>
      <c r="J83">
        <v>621.9</v>
      </c>
      <c r="K83">
        <v>619.62</v>
      </c>
      <c r="L83">
        <v>617.33000000000004</v>
      </c>
    </row>
    <row r="84" spans="1:12" x14ac:dyDescent="0.15">
      <c r="A84">
        <v>395</v>
      </c>
      <c r="B84">
        <v>642.71</v>
      </c>
      <c r="C84">
        <v>640.55999999999995</v>
      </c>
      <c r="D84">
        <v>638.41</v>
      </c>
      <c r="E84">
        <v>636.23</v>
      </c>
      <c r="F84">
        <v>634.04</v>
      </c>
      <c r="G84">
        <v>631.84</v>
      </c>
      <c r="H84">
        <v>629.62</v>
      </c>
      <c r="I84">
        <v>627.38</v>
      </c>
      <c r="J84">
        <v>625.13</v>
      </c>
      <c r="K84">
        <v>622.87</v>
      </c>
      <c r="L84">
        <v>620.59</v>
      </c>
    </row>
    <row r="85" spans="1:12" x14ac:dyDescent="0.15">
      <c r="A85">
        <v>400</v>
      </c>
      <c r="B85">
        <v>645.77</v>
      </c>
      <c r="C85">
        <v>643.65</v>
      </c>
      <c r="D85">
        <v>641.51</v>
      </c>
      <c r="E85">
        <v>639.35</v>
      </c>
      <c r="F85">
        <v>637.17999999999995</v>
      </c>
      <c r="G85">
        <v>634.99</v>
      </c>
      <c r="H85">
        <v>632.79</v>
      </c>
      <c r="I85">
        <v>630.57000000000005</v>
      </c>
      <c r="J85">
        <v>628.33000000000004</v>
      </c>
      <c r="K85">
        <v>626.09</v>
      </c>
      <c r="L85">
        <v>623.82000000000005</v>
      </c>
    </row>
    <row r="86" spans="1:12" x14ac:dyDescent="0.15">
      <c r="A86">
        <v>405</v>
      </c>
      <c r="B86">
        <v>648.79999999999995</v>
      </c>
      <c r="C86">
        <v>646.69000000000005</v>
      </c>
      <c r="D86">
        <v>644.57000000000005</v>
      </c>
      <c r="E86">
        <v>642.42999999999995</v>
      </c>
      <c r="F86">
        <v>640.28</v>
      </c>
      <c r="G86">
        <v>638.11</v>
      </c>
      <c r="H86">
        <v>635.91999999999996</v>
      </c>
      <c r="I86">
        <v>633.72</v>
      </c>
      <c r="J86">
        <v>631.5</v>
      </c>
      <c r="K86">
        <v>629.27</v>
      </c>
      <c r="L86">
        <v>627.02</v>
      </c>
    </row>
    <row r="87" spans="1:12" x14ac:dyDescent="0.15">
      <c r="A87">
        <v>410</v>
      </c>
      <c r="B87">
        <v>651.79</v>
      </c>
      <c r="C87">
        <v>649.70000000000005</v>
      </c>
      <c r="D87">
        <v>647.6</v>
      </c>
      <c r="E87">
        <v>645.48</v>
      </c>
      <c r="F87">
        <v>643.34</v>
      </c>
      <c r="G87">
        <v>641.19000000000005</v>
      </c>
      <c r="H87">
        <v>639.02</v>
      </c>
      <c r="I87">
        <v>636.83000000000004</v>
      </c>
      <c r="J87">
        <v>634.63</v>
      </c>
      <c r="K87">
        <v>632.41999999999996</v>
      </c>
      <c r="L87">
        <v>630.19000000000005</v>
      </c>
    </row>
    <row r="88" spans="1:12" x14ac:dyDescent="0.15">
      <c r="A88">
        <v>415</v>
      </c>
      <c r="B88">
        <v>654.74</v>
      </c>
      <c r="C88">
        <v>652.67999999999995</v>
      </c>
      <c r="D88">
        <v>650.59</v>
      </c>
      <c r="E88">
        <v>648.49</v>
      </c>
      <c r="F88">
        <v>646.37</v>
      </c>
      <c r="G88">
        <v>644.23</v>
      </c>
      <c r="H88">
        <v>642.08000000000004</v>
      </c>
      <c r="I88">
        <v>639.91999999999996</v>
      </c>
      <c r="J88">
        <v>637.73</v>
      </c>
      <c r="K88">
        <v>635.53</v>
      </c>
      <c r="L88">
        <v>633.32000000000005</v>
      </c>
    </row>
    <row r="89" spans="1:12" x14ac:dyDescent="0.15">
      <c r="A89">
        <v>420</v>
      </c>
      <c r="B89">
        <v>657.66</v>
      </c>
      <c r="C89">
        <v>655.61</v>
      </c>
      <c r="D89">
        <v>653.54999999999995</v>
      </c>
      <c r="E89">
        <v>651.46</v>
      </c>
      <c r="F89">
        <v>649.36</v>
      </c>
      <c r="G89">
        <v>647.25</v>
      </c>
      <c r="H89">
        <v>645.11</v>
      </c>
      <c r="I89">
        <v>642.96</v>
      </c>
      <c r="J89">
        <v>640.79999999999995</v>
      </c>
      <c r="K89">
        <v>638.62</v>
      </c>
      <c r="L89">
        <v>636.41999999999996</v>
      </c>
    </row>
    <row r="90" spans="1:12" x14ac:dyDescent="0.15">
      <c r="A90">
        <v>425</v>
      </c>
      <c r="B90">
        <v>660.55</v>
      </c>
      <c r="C90">
        <v>658.52</v>
      </c>
      <c r="D90">
        <v>656.47</v>
      </c>
      <c r="E90">
        <v>654.4</v>
      </c>
      <c r="F90">
        <v>652.32000000000005</v>
      </c>
      <c r="G90">
        <v>650.22</v>
      </c>
      <c r="H90">
        <v>648.11</v>
      </c>
      <c r="I90">
        <v>645.98</v>
      </c>
      <c r="J90">
        <v>643.83000000000004</v>
      </c>
      <c r="K90">
        <v>641.66</v>
      </c>
      <c r="L90">
        <v>639.48</v>
      </c>
    </row>
    <row r="91" spans="1:12" x14ac:dyDescent="0.15">
      <c r="A91">
        <v>430</v>
      </c>
      <c r="B91">
        <v>663.39</v>
      </c>
      <c r="C91">
        <v>661.38</v>
      </c>
      <c r="D91">
        <v>659.35</v>
      </c>
      <c r="E91">
        <v>657.31</v>
      </c>
      <c r="F91">
        <v>655.25</v>
      </c>
      <c r="G91">
        <v>653.16999999999996</v>
      </c>
      <c r="H91">
        <v>651.07000000000005</v>
      </c>
      <c r="I91">
        <v>648.95000000000005</v>
      </c>
      <c r="J91">
        <v>646.82000000000005</v>
      </c>
      <c r="K91">
        <v>644.67999999999995</v>
      </c>
      <c r="L91">
        <v>642.52</v>
      </c>
    </row>
    <row r="92" spans="1:12" x14ac:dyDescent="0.15">
      <c r="A92">
        <v>435</v>
      </c>
      <c r="B92">
        <v>666.2</v>
      </c>
      <c r="C92">
        <v>664.21</v>
      </c>
      <c r="D92">
        <v>662.2</v>
      </c>
      <c r="E92">
        <v>660.18</v>
      </c>
      <c r="F92">
        <v>658.13</v>
      </c>
      <c r="G92">
        <v>656.07</v>
      </c>
      <c r="H92">
        <v>653.99</v>
      </c>
      <c r="I92">
        <v>651.9</v>
      </c>
      <c r="J92">
        <v>649.79</v>
      </c>
      <c r="K92">
        <v>647.66</v>
      </c>
      <c r="L92">
        <v>645.51</v>
      </c>
    </row>
    <row r="93" spans="1:12" x14ac:dyDescent="0.15">
      <c r="A93">
        <v>440</v>
      </c>
      <c r="B93">
        <v>668.97</v>
      </c>
      <c r="C93">
        <v>667</v>
      </c>
      <c r="D93">
        <v>665.01</v>
      </c>
      <c r="E93">
        <v>663.01</v>
      </c>
      <c r="F93">
        <v>660.98</v>
      </c>
      <c r="G93">
        <v>658.94</v>
      </c>
      <c r="H93">
        <v>656.88</v>
      </c>
      <c r="I93">
        <v>654.80999999999995</v>
      </c>
      <c r="J93">
        <v>652.71</v>
      </c>
      <c r="K93">
        <v>650.6</v>
      </c>
      <c r="L93">
        <v>648.47</v>
      </c>
    </row>
    <row r="94" spans="1:12" x14ac:dyDescent="0.15">
      <c r="A94">
        <v>445</v>
      </c>
      <c r="B94">
        <v>671.71</v>
      </c>
      <c r="C94">
        <v>669.76</v>
      </c>
      <c r="D94">
        <v>667.79</v>
      </c>
      <c r="E94">
        <v>665.8</v>
      </c>
      <c r="F94">
        <v>663.8</v>
      </c>
      <c r="G94">
        <v>661.77</v>
      </c>
      <c r="H94">
        <v>659.73</v>
      </c>
      <c r="I94">
        <v>657.68</v>
      </c>
      <c r="J94">
        <v>655.6</v>
      </c>
      <c r="K94">
        <v>653.51</v>
      </c>
      <c r="L94">
        <v>651.4</v>
      </c>
    </row>
    <row r="95" spans="1:12" x14ac:dyDescent="0.15">
      <c r="A95">
        <v>450</v>
      </c>
      <c r="B95">
        <v>674.41</v>
      </c>
      <c r="C95">
        <v>672.48</v>
      </c>
      <c r="D95">
        <v>670.53</v>
      </c>
      <c r="E95">
        <v>668.56</v>
      </c>
      <c r="F95">
        <v>666.58</v>
      </c>
      <c r="G95">
        <v>664.57</v>
      </c>
      <c r="H95">
        <v>662.55</v>
      </c>
      <c r="I95">
        <v>660.51</v>
      </c>
      <c r="J95">
        <v>658.46</v>
      </c>
      <c r="K95">
        <v>656.38</v>
      </c>
      <c r="L95">
        <v>654.29</v>
      </c>
    </row>
    <row r="96" spans="1:12" x14ac:dyDescent="0.15">
      <c r="A96">
        <v>455</v>
      </c>
      <c r="B96">
        <v>677.07</v>
      </c>
      <c r="C96">
        <v>675.16</v>
      </c>
      <c r="D96">
        <v>673.23</v>
      </c>
      <c r="E96">
        <v>671.28</v>
      </c>
      <c r="F96">
        <v>669.32</v>
      </c>
      <c r="G96">
        <v>667.33</v>
      </c>
      <c r="H96">
        <v>665.33</v>
      </c>
      <c r="I96">
        <v>663.31</v>
      </c>
      <c r="J96">
        <v>661.28</v>
      </c>
      <c r="K96">
        <v>659.22</v>
      </c>
      <c r="L96">
        <v>657.15</v>
      </c>
    </row>
    <row r="97" spans="1:12" x14ac:dyDescent="0.15">
      <c r="A97">
        <v>460</v>
      </c>
      <c r="B97">
        <v>679.69</v>
      </c>
      <c r="C97">
        <v>677.8</v>
      </c>
      <c r="D97">
        <v>675.89</v>
      </c>
      <c r="E97">
        <v>673.97</v>
      </c>
      <c r="F97">
        <v>672.02</v>
      </c>
      <c r="G97">
        <v>670.06</v>
      </c>
      <c r="H97">
        <v>668.08</v>
      </c>
      <c r="I97">
        <v>666.08</v>
      </c>
      <c r="J97">
        <v>664.06</v>
      </c>
      <c r="K97">
        <v>662.03</v>
      </c>
      <c r="L97">
        <v>659.97</v>
      </c>
    </row>
    <row r="98" spans="1:12" x14ac:dyDescent="0.15">
      <c r="A98">
        <v>465</v>
      </c>
      <c r="B98">
        <v>682.27</v>
      </c>
      <c r="C98">
        <v>680.4</v>
      </c>
      <c r="D98">
        <v>678.52</v>
      </c>
      <c r="E98">
        <v>676.61</v>
      </c>
      <c r="F98">
        <v>674.69</v>
      </c>
      <c r="G98">
        <v>672.75</v>
      </c>
      <c r="H98">
        <v>670.78</v>
      </c>
      <c r="I98">
        <v>668.81</v>
      </c>
      <c r="J98">
        <v>666.81</v>
      </c>
      <c r="K98">
        <v>664.79</v>
      </c>
      <c r="L98">
        <v>662.76</v>
      </c>
    </row>
    <row r="99" spans="1:12" x14ac:dyDescent="0.15">
      <c r="A99">
        <v>470</v>
      </c>
      <c r="B99">
        <v>684.89</v>
      </c>
      <c r="C99">
        <v>683.05</v>
      </c>
      <c r="D99">
        <v>681.18</v>
      </c>
      <c r="E99">
        <v>679.3</v>
      </c>
      <c r="F99">
        <v>677.4</v>
      </c>
      <c r="G99">
        <v>675.48</v>
      </c>
      <c r="H99">
        <v>673.54</v>
      </c>
      <c r="I99">
        <v>671.58</v>
      </c>
      <c r="J99">
        <v>669.61</v>
      </c>
      <c r="K99">
        <v>667.61</v>
      </c>
      <c r="L99">
        <v>665.6</v>
      </c>
    </row>
    <row r="100" spans="1:12" x14ac:dyDescent="0.15">
      <c r="A100">
        <v>475</v>
      </c>
      <c r="B100">
        <v>687.63</v>
      </c>
      <c r="C100">
        <v>685.81</v>
      </c>
      <c r="D100">
        <v>683.97</v>
      </c>
      <c r="E100">
        <v>682.12</v>
      </c>
      <c r="F100">
        <v>680.24</v>
      </c>
      <c r="G100">
        <v>678.35</v>
      </c>
      <c r="H100">
        <v>676.43</v>
      </c>
      <c r="I100">
        <v>674.5</v>
      </c>
      <c r="J100">
        <v>672.55</v>
      </c>
      <c r="K100">
        <v>670.58</v>
      </c>
      <c r="L100">
        <v>668.59</v>
      </c>
    </row>
    <row r="101" spans="1:12" x14ac:dyDescent="0.15">
      <c r="A101">
        <v>480</v>
      </c>
      <c r="B101">
        <v>690.32</v>
      </c>
      <c r="C101">
        <v>688.53</v>
      </c>
      <c r="D101">
        <v>686.72</v>
      </c>
      <c r="E101">
        <v>684.89</v>
      </c>
      <c r="F101">
        <v>683.04</v>
      </c>
      <c r="G101">
        <v>681.17</v>
      </c>
      <c r="H101">
        <v>679.28</v>
      </c>
      <c r="I101">
        <v>677.38</v>
      </c>
      <c r="J101">
        <v>675.45</v>
      </c>
      <c r="K101">
        <v>673.51</v>
      </c>
      <c r="L101">
        <v>671.55</v>
      </c>
    </row>
    <row r="102" spans="1:12" x14ac:dyDescent="0.15">
      <c r="A102">
        <v>485</v>
      </c>
      <c r="B102">
        <v>692.97</v>
      </c>
      <c r="C102">
        <v>691.21</v>
      </c>
      <c r="D102">
        <v>689.42</v>
      </c>
      <c r="E102">
        <v>687.62</v>
      </c>
      <c r="F102">
        <v>685.79</v>
      </c>
      <c r="G102">
        <v>683.95</v>
      </c>
      <c r="H102">
        <v>682.09</v>
      </c>
      <c r="I102">
        <v>680.21</v>
      </c>
      <c r="J102">
        <v>678.31</v>
      </c>
      <c r="K102">
        <v>676.39</v>
      </c>
      <c r="L102">
        <v>674.45</v>
      </c>
    </row>
    <row r="103" spans="1:12" x14ac:dyDescent="0.15">
      <c r="A103">
        <v>490</v>
      </c>
      <c r="B103">
        <v>695.57</v>
      </c>
      <c r="C103">
        <v>693.83</v>
      </c>
      <c r="D103">
        <v>692.08</v>
      </c>
      <c r="E103">
        <v>690.3</v>
      </c>
      <c r="F103">
        <v>688.5</v>
      </c>
      <c r="G103">
        <v>686.68</v>
      </c>
      <c r="H103">
        <v>684.85</v>
      </c>
      <c r="I103">
        <v>682.99</v>
      </c>
      <c r="J103">
        <v>681.12</v>
      </c>
      <c r="K103">
        <v>679.23</v>
      </c>
      <c r="L103">
        <v>677.32</v>
      </c>
    </row>
    <row r="104" spans="1:12" x14ac:dyDescent="0.15">
      <c r="A104">
        <v>495</v>
      </c>
      <c r="B104">
        <v>698.13</v>
      </c>
      <c r="C104">
        <v>696.41</v>
      </c>
      <c r="D104">
        <v>694.68</v>
      </c>
      <c r="E104">
        <v>692.93</v>
      </c>
      <c r="F104">
        <v>691.16</v>
      </c>
      <c r="G104">
        <v>689.37</v>
      </c>
      <c r="H104">
        <v>687.56</v>
      </c>
      <c r="I104">
        <v>685.73</v>
      </c>
      <c r="J104">
        <v>683.88</v>
      </c>
      <c r="K104">
        <v>682.02</v>
      </c>
      <c r="L104">
        <v>680.13</v>
      </c>
    </row>
    <row r="105" spans="1:12" x14ac:dyDescent="0.15">
      <c r="A105">
        <v>500</v>
      </c>
      <c r="B105">
        <v>700.63</v>
      </c>
      <c r="C105">
        <v>698.95</v>
      </c>
      <c r="D105">
        <v>697.24</v>
      </c>
      <c r="E105">
        <v>695.52</v>
      </c>
      <c r="F105">
        <v>693.78</v>
      </c>
      <c r="G105">
        <v>692.01</v>
      </c>
      <c r="H105">
        <v>690.23</v>
      </c>
      <c r="I105">
        <v>688.43</v>
      </c>
      <c r="J105">
        <v>686.6</v>
      </c>
      <c r="K105">
        <v>684.76</v>
      </c>
      <c r="L105">
        <v>682.9</v>
      </c>
    </row>
    <row r="106" spans="1:12" x14ac:dyDescent="0.15">
      <c r="A106">
        <v>505</v>
      </c>
      <c r="B106">
        <v>703.09</v>
      </c>
      <c r="C106">
        <v>701.44</v>
      </c>
      <c r="D106">
        <v>699.76</v>
      </c>
      <c r="E106">
        <v>698.06</v>
      </c>
      <c r="F106">
        <v>696.34</v>
      </c>
      <c r="G106">
        <v>694.61</v>
      </c>
      <c r="H106">
        <v>692.85</v>
      </c>
      <c r="I106">
        <v>691.07</v>
      </c>
      <c r="J106">
        <v>689.28</v>
      </c>
      <c r="K106">
        <v>687.46</v>
      </c>
      <c r="L106">
        <v>685.63</v>
      </c>
    </row>
    <row r="107" spans="1:12" x14ac:dyDescent="0.15">
      <c r="A107">
        <v>510</v>
      </c>
      <c r="B107">
        <v>705.51</v>
      </c>
      <c r="C107">
        <v>703.88</v>
      </c>
      <c r="D107">
        <v>702.23</v>
      </c>
      <c r="E107">
        <v>700.56</v>
      </c>
      <c r="F107">
        <v>698.87</v>
      </c>
      <c r="G107">
        <v>697.16</v>
      </c>
      <c r="H107">
        <v>695.43</v>
      </c>
      <c r="I107">
        <v>693.68</v>
      </c>
      <c r="J107">
        <v>691.91</v>
      </c>
      <c r="K107">
        <v>690.12</v>
      </c>
      <c r="L107">
        <v>688.31</v>
      </c>
    </row>
    <row r="108" spans="1:12" x14ac:dyDescent="0.15">
      <c r="A108">
        <v>515</v>
      </c>
      <c r="B108">
        <v>707.87</v>
      </c>
      <c r="C108">
        <v>706.27</v>
      </c>
      <c r="D108">
        <v>704.65</v>
      </c>
      <c r="E108">
        <v>703.01</v>
      </c>
      <c r="F108">
        <v>701.34</v>
      </c>
      <c r="G108">
        <v>699.66</v>
      </c>
      <c r="H108">
        <v>697.96</v>
      </c>
      <c r="I108">
        <v>696.23</v>
      </c>
      <c r="J108">
        <v>694.49</v>
      </c>
      <c r="K108">
        <v>692.73</v>
      </c>
      <c r="L108">
        <v>690.95</v>
      </c>
    </row>
    <row r="109" spans="1:12" x14ac:dyDescent="0.15">
      <c r="A109">
        <v>520</v>
      </c>
      <c r="B109">
        <v>710.2</v>
      </c>
      <c r="C109">
        <v>708.62</v>
      </c>
      <c r="D109">
        <v>707.03</v>
      </c>
      <c r="E109">
        <v>705.41</v>
      </c>
      <c r="F109">
        <v>703.77</v>
      </c>
      <c r="G109">
        <v>702.12</v>
      </c>
      <c r="H109">
        <v>700.44</v>
      </c>
      <c r="I109">
        <v>698.74</v>
      </c>
      <c r="J109">
        <v>697.03</v>
      </c>
      <c r="K109">
        <v>695.29</v>
      </c>
      <c r="L109">
        <v>693.54</v>
      </c>
    </row>
    <row r="110" spans="1:12" x14ac:dyDescent="0.15">
      <c r="A110">
        <v>525</v>
      </c>
      <c r="B110">
        <v>712.47</v>
      </c>
      <c r="C110">
        <v>710.92</v>
      </c>
      <c r="D110">
        <v>709.36</v>
      </c>
      <c r="E110">
        <v>707.77</v>
      </c>
      <c r="F110">
        <v>706.16</v>
      </c>
      <c r="G110">
        <v>704.53</v>
      </c>
      <c r="H110">
        <v>702.88</v>
      </c>
      <c r="I110">
        <v>701.21</v>
      </c>
      <c r="J110">
        <v>699.52</v>
      </c>
      <c r="K110">
        <v>697.81</v>
      </c>
      <c r="L110">
        <v>696.08</v>
      </c>
    </row>
    <row r="111" spans="1:12" x14ac:dyDescent="0.15">
      <c r="A111">
        <v>530</v>
      </c>
      <c r="B111">
        <v>714.7</v>
      </c>
      <c r="C111">
        <v>713.18</v>
      </c>
      <c r="D111">
        <v>711.64</v>
      </c>
      <c r="E111">
        <v>710.08</v>
      </c>
      <c r="F111">
        <v>708.5</v>
      </c>
      <c r="G111">
        <v>706.9</v>
      </c>
      <c r="H111">
        <v>705.28</v>
      </c>
      <c r="I111">
        <v>703.63</v>
      </c>
      <c r="J111">
        <v>701.97</v>
      </c>
      <c r="K111">
        <v>700.29</v>
      </c>
      <c r="L111">
        <v>698.58</v>
      </c>
    </row>
    <row r="112" spans="1:12" x14ac:dyDescent="0.15">
      <c r="A112">
        <v>535</v>
      </c>
      <c r="B112">
        <v>716.88</v>
      </c>
      <c r="C112">
        <v>715.39</v>
      </c>
      <c r="D112">
        <v>713.88</v>
      </c>
      <c r="E112">
        <v>712.35</v>
      </c>
      <c r="F112">
        <v>710.79</v>
      </c>
      <c r="G112">
        <v>709.22</v>
      </c>
      <c r="H112">
        <v>707.62</v>
      </c>
      <c r="I112">
        <v>706.01</v>
      </c>
      <c r="J112">
        <v>704.37</v>
      </c>
      <c r="K112">
        <v>702.72</v>
      </c>
      <c r="L112">
        <v>701.04</v>
      </c>
    </row>
    <row r="113" spans="1:12" x14ac:dyDescent="0.15">
      <c r="A113">
        <v>540</v>
      </c>
      <c r="B113">
        <v>719.02</v>
      </c>
      <c r="C113">
        <v>717.56</v>
      </c>
      <c r="D113">
        <v>716.07</v>
      </c>
      <c r="E113">
        <v>714.57</v>
      </c>
      <c r="F113">
        <v>713.04</v>
      </c>
      <c r="G113">
        <v>711.49</v>
      </c>
      <c r="H113">
        <v>709.93</v>
      </c>
      <c r="I113">
        <v>708.34</v>
      </c>
      <c r="J113">
        <v>706.73</v>
      </c>
      <c r="K113">
        <v>705.1</v>
      </c>
      <c r="L113">
        <v>703.45</v>
      </c>
    </row>
    <row r="114" spans="1:12" x14ac:dyDescent="0.15">
      <c r="A114">
        <v>545</v>
      </c>
      <c r="B114">
        <v>721.11</v>
      </c>
      <c r="C114">
        <v>719.68</v>
      </c>
      <c r="D114">
        <v>718.22</v>
      </c>
      <c r="E114">
        <v>716.74</v>
      </c>
      <c r="F114">
        <v>715.24</v>
      </c>
      <c r="G114">
        <v>713.72</v>
      </c>
      <c r="H114">
        <v>712.18</v>
      </c>
      <c r="I114">
        <v>710.62</v>
      </c>
      <c r="J114">
        <v>709.04</v>
      </c>
      <c r="K114">
        <v>707.44</v>
      </c>
      <c r="L114">
        <v>705.82</v>
      </c>
    </row>
    <row r="115" spans="1:12" x14ac:dyDescent="0.15">
      <c r="A115">
        <v>550</v>
      </c>
      <c r="B115">
        <v>723.15</v>
      </c>
      <c r="C115">
        <v>721.75</v>
      </c>
      <c r="D115">
        <v>720.32</v>
      </c>
      <c r="E115">
        <v>718.87</v>
      </c>
      <c r="F115">
        <v>717.4</v>
      </c>
      <c r="G115">
        <v>715.91</v>
      </c>
      <c r="H115">
        <v>714.39</v>
      </c>
      <c r="I115">
        <v>712.86</v>
      </c>
      <c r="J115">
        <v>711.31</v>
      </c>
      <c r="K115">
        <v>709.73</v>
      </c>
      <c r="L115">
        <v>708.14</v>
      </c>
    </row>
    <row r="116" spans="1:12" x14ac:dyDescent="0.15">
      <c r="A116">
        <v>555</v>
      </c>
      <c r="B116">
        <v>725.15</v>
      </c>
      <c r="C116">
        <v>723.77</v>
      </c>
      <c r="D116">
        <v>722.37</v>
      </c>
      <c r="E116">
        <v>720.95</v>
      </c>
      <c r="F116">
        <v>719.51</v>
      </c>
      <c r="G116">
        <v>718.04</v>
      </c>
      <c r="H116">
        <v>716.56</v>
      </c>
      <c r="I116">
        <v>715.05</v>
      </c>
      <c r="J116">
        <v>713.53</v>
      </c>
      <c r="K116">
        <v>711.98</v>
      </c>
      <c r="L116">
        <v>710.41</v>
      </c>
    </row>
    <row r="117" spans="1:12" x14ac:dyDescent="0.15">
      <c r="A117">
        <v>560</v>
      </c>
      <c r="B117">
        <v>727.1</v>
      </c>
      <c r="C117">
        <v>725.75</v>
      </c>
      <c r="D117">
        <v>724.38</v>
      </c>
      <c r="E117">
        <v>722.98</v>
      </c>
      <c r="F117">
        <v>721.57</v>
      </c>
      <c r="G117">
        <v>720.13</v>
      </c>
      <c r="H117">
        <v>718.68</v>
      </c>
      <c r="I117">
        <v>717.2</v>
      </c>
      <c r="J117">
        <v>715.7</v>
      </c>
      <c r="K117">
        <v>714.18</v>
      </c>
      <c r="L117">
        <v>712.64</v>
      </c>
    </row>
    <row r="118" spans="1:12" x14ac:dyDescent="0.15">
      <c r="A118">
        <v>565</v>
      </c>
      <c r="B118">
        <v>729</v>
      </c>
      <c r="C118">
        <v>727.68</v>
      </c>
      <c r="D118">
        <v>726.33</v>
      </c>
      <c r="E118">
        <v>724.97</v>
      </c>
      <c r="F118">
        <v>723.58</v>
      </c>
      <c r="G118">
        <v>722.18</v>
      </c>
      <c r="H118">
        <v>720.75</v>
      </c>
      <c r="I118">
        <v>719.3</v>
      </c>
      <c r="J118">
        <v>717.83</v>
      </c>
      <c r="K118">
        <v>716.34</v>
      </c>
      <c r="L118">
        <v>714.83</v>
      </c>
    </row>
    <row r="119" spans="1:12" x14ac:dyDescent="0.15">
      <c r="A119">
        <v>570</v>
      </c>
      <c r="B119">
        <v>730.85</v>
      </c>
      <c r="C119">
        <v>729.56</v>
      </c>
      <c r="D119">
        <v>728.24</v>
      </c>
      <c r="E119">
        <v>726.91</v>
      </c>
      <c r="F119">
        <v>725.55</v>
      </c>
      <c r="G119">
        <v>724.17</v>
      </c>
      <c r="H119">
        <v>722.77</v>
      </c>
      <c r="I119">
        <v>721.35</v>
      </c>
      <c r="J119">
        <v>719.91</v>
      </c>
      <c r="K119">
        <v>718.45</v>
      </c>
      <c r="L119">
        <v>716.96</v>
      </c>
    </row>
    <row r="120" spans="1:12" x14ac:dyDescent="0.15">
      <c r="A120">
        <v>575</v>
      </c>
      <c r="B120">
        <v>732.65</v>
      </c>
      <c r="C120">
        <v>731.39</v>
      </c>
      <c r="D120">
        <v>730.11</v>
      </c>
      <c r="E120">
        <v>728.8</v>
      </c>
      <c r="F120">
        <v>727.47</v>
      </c>
      <c r="G120">
        <v>726.12</v>
      </c>
      <c r="H120">
        <v>724.75</v>
      </c>
      <c r="I120">
        <v>723.36</v>
      </c>
      <c r="J120">
        <v>721.94</v>
      </c>
      <c r="K120">
        <v>720.51</v>
      </c>
      <c r="L120">
        <v>719.05</v>
      </c>
    </row>
    <row r="121" spans="1:12" x14ac:dyDescent="0.15">
      <c r="A121">
        <v>580</v>
      </c>
      <c r="B121">
        <v>734.41</v>
      </c>
      <c r="C121">
        <v>733.18</v>
      </c>
      <c r="D121">
        <v>731.92</v>
      </c>
      <c r="E121">
        <v>730.64</v>
      </c>
      <c r="F121">
        <v>729.34</v>
      </c>
      <c r="G121">
        <v>728.02</v>
      </c>
      <c r="H121">
        <v>726.68</v>
      </c>
      <c r="I121">
        <v>725.32</v>
      </c>
      <c r="J121">
        <v>723.93</v>
      </c>
      <c r="K121">
        <v>722.52</v>
      </c>
      <c r="L121">
        <v>721.09</v>
      </c>
    </row>
    <row r="122" spans="1:12" x14ac:dyDescent="0.15">
      <c r="A122">
        <v>585</v>
      </c>
      <c r="B122">
        <v>736.12</v>
      </c>
      <c r="C122">
        <v>734.91</v>
      </c>
      <c r="D122">
        <v>733.69</v>
      </c>
      <c r="E122">
        <v>732.44</v>
      </c>
      <c r="F122">
        <v>731.17</v>
      </c>
      <c r="G122">
        <v>729.88</v>
      </c>
      <c r="H122">
        <v>728.56</v>
      </c>
      <c r="I122">
        <v>727.23</v>
      </c>
      <c r="J122">
        <v>725.87</v>
      </c>
      <c r="K122">
        <v>724.49</v>
      </c>
      <c r="L122">
        <v>723.09</v>
      </c>
    </row>
    <row r="123" spans="1:12" x14ac:dyDescent="0.15">
      <c r="A123">
        <v>590</v>
      </c>
      <c r="B123">
        <v>737.78</v>
      </c>
      <c r="C123">
        <v>736.6</v>
      </c>
      <c r="D123">
        <v>735.4</v>
      </c>
      <c r="E123">
        <v>734.19</v>
      </c>
      <c r="F123">
        <v>732.94</v>
      </c>
      <c r="G123">
        <v>731.68</v>
      </c>
      <c r="H123">
        <v>730.4</v>
      </c>
      <c r="I123">
        <v>729.09</v>
      </c>
      <c r="J123">
        <v>727.76</v>
      </c>
      <c r="K123">
        <v>726.41</v>
      </c>
      <c r="L123">
        <v>725.04</v>
      </c>
    </row>
    <row r="124" spans="1:12" x14ac:dyDescent="0.15">
      <c r="A124">
        <v>595</v>
      </c>
      <c r="B124">
        <v>739.39</v>
      </c>
      <c r="C124">
        <v>738.24</v>
      </c>
      <c r="D124">
        <v>737.07</v>
      </c>
      <c r="E124">
        <v>735.89</v>
      </c>
      <c r="F124">
        <v>734.67</v>
      </c>
      <c r="G124">
        <v>733.44</v>
      </c>
      <c r="H124">
        <v>732.18</v>
      </c>
      <c r="I124">
        <v>730.91</v>
      </c>
      <c r="J124">
        <v>729.61</v>
      </c>
      <c r="K124">
        <v>728.28</v>
      </c>
      <c r="L124">
        <v>726.94</v>
      </c>
    </row>
    <row r="125" spans="1:12" x14ac:dyDescent="0.15">
      <c r="A125">
        <v>600</v>
      </c>
      <c r="B125">
        <v>740.95</v>
      </c>
      <c r="C125">
        <v>739.84</v>
      </c>
      <c r="D125">
        <v>738.7</v>
      </c>
      <c r="E125">
        <v>737.54</v>
      </c>
      <c r="F125">
        <v>736.35</v>
      </c>
      <c r="G125">
        <v>735.15</v>
      </c>
      <c r="H125">
        <v>733.92</v>
      </c>
      <c r="I125">
        <v>732.67</v>
      </c>
      <c r="J125">
        <v>731.4</v>
      </c>
      <c r="K125">
        <v>730.11</v>
      </c>
      <c r="L125">
        <v>728.8</v>
      </c>
    </row>
    <row r="126" spans="1:12" x14ac:dyDescent="0.15">
      <c r="A126">
        <v>605</v>
      </c>
      <c r="B126">
        <v>742.47</v>
      </c>
      <c r="C126">
        <v>741.38</v>
      </c>
      <c r="D126">
        <v>740.27</v>
      </c>
      <c r="E126">
        <v>739.14</v>
      </c>
      <c r="F126">
        <v>737.99</v>
      </c>
      <c r="G126">
        <v>736.81</v>
      </c>
      <c r="H126">
        <v>735.62</v>
      </c>
      <c r="I126">
        <v>734.4</v>
      </c>
      <c r="J126">
        <v>733.15</v>
      </c>
      <c r="K126">
        <v>731.89</v>
      </c>
      <c r="L126">
        <v>730.6</v>
      </c>
    </row>
    <row r="127" spans="1:12" x14ac:dyDescent="0.15">
      <c r="A127">
        <v>610</v>
      </c>
      <c r="B127">
        <v>743.94</v>
      </c>
      <c r="C127">
        <v>742.88</v>
      </c>
      <c r="D127">
        <v>741.8</v>
      </c>
      <c r="E127">
        <v>740.7</v>
      </c>
      <c r="F127">
        <v>739.58</v>
      </c>
      <c r="G127">
        <v>738.43</v>
      </c>
      <c r="H127">
        <v>737.26</v>
      </c>
      <c r="I127">
        <v>736.07</v>
      </c>
      <c r="J127">
        <v>734.86</v>
      </c>
      <c r="K127">
        <v>733.62</v>
      </c>
      <c r="L127">
        <v>732.37</v>
      </c>
    </row>
    <row r="128" spans="1:12" x14ac:dyDescent="0.15">
      <c r="A128">
        <v>615</v>
      </c>
      <c r="B128">
        <v>745.36</v>
      </c>
      <c r="C128">
        <v>744.33</v>
      </c>
      <c r="D128">
        <v>743.28</v>
      </c>
      <c r="E128">
        <v>742.21</v>
      </c>
      <c r="F128">
        <v>741.12</v>
      </c>
      <c r="G128">
        <v>740</v>
      </c>
      <c r="H128">
        <v>738.86</v>
      </c>
      <c r="I128">
        <v>737.7</v>
      </c>
      <c r="J128">
        <v>736.52</v>
      </c>
      <c r="K128">
        <v>735.31</v>
      </c>
      <c r="L128">
        <v>734.08</v>
      </c>
    </row>
    <row r="129" spans="1:12" x14ac:dyDescent="0.15">
      <c r="A129">
        <v>620</v>
      </c>
      <c r="B129">
        <v>746.73</v>
      </c>
      <c r="C129">
        <v>745.74</v>
      </c>
      <c r="D129">
        <v>744.72</v>
      </c>
      <c r="E129">
        <v>743.68</v>
      </c>
      <c r="F129">
        <v>742.61</v>
      </c>
      <c r="G129">
        <v>741.52</v>
      </c>
      <c r="H129">
        <v>740.41</v>
      </c>
      <c r="I129">
        <v>739.28</v>
      </c>
      <c r="J129">
        <v>738.13</v>
      </c>
      <c r="K129">
        <v>736.95</v>
      </c>
      <c r="L129">
        <v>735.75</v>
      </c>
    </row>
    <row r="130" spans="1:12" x14ac:dyDescent="0.15">
      <c r="A130">
        <v>625</v>
      </c>
      <c r="B130">
        <v>748.06</v>
      </c>
      <c r="C130">
        <v>747.1</v>
      </c>
      <c r="D130">
        <v>746.11</v>
      </c>
      <c r="E130">
        <v>745.1</v>
      </c>
      <c r="F130">
        <v>744.06</v>
      </c>
      <c r="G130">
        <v>743</v>
      </c>
      <c r="H130">
        <v>741.92</v>
      </c>
      <c r="I130">
        <v>740.82</v>
      </c>
      <c r="J130">
        <v>739.69</v>
      </c>
      <c r="K130">
        <v>738.55</v>
      </c>
      <c r="L130">
        <v>737.37</v>
      </c>
    </row>
    <row r="131" spans="1:12" x14ac:dyDescent="0.15">
      <c r="A131">
        <v>630</v>
      </c>
      <c r="B131">
        <v>749.34</v>
      </c>
      <c r="C131">
        <v>748.41</v>
      </c>
      <c r="D131">
        <v>747.45</v>
      </c>
      <c r="E131">
        <v>746.47</v>
      </c>
      <c r="F131">
        <v>745.46</v>
      </c>
      <c r="G131">
        <v>744.43</v>
      </c>
      <c r="H131">
        <v>743.38</v>
      </c>
      <c r="I131">
        <v>742.31</v>
      </c>
      <c r="J131">
        <v>741.21</v>
      </c>
      <c r="K131">
        <v>740.09</v>
      </c>
      <c r="L131">
        <v>738.95</v>
      </c>
    </row>
    <row r="132" spans="1:12" x14ac:dyDescent="0.15">
      <c r="A132">
        <v>635</v>
      </c>
      <c r="B132">
        <v>750.54</v>
      </c>
      <c r="C132">
        <v>749.64</v>
      </c>
      <c r="D132">
        <v>748.72</v>
      </c>
      <c r="E132">
        <v>747.77</v>
      </c>
      <c r="F132">
        <v>746.81</v>
      </c>
      <c r="G132">
        <v>745.82</v>
      </c>
      <c r="H132">
        <v>744.8</v>
      </c>
      <c r="I132">
        <v>743.75</v>
      </c>
      <c r="J132">
        <v>742.69</v>
      </c>
      <c r="K132">
        <v>741.6</v>
      </c>
      <c r="L132">
        <v>740.49</v>
      </c>
    </row>
    <row r="133" spans="1:12" x14ac:dyDescent="0.15">
      <c r="A133">
        <v>640</v>
      </c>
      <c r="B133">
        <v>751.7</v>
      </c>
      <c r="C133">
        <v>750.83</v>
      </c>
      <c r="D133">
        <v>749.93</v>
      </c>
      <c r="E133">
        <v>749.02</v>
      </c>
      <c r="F133">
        <v>748.08</v>
      </c>
      <c r="G133">
        <v>747.12</v>
      </c>
      <c r="H133">
        <v>746.13</v>
      </c>
      <c r="I133">
        <v>745.13</v>
      </c>
      <c r="J133">
        <v>744.1</v>
      </c>
      <c r="K133">
        <v>743.05</v>
      </c>
      <c r="L133">
        <v>741.97</v>
      </c>
    </row>
    <row r="134" spans="1:12" x14ac:dyDescent="0.15">
      <c r="A134">
        <v>645</v>
      </c>
      <c r="B134">
        <v>752.82</v>
      </c>
      <c r="C134">
        <v>751.98</v>
      </c>
      <c r="D134">
        <v>751.11</v>
      </c>
      <c r="E134">
        <v>750.22</v>
      </c>
      <c r="F134">
        <v>749.31</v>
      </c>
      <c r="G134">
        <v>748.38</v>
      </c>
      <c r="H134">
        <v>747.42</v>
      </c>
      <c r="I134">
        <v>746.45</v>
      </c>
      <c r="J134">
        <v>745.44</v>
      </c>
      <c r="K134">
        <v>744.42</v>
      </c>
      <c r="L134">
        <v>743.38</v>
      </c>
    </row>
    <row r="135" spans="1:12" x14ac:dyDescent="0.15">
      <c r="A135">
        <v>650</v>
      </c>
      <c r="B135">
        <v>753.9</v>
      </c>
      <c r="C135">
        <v>753.09</v>
      </c>
      <c r="D135">
        <v>752.25</v>
      </c>
      <c r="E135">
        <v>751.39</v>
      </c>
      <c r="F135">
        <v>750.51</v>
      </c>
      <c r="G135">
        <v>749.6</v>
      </c>
      <c r="H135">
        <v>748.68</v>
      </c>
      <c r="I135">
        <v>747.72</v>
      </c>
      <c r="J135">
        <v>746.75</v>
      </c>
      <c r="K135">
        <v>745.76</v>
      </c>
      <c r="L135">
        <v>744.74</v>
      </c>
    </row>
    <row r="136" spans="1:12" x14ac:dyDescent="0.15">
      <c r="A136">
        <v>655</v>
      </c>
      <c r="B136">
        <v>754.94</v>
      </c>
      <c r="C136">
        <v>754.16</v>
      </c>
      <c r="D136">
        <v>753.35</v>
      </c>
      <c r="E136">
        <v>752.52</v>
      </c>
      <c r="F136">
        <v>751.67</v>
      </c>
      <c r="G136">
        <v>750.79</v>
      </c>
      <c r="H136">
        <v>749.89</v>
      </c>
      <c r="I136">
        <v>748.97</v>
      </c>
      <c r="J136">
        <v>748.02</v>
      </c>
      <c r="K136">
        <v>747.05</v>
      </c>
      <c r="L136">
        <v>746.06</v>
      </c>
    </row>
    <row r="137" spans="1:12" x14ac:dyDescent="0.15">
      <c r="A137">
        <v>660</v>
      </c>
      <c r="B137">
        <v>755.95</v>
      </c>
      <c r="C137">
        <v>755.19</v>
      </c>
      <c r="D137">
        <v>754.41</v>
      </c>
      <c r="E137">
        <v>753.61</v>
      </c>
      <c r="F137">
        <v>752.78</v>
      </c>
      <c r="G137">
        <v>751.94</v>
      </c>
      <c r="H137">
        <v>751.06</v>
      </c>
      <c r="I137">
        <v>750.17</v>
      </c>
      <c r="J137">
        <v>749.25</v>
      </c>
      <c r="K137">
        <v>748.31</v>
      </c>
      <c r="L137">
        <v>747.35</v>
      </c>
    </row>
    <row r="138" spans="1:12" x14ac:dyDescent="0.15">
      <c r="A138">
        <v>665</v>
      </c>
      <c r="B138">
        <v>756.95</v>
      </c>
      <c r="C138">
        <v>756.21</v>
      </c>
      <c r="D138">
        <v>755.45</v>
      </c>
      <c r="E138">
        <v>754.66</v>
      </c>
      <c r="F138">
        <v>753.86</v>
      </c>
      <c r="G138">
        <v>753.04</v>
      </c>
      <c r="H138">
        <v>752.2</v>
      </c>
      <c r="I138">
        <v>751.34</v>
      </c>
      <c r="J138">
        <v>750.45</v>
      </c>
      <c r="K138">
        <v>749.54</v>
      </c>
      <c r="L138">
        <v>748.6</v>
      </c>
    </row>
    <row r="139" spans="1:12" x14ac:dyDescent="0.15">
      <c r="A139">
        <v>670</v>
      </c>
      <c r="B139">
        <v>757.93</v>
      </c>
      <c r="C139">
        <v>757.22</v>
      </c>
      <c r="D139">
        <v>756.48</v>
      </c>
      <c r="E139">
        <v>755.72</v>
      </c>
      <c r="F139">
        <v>754.94</v>
      </c>
      <c r="G139">
        <v>754.13</v>
      </c>
      <c r="H139">
        <v>753.3</v>
      </c>
      <c r="I139">
        <v>752.46</v>
      </c>
      <c r="J139">
        <v>751.6</v>
      </c>
      <c r="K139">
        <v>750.72</v>
      </c>
      <c r="L139">
        <v>749.81</v>
      </c>
    </row>
    <row r="140" spans="1:12" x14ac:dyDescent="0.15">
      <c r="A140">
        <v>675</v>
      </c>
      <c r="B140">
        <v>758.86</v>
      </c>
      <c r="C140">
        <v>758.18</v>
      </c>
      <c r="D140">
        <v>757.47</v>
      </c>
      <c r="E140">
        <v>756.74</v>
      </c>
      <c r="F140">
        <v>755.99</v>
      </c>
      <c r="G140">
        <v>755.21</v>
      </c>
      <c r="H140">
        <v>754.41</v>
      </c>
      <c r="I140">
        <v>753.59</v>
      </c>
      <c r="J140">
        <v>752.75</v>
      </c>
      <c r="K140">
        <v>751.88</v>
      </c>
      <c r="L140">
        <v>750.99</v>
      </c>
    </row>
    <row r="141" spans="1:12" x14ac:dyDescent="0.15">
      <c r="A141">
        <v>680</v>
      </c>
      <c r="B141">
        <v>759.75</v>
      </c>
      <c r="C141">
        <v>759.1</v>
      </c>
      <c r="D141">
        <v>758.42</v>
      </c>
      <c r="E141">
        <v>757.72</v>
      </c>
      <c r="F141">
        <v>757</v>
      </c>
      <c r="G141">
        <v>756.25</v>
      </c>
      <c r="H141">
        <v>755.48</v>
      </c>
      <c r="I141">
        <v>754.69</v>
      </c>
      <c r="J141">
        <v>753.87</v>
      </c>
      <c r="K141">
        <v>753.03</v>
      </c>
      <c r="L141">
        <v>752.17</v>
      </c>
    </row>
    <row r="142" spans="1:12" x14ac:dyDescent="0.15">
      <c r="A142">
        <v>685</v>
      </c>
      <c r="B142">
        <v>760.61</v>
      </c>
      <c r="C142">
        <v>759.98</v>
      </c>
      <c r="D142">
        <v>759.33</v>
      </c>
      <c r="E142">
        <v>758.66</v>
      </c>
      <c r="F142">
        <v>757.97</v>
      </c>
      <c r="G142">
        <v>757.25</v>
      </c>
      <c r="H142">
        <v>756.51</v>
      </c>
      <c r="I142">
        <v>755.74</v>
      </c>
      <c r="J142">
        <v>754.95</v>
      </c>
      <c r="K142">
        <v>754.15</v>
      </c>
      <c r="L142">
        <v>753.31</v>
      </c>
    </row>
    <row r="143" spans="1:12" x14ac:dyDescent="0.15">
      <c r="A143">
        <v>690</v>
      </c>
      <c r="B143">
        <v>761.42</v>
      </c>
      <c r="C143">
        <v>760.82</v>
      </c>
      <c r="D143">
        <v>760.2</v>
      </c>
      <c r="E143">
        <v>759.56</v>
      </c>
      <c r="F143">
        <v>758.89</v>
      </c>
      <c r="G143">
        <v>758.2</v>
      </c>
      <c r="H143">
        <v>757.49</v>
      </c>
      <c r="I143">
        <v>756.76</v>
      </c>
      <c r="J143">
        <v>756</v>
      </c>
      <c r="K143">
        <v>755.22</v>
      </c>
      <c r="L143">
        <v>754.41</v>
      </c>
    </row>
    <row r="144" spans="1:12" x14ac:dyDescent="0.15">
      <c r="A144">
        <v>695</v>
      </c>
      <c r="B144">
        <v>762.18</v>
      </c>
      <c r="C144">
        <v>761.62</v>
      </c>
      <c r="D144">
        <v>761.03</v>
      </c>
      <c r="E144">
        <v>760.42</v>
      </c>
      <c r="F144">
        <v>759.78</v>
      </c>
      <c r="G144">
        <v>759.12</v>
      </c>
      <c r="H144">
        <v>758.44</v>
      </c>
      <c r="I144">
        <v>757.73</v>
      </c>
      <c r="J144">
        <v>757</v>
      </c>
      <c r="K144">
        <v>756.25</v>
      </c>
      <c r="L144">
        <v>755.47</v>
      </c>
    </row>
    <row r="145" spans="1:12" x14ac:dyDescent="0.15">
      <c r="A145">
        <v>700</v>
      </c>
      <c r="B145">
        <v>762.89</v>
      </c>
      <c r="C145">
        <v>762.36</v>
      </c>
      <c r="D145">
        <v>761.8</v>
      </c>
      <c r="E145">
        <v>761.23</v>
      </c>
      <c r="F145">
        <v>760.62</v>
      </c>
      <c r="G145">
        <v>760</v>
      </c>
      <c r="H145">
        <v>759.34</v>
      </c>
      <c r="I145">
        <v>758.66</v>
      </c>
      <c r="J145">
        <v>757.96</v>
      </c>
      <c r="K145">
        <v>757.24</v>
      </c>
      <c r="L145">
        <v>756.49</v>
      </c>
    </row>
    <row r="146" spans="1:12" x14ac:dyDescent="0.15">
      <c r="A146">
        <v>705</v>
      </c>
      <c r="B146">
        <v>763.56</v>
      </c>
      <c r="C146">
        <v>763.06</v>
      </c>
      <c r="D146">
        <v>762.53</v>
      </c>
      <c r="E146">
        <v>761.98</v>
      </c>
      <c r="F146">
        <v>761.41</v>
      </c>
      <c r="G146">
        <v>760.81</v>
      </c>
      <c r="H146">
        <v>760.19</v>
      </c>
      <c r="I146">
        <v>759.55</v>
      </c>
      <c r="J146">
        <v>758.89</v>
      </c>
      <c r="K146">
        <v>758.19</v>
      </c>
      <c r="L146">
        <v>757.47</v>
      </c>
    </row>
    <row r="147" spans="1:12" x14ac:dyDescent="0.15">
      <c r="A147">
        <v>710</v>
      </c>
      <c r="B147">
        <v>764.19</v>
      </c>
      <c r="C147">
        <v>763.72</v>
      </c>
      <c r="D147">
        <v>763.22</v>
      </c>
      <c r="E147">
        <v>762.7</v>
      </c>
      <c r="F147">
        <v>762.16</v>
      </c>
      <c r="G147">
        <v>761.59</v>
      </c>
      <c r="H147">
        <v>761</v>
      </c>
      <c r="I147">
        <v>760.39</v>
      </c>
      <c r="J147">
        <v>759.75</v>
      </c>
      <c r="K147">
        <v>759.09</v>
      </c>
      <c r="L147">
        <v>758.41</v>
      </c>
    </row>
    <row r="148" spans="1:12" x14ac:dyDescent="0.15">
      <c r="A148">
        <v>715</v>
      </c>
      <c r="B148">
        <v>764.79</v>
      </c>
      <c r="C148">
        <v>764.34</v>
      </c>
      <c r="D148">
        <v>763.87</v>
      </c>
      <c r="E148">
        <v>763.38</v>
      </c>
      <c r="F148">
        <v>762.86</v>
      </c>
      <c r="G148">
        <v>762.32</v>
      </c>
      <c r="H148">
        <v>761.76</v>
      </c>
      <c r="I148">
        <v>761.18</v>
      </c>
      <c r="J148">
        <v>760.57</v>
      </c>
      <c r="K148">
        <v>759.94</v>
      </c>
      <c r="L148">
        <v>759.29</v>
      </c>
    </row>
    <row r="149" spans="1:12" x14ac:dyDescent="0.15">
      <c r="A149">
        <v>720</v>
      </c>
      <c r="B149">
        <v>765.35</v>
      </c>
      <c r="C149">
        <v>764.92</v>
      </c>
      <c r="D149">
        <v>764.48</v>
      </c>
      <c r="E149">
        <v>764.02</v>
      </c>
      <c r="F149">
        <v>763.53</v>
      </c>
      <c r="G149">
        <v>763.02</v>
      </c>
      <c r="H149">
        <v>762.49</v>
      </c>
      <c r="I149">
        <v>761.93</v>
      </c>
      <c r="J149">
        <v>761.35</v>
      </c>
      <c r="K149">
        <v>760.75</v>
      </c>
      <c r="L149">
        <v>760.13</v>
      </c>
    </row>
    <row r="150" spans="1:12" x14ac:dyDescent="0.15">
      <c r="A150">
        <v>725</v>
      </c>
      <c r="B150">
        <v>765.88</v>
      </c>
      <c r="C150">
        <v>765.48</v>
      </c>
      <c r="D150">
        <v>765.06</v>
      </c>
      <c r="E150">
        <v>764.62</v>
      </c>
      <c r="F150">
        <v>764.16</v>
      </c>
      <c r="G150">
        <v>763.68</v>
      </c>
      <c r="H150">
        <v>763.17</v>
      </c>
      <c r="I150">
        <v>762.65</v>
      </c>
      <c r="J150">
        <v>762.1</v>
      </c>
      <c r="K150">
        <v>761.52</v>
      </c>
      <c r="L150">
        <v>760.93</v>
      </c>
    </row>
    <row r="151" spans="1:12" x14ac:dyDescent="0.15">
      <c r="A151">
        <v>730</v>
      </c>
      <c r="B151">
        <v>766.37</v>
      </c>
      <c r="C151">
        <v>766</v>
      </c>
      <c r="D151">
        <v>765.61</v>
      </c>
      <c r="E151">
        <v>765.2</v>
      </c>
      <c r="F151">
        <v>764.76</v>
      </c>
      <c r="G151">
        <v>764.3</v>
      </c>
      <c r="H151">
        <v>763.82</v>
      </c>
      <c r="I151">
        <v>763.33</v>
      </c>
      <c r="J151">
        <v>762.8</v>
      </c>
      <c r="K151">
        <v>762.26</v>
      </c>
      <c r="L151">
        <v>761.69</v>
      </c>
    </row>
    <row r="152" spans="1:12" x14ac:dyDescent="0.15">
      <c r="A152">
        <v>735</v>
      </c>
      <c r="B152">
        <v>766.83</v>
      </c>
      <c r="C152">
        <v>766.48</v>
      </c>
      <c r="D152">
        <v>766.12</v>
      </c>
      <c r="E152">
        <v>765.73</v>
      </c>
      <c r="F152">
        <v>765.33</v>
      </c>
      <c r="G152">
        <v>764.89</v>
      </c>
      <c r="H152">
        <v>764.44</v>
      </c>
      <c r="I152">
        <v>763.97</v>
      </c>
      <c r="J152">
        <v>763.47</v>
      </c>
      <c r="K152">
        <v>762.95</v>
      </c>
      <c r="L152">
        <v>762.41</v>
      </c>
    </row>
    <row r="153" spans="1:12" x14ac:dyDescent="0.15">
      <c r="A153">
        <v>740</v>
      </c>
      <c r="B153">
        <v>767.24</v>
      </c>
      <c r="C153">
        <v>766.93</v>
      </c>
      <c r="D153">
        <v>766.59</v>
      </c>
      <c r="E153">
        <v>766.23</v>
      </c>
      <c r="F153">
        <v>765.85</v>
      </c>
      <c r="G153">
        <v>765.45</v>
      </c>
      <c r="H153">
        <v>765.03</v>
      </c>
      <c r="I153">
        <v>764.58</v>
      </c>
      <c r="J153">
        <v>764.11</v>
      </c>
      <c r="K153">
        <v>763.62</v>
      </c>
      <c r="L153">
        <v>763.1</v>
      </c>
    </row>
    <row r="154" spans="1:12" x14ac:dyDescent="0.15">
      <c r="A154">
        <v>745</v>
      </c>
      <c r="B154">
        <v>767.6</v>
      </c>
      <c r="C154">
        <v>767.34</v>
      </c>
      <c r="D154">
        <v>767.03</v>
      </c>
      <c r="E154">
        <v>766.7</v>
      </c>
      <c r="F154">
        <v>766.35</v>
      </c>
      <c r="G154">
        <v>765.97</v>
      </c>
      <c r="H154">
        <v>765.57</v>
      </c>
      <c r="I154">
        <v>765.15</v>
      </c>
      <c r="J154">
        <v>764.71</v>
      </c>
      <c r="K154">
        <v>764.25</v>
      </c>
      <c r="L154">
        <v>763.76</v>
      </c>
    </row>
    <row r="155" spans="1:12" x14ac:dyDescent="0.15">
      <c r="A155">
        <v>750</v>
      </c>
      <c r="B155">
        <v>767.85</v>
      </c>
      <c r="C155">
        <v>767.63</v>
      </c>
      <c r="D155">
        <v>767.39</v>
      </c>
      <c r="E155">
        <v>767.13</v>
      </c>
      <c r="F155">
        <v>766.8</v>
      </c>
      <c r="G155">
        <v>766.45</v>
      </c>
      <c r="H155">
        <v>766.08</v>
      </c>
      <c r="I155">
        <v>765.69</v>
      </c>
      <c r="J155">
        <v>765.27</v>
      </c>
      <c r="K155">
        <v>764.84</v>
      </c>
      <c r="L155">
        <v>764.38</v>
      </c>
    </row>
    <row r="156" spans="1:12" x14ac:dyDescent="0.15">
      <c r="A156">
        <v>755</v>
      </c>
      <c r="B156">
        <v>768.08</v>
      </c>
      <c r="C156">
        <v>767.89</v>
      </c>
      <c r="D156">
        <v>767.67</v>
      </c>
      <c r="E156">
        <v>767.43</v>
      </c>
      <c r="F156">
        <v>767.17</v>
      </c>
      <c r="G156">
        <v>766.9</v>
      </c>
      <c r="H156">
        <v>766.55</v>
      </c>
      <c r="I156">
        <v>766.19</v>
      </c>
      <c r="J156">
        <v>765.8</v>
      </c>
      <c r="K156">
        <v>765.39</v>
      </c>
      <c r="L156">
        <v>764.96</v>
      </c>
    </row>
    <row r="157" spans="1:12" x14ac:dyDescent="0.15">
      <c r="A157">
        <v>760</v>
      </c>
      <c r="B157">
        <v>768.29</v>
      </c>
      <c r="C157">
        <v>768.12</v>
      </c>
      <c r="D157">
        <v>767.92</v>
      </c>
      <c r="E157">
        <v>767.7</v>
      </c>
      <c r="F157">
        <v>767.46</v>
      </c>
      <c r="G157">
        <v>767.21</v>
      </c>
      <c r="H157">
        <v>766.94</v>
      </c>
      <c r="I157">
        <v>766.65</v>
      </c>
      <c r="J157">
        <v>766.29</v>
      </c>
      <c r="K157">
        <v>765.91</v>
      </c>
      <c r="L157">
        <v>765.5</v>
      </c>
    </row>
    <row r="158" spans="1:12" x14ac:dyDescent="0.15">
      <c r="A158">
        <v>765</v>
      </c>
      <c r="B158">
        <v>768.46</v>
      </c>
      <c r="C158">
        <v>768.32</v>
      </c>
      <c r="D158">
        <v>768.15</v>
      </c>
      <c r="E158">
        <v>767.96</v>
      </c>
      <c r="F158">
        <v>767.74</v>
      </c>
      <c r="G158">
        <v>767.5</v>
      </c>
      <c r="H158">
        <v>767.25</v>
      </c>
      <c r="I158">
        <v>766.98</v>
      </c>
      <c r="J158">
        <v>766.69</v>
      </c>
      <c r="K158">
        <v>766.38</v>
      </c>
      <c r="L158">
        <v>766.01</v>
      </c>
    </row>
    <row r="159" spans="1:12" x14ac:dyDescent="0.15">
      <c r="A159">
        <v>770</v>
      </c>
      <c r="B159">
        <v>768.7</v>
      </c>
      <c r="C159">
        <v>768.56</v>
      </c>
      <c r="D159">
        <v>768.35</v>
      </c>
      <c r="E159">
        <v>768.19</v>
      </c>
      <c r="F159">
        <v>767.99</v>
      </c>
      <c r="G159">
        <v>767.78</v>
      </c>
      <c r="H159">
        <v>767.55</v>
      </c>
      <c r="I159">
        <v>767.29</v>
      </c>
      <c r="J159">
        <v>767.02</v>
      </c>
      <c r="K159">
        <v>766.73</v>
      </c>
      <c r="L159">
        <v>766.42</v>
      </c>
    </row>
    <row r="160" spans="1:12" x14ac:dyDescent="0.15">
      <c r="A160">
        <v>775</v>
      </c>
      <c r="B160">
        <v>768.89</v>
      </c>
      <c r="C160">
        <v>768.83</v>
      </c>
      <c r="D160">
        <v>768.68</v>
      </c>
      <c r="E160">
        <v>768.45</v>
      </c>
      <c r="F160">
        <v>768.22</v>
      </c>
      <c r="G160">
        <v>768.03</v>
      </c>
      <c r="H160">
        <v>767.82</v>
      </c>
      <c r="I160">
        <v>767.59</v>
      </c>
      <c r="J160">
        <v>767.34</v>
      </c>
      <c r="K160">
        <v>767.07</v>
      </c>
      <c r="L160">
        <v>766.78</v>
      </c>
    </row>
    <row r="161" spans="1:12" x14ac:dyDescent="0.15">
      <c r="A161">
        <v>780</v>
      </c>
      <c r="B161">
        <v>769.09</v>
      </c>
      <c r="C161">
        <v>769.01</v>
      </c>
      <c r="D161">
        <v>768.96</v>
      </c>
      <c r="E161">
        <v>768.79</v>
      </c>
      <c r="F161">
        <v>768.56</v>
      </c>
      <c r="G161">
        <v>768.31</v>
      </c>
      <c r="H161">
        <v>768.07</v>
      </c>
      <c r="I161">
        <v>767.86</v>
      </c>
      <c r="J161">
        <v>767.63</v>
      </c>
      <c r="K161">
        <v>767.38</v>
      </c>
      <c r="L161">
        <v>767.11</v>
      </c>
    </row>
    <row r="162" spans="1:12" x14ac:dyDescent="0.15">
      <c r="A162">
        <v>785</v>
      </c>
      <c r="B162">
        <v>769.26</v>
      </c>
      <c r="C162">
        <v>769.22</v>
      </c>
      <c r="D162">
        <v>769.14</v>
      </c>
      <c r="E162">
        <v>769.08</v>
      </c>
      <c r="F162">
        <v>768.91</v>
      </c>
      <c r="G162">
        <v>768.67</v>
      </c>
      <c r="H162">
        <v>768.42</v>
      </c>
      <c r="I162">
        <v>768.15</v>
      </c>
      <c r="J162">
        <v>767.9</v>
      </c>
      <c r="K162">
        <v>767.67</v>
      </c>
      <c r="L162">
        <v>767.42</v>
      </c>
    </row>
    <row r="163" spans="1:12" x14ac:dyDescent="0.15">
      <c r="A163">
        <v>790</v>
      </c>
      <c r="B163">
        <v>769.4</v>
      </c>
      <c r="C163">
        <v>769.33</v>
      </c>
      <c r="D163">
        <v>769.33</v>
      </c>
      <c r="E163">
        <v>769.27</v>
      </c>
      <c r="F163">
        <v>769.21</v>
      </c>
      <c r="G163">
        <v>769.02</v>
      </c>
      <c r="H163">
        <v>768.8</v>
      </c>
      <c r="I163">
        <v>768.53</v>
      </c>
      <c r="J163">
        <v>768.26</v>
      </c>
      <c r="K163">
        <v>767.97</v>
      </c>
      <c r="L163">
        <v>767.71</v>
      </c>
    </row>
    <row r="164" spans="1:12" x14ac:dyDescent="0.15">
      <c r="A164">
        <v>795</v>
      </c>
      <c r="B164">
        <v>769.69</v>
      </c>
      <c r="C164">
        <v>769.45</v>
      </c>
      <c r="D164">
        <v>769.4</v>
      </c>
      <c r="E164">
        <v>769.41</v>
      </c>
      <c r="F164">
        <v>769.4</v>
      </c>
      <c r="G164">
        <v>769.34</v>
      </c>
      <c r="H164">
        <v>769.13</v>
      </c>
      <c r="I164">
        <v>768.9</v>
      </c>
      <c r="J164">
        <v>768.65</v>
      </c>
      <c r="K164">
        <v>768.37</v>
      </c>
      <c r="L164">
        <v>768.08</v>
      </c>
    </row>
    <row r="165" spans="1:12" x14ac:dyDescent="0.15">
      <c r="A165">
        <v>800</v>
      </c>
      <c r="B165">
        <v>769.99</v>
      </c>
      <c r="C165">
        <v>769.73</v>
      </c>
      <c r="D165">
        <v>769.49</v>
      </c>
      <c r="E165">
        <v>769.46</v>
      </c>
      <c r="F165">
        <v>769.48</v>
      </c>
      <c r="G165">
        <v>769.49</v>
      </c>
      <c r="H165">
        <v>769.47</v>
      </c>
      <c r="I165">
        <v>769.25</v>
      </c>
      <c r="J165">
        <v>769.01</v>
      </c>
      <c r="K165">
        <v>768.76</v>
      </c>
      <c r="L165">
        <v>768.49</v>
      </c>
    </row>
    <row r="166" spans="1:12" x14ac:dyDescent="0.15">
      <c r="A166">
        <v>805</v>
      </c>
      <c r="B166">
        <v>770.29</v>
      </c>
      <c r="C166">
        <v>770.04</v>
      </c>
      <c r="D166">
        <v>769.77</v>
      </c>
      <c r="E166">
        <v>769.54</v>
      </c>
      <c r="F166">
        <v>769.52</v>
      </c>
      <c r="G166">
        <v>769.54</v>
      </c>
      <c r="H166">
        <v>769.56</v>
      </c>
      <c r="I166">
        <v>769.57</v>
      </c>
      <c r="J166">
        <v>769.37</v>
      </c>
      <c r="K166">
        <v>769.13</v>
      </c>
      <c r="L166">
        <v>768.87</v>
      </c>
    </row>
    <row r="167" spans="1:12" x14ac:dyDescent="0.15">
      <c r="A167">
        <v>810</v>
      </c>
      <c r="B167">
        <v>770.31</v>
      </c>
      <c r="C167">
        <v>770.32</v>
      </c>
      <c r="D167">
        <v>770.08</v>
      </c>
      <c r="E167">
        <v>769.82</v>
      </c>
      <c r="F167">
        <v>769.58</v>
      </c>
      <c r="G167">
        <v>769.58</v>
      </c>
      <c r="H167">
        <v>769.61</v>
      </c>
      <c r="I167">
        <v>769.63</v>
      </c>
      <c r="J167">
        <v>769.63</v>
      </c>
      <c r="K167">
        <v>769.48</v>
      </c>
      <c r="L167">
        <v>769.24</v>
      </c>
    </row>
    <row r="168" spans="1:12" x14ac:dyDescent="0.15">
      <c r="A168">
        <v>815</v>
      </c>
      <c r="B168">
        <v>770.01</v>
      </c>
      <c r="C168">
        <v>770.24</v>
      </c>
      <c r="D168">
        <v>770.36</v>
      </c>
      <c r="E168">
        <v>770.12</v>
      </c>
      <c r="F168">
        <v>769.86</v>
      </c>
      <c r="G168">
        <v>769.62</v>
      </c>
      <c r="H168">
        <v>769.63</v>
      </c>
      <c r="I168">
        <v>769.67</v>
      </c>
      <c r="J168">
        <v>769.7</v>
      </c>
      <c r="K168">
        <v>769.69</v>
      </c>
      <c r="L168">
        <v>769.55</v>
      </c>
    </row>
    <row r="169" spans="1:12" x14ac:dyDescent="0.15">
      <c r="A169">
        <v>820</v>
      </c>
      <c r="B169">
        <v>770.58</v>
      </c>
      <c r="C169">
        <v>769.99</v>
      </c>
      <c r="D169">
        <v>770.18</v>
      </c>
      <c r="E169">
        <v>770.36</v>
      </c>
      <c r="F169">
        <v>770.15</v>
      </c>
      <c r="G169">
        <v>769.9</v>
      </c>
      <c r="H169">
        <v>769.66</v>
      </c>
      <c r="I169">
        <v>769.69</v>
      </c>
      <c r="J169">
        <v>769.73</v>
      </c>
      <c r="K169">
        <v>769.77</v>
      </c>
      <c r="L169">
        <v>769.76</v>
      </c>
    </row>
    <row r="170" spans="1:12" x14ac:dyDescent="0.15">
      <c r="A170">
        <v>825</v>
      </c>
      <c r="B170">
        <v>770.66</v>
      </c>
      <c r="C170">
        <v>770.62</v>
      </c>
      <c r="D170">
        <v>770.15</v>
      </c>
      <c r="E170">
        <v>770.13</v>
      </c>
      <c r="F170">
        <v>770.3</v>
      </c>
      <c r="G170">
        <v>770.19</v>
      </c>
      <c r="H170">
        <v>769.94</v>
      </c>
      <c r="I170">
        <v>769.7</v>
      </c>
      <c r="J170">
        <v>769.74</v>
      </c>
      <c r="K170">
        <v>769.79</v>
      </c>
      <c r="L170">
        <v>769.84</v>
      </c>
    </row>
    <row r="171" spans="1:12" x14ac:dyDescent="0.15">
      <c r="A171">
        <v>830</v>
      </c>
      <c r="B171">
        <v>770.74</v>
      </c>
      <c r="C171">
        <v>770.7</v>
      </c>
      <c r="D171">
        <v>770.66</v>
      </c>
      <c r="E171">
        <v>770.34</v>
      </c>
      <c r="F171">
        <v>770.08</v>
      </c>
      <c r="G171">
        <v>770.25</v>
      </c>
      <c r="H171">
        <v>770.22</v>
      </c>
      <c r="I171">
        <v>769.97</v>
      </c>
      <c r="J171">
        <v>769.74</v>
      </c>
      <c r="K171">
        <v>769.8</v>
      </c>
      <c r="L171">
        <v>769.85</v>
      </c>
    </row>
    <row r="172" spans="1:12" x14ac:dyDescent="0.15">
      <c r="A172">
        <v>835</v>
      </c>
      <c r="B172">
        <v>770.82</v>
      </c>
      <c r="C172">
        <v>770.78</v>
      </c>
      <c r="D172">
        <v>770.73</v>
      </c>
      <c r="E172">
        <v>770.69</v>
      </c>
      <c r="F172">
        <v>770.65</v>
      </c>
      <c r="G172">
        <v>770.04</v>
      </c>
      <c r="H172">
        <v>770.21</v>
      </c>
      <c r="I172">
        <v>770.18</v>
      </c>
      <c r="J172">
        <v>770</v>
      </c>
      <c r="K172">
        <v>769.79</v>
      </c>
      <c r="L172">
        <v>769.85</v>
      </c>
    </row>
    <row r="173" spans="1:12" x14ac:dyDescent="0.15">
      <c r="A173">
        <v>840</v>
      </c>
      <c r="B173">
        <v>770.9</v>
      </c>
      <c r="C173">
        <v>770.85</v>
      </c>
      <c r="D173">
        <v>770.81</v>
      </c>
      <c r="E173">
        <v>770.77</v>
      </c>
      <c r="F173">
        <v>770.73</v>
      </c>
      <c r="G173">
        <v>770.69</v>
      </c>
      <c r="H173">
        <v>770.16</v>
      </c>
      <c r="I173">
        <v>770.17</v>
      </c>
      <c r="J173">
        <v>770.13</v>
      </c>
      <c r="K173">
        <v>770.03</v>
      </c>
      <c r="L173">
        <v>769.83</v>
      </c>
    </row>
    <row r="174" spans="1:12" x14ac:dyDescent="0.15">
      <c r="A174">
        <v>845</v>
      </c>
      <c r="B174">
        <v>770.97</v>
      </c>
      <c r="C174">
        <v>770.93</v>
      </c>
      <c r="D174">
        <v>770.89</v>
      </c>
      <c r="E174">
        <v>770.85</v>
      </c>
      <c r="F174">
        <v>770.81</v>
      </c>
      <c r="G174">
        <v>770.77</v>
      </c>
      <c r="H174">
        <v>770.72</v>
      </c>
      <c r="I174">
        <v>770.29</v>
      </c>
      <c r="J174">
        <v>770.13</v>
      </c>
      <c r="K174">
        <v>770.09</v>
      </c>
      <c r="L174">
        <v>770.02</v>
      </c>
    </row>
    <row r="175" spans="1:12" x14ac:dyDescent="0.15">
      <c r="A175">
        <v>850</v>
      </c>
      <c r="B175">
        <v>771.05</v>
      </c>
      <c r="C175">
        <v>771.01</v>
      </c>
      <c r="D175">
        <v>770.97</v>
      </c>
      <c r="E175">
        <v>770.93</v>
      </c>
      <c r="F175">
        <v>770.89</v>
      </c>
      <c r="G175">
        <v>770.84</v>
      </c>
      <c r="H175">
        <v>770.8</v>
      </c>
      <c r="I175">
        <v>770.76</v>
      </c>
      <c r="J175">
        <v>770.44</v>
      </c>
      <c r="K175">
        <v>770.1</v>
      </c>
      <c r="L175">
        <v>770.06</v>
      </c>
    </row>
    <row r="176" spans="1:12" x14ac:dyDescent="0.15">
      <c r="A176">
        <v>855</v>
      </c>
      <c r="B176">
        <v>771.13</v>
      </c>
      <c r="C176">
        <v>771.09</v>
      </c>
      <c r="D176">
        <v>771.05</v>
      </c>
      <c r="E176">
        <v>771.01</v>
      </c>
      <c r="F176">
        <v>770.96</v>
      </c>
      <c r="G176">
        <v>770.92</v>
      </c>
      <c r="H176">
        <v>770.88</v>
      </c>
      <c r="I176">
        <v>770.84</v>
      </c>
      <c r="J176">
        <v>770.8</v>
      </c>
      <c r="K176">
        <v>770.61</v>
      </c>
      <c r="L176">
        <v>770.18</v>
      </c>
    </row>
    <row r="177" spans="1:12" x14ac:dyDescent="0.15">
      <c r="A177">
        <v>860</v>
      </c>
      <c r="B177">
        <v>771.21</v>
      </c>
      <c r="C177">
        <v>771.17</v>
      </c>
      <c r="D177">
        <v>771.13</v>
      </c>
      <c r="E177">
        <v>771.09</v>
      </c>
      <c r="F177">
        <v>771.04</v>
      </c>
      <c r="G177">
        <v>771</v>
      </c>
      <c r="H177">
        <v>770.96</v>
      </c>
      <c r="I177">
        <v>770.92</v>
      </c>
      <c r="J177">
        <v>770.88</v>
      </c>
      <c r="K177">
        <v>770.83</v>
      </c>
      <c r="L177">
        <v>770.77</v>
      </c>
    </row>
    <row r="178" spans="1:12" x14ac:dyDescent="0.15">
      <c r="A178">
        <v>865</v>
      </c>
      <c r="B178">
        <v>771.29</v>
      </c>
      <c r="C178">
        <v>771.25</v>
      </c>
      <c r="D178">
        <v>771.21</v>
      </c>
      <c r="E178">
        <v>771.16</v>
      </c>
      <c r="F178">
        <v>771.12</v>
      </c>
      <c r="G178">
        <v>771.08</v>
      </c>
      <c r="H178">
        <v>771.04</v>
      </c>
      <c r="I178">
        <v>771</v>
      </c>
      <c r="J178">
        <v>770.95</v>
      </c>
      <c r="K178">
        <v>770.91</v>
      </c>
      <c r="L178">
        <v>770.87</v>
      </c>
    </row>
    <row r="179" spans="1:12" x14ac:dyDescent="0.15">
      <c r="A179">
        <v>870</v>
      </c>
      <c r="B179">
        <v>771.37</v>
      </c>
      <c r="C179">
        <v>771.33</v>
      </c>
      <c r="D179">
        <v>771.28</v>
      </c>
      <c r="E179">
        <v>771.24</v>
      </c>
      <c r="F179">
        <v>771.2</v>
      </c>
      <c r="G179">
        <v>771.16</v>
      </c>
      <c r="H179">
        <v>771.12</v>
      </c>
      <c r="I179">
        <v>771.08</v>
      </c>
      <c r="J179">
        <v>771.03</v>
      </c>
      <c r="K179">
        <v>770.99</v>
      </c>
      <c r="L179">
        <v>770.95</v>
      </c>
    </row>
    <row r="180" spans="1:12" x14ac:dyDescent="0.15">
      <c r="A180">
        <v>875</v>
      </c>
      <c r="B180">
        <v>771.45</v>
      </c>
      <c r="C180">
        <v>771.41</v>
      </c>
      <c r="D180">
        <v>771.36</v>
      </c>
      <c r="E180">
        <v>771.32</v>
      </c>
      <c r="F180">
        <v>771.28</v>
      </c>
      <c r="G180">
        <v>771.24</v>
      </c>
      <c r="H180">
        <v>771.2</v>
      </c>
      <c r="I180">
        <v>771.15</v>
      </c>
      <c r="J180">
        <v>771.11</v>
      </c>
      <c r="K180">
        <v>771.07</v>
      </c>
      <c r="L180">
        <v>771.03</v>
      </c>
    </row>
    <row r="181" spans="1:12" x14ac:dyDescent="0.15">
      <c r="A181">
        <v>880</v>
      </c>
      <c r="B181">
        <v>771.53</v>
      </c>
      <c r="C181">
        <v>771.48</v>
      </c>
      <c r="D181">
        <v>771.44</v>
      </c>
      <c r="E181">
        <v>771.4</v>
      </c>
      <c r="F181">
        <v>771.36</v>
      </c>
      <c r="G181">
        <v>771.32</v>
      </c>
      <c r="H181">
        <v>771.27</v>
      </c>
      <c r="I181">
        <v>771.23</v>
      </c>
      <c r="J181">
        <v>771.19</v>
      </c>
      <c r="K181">
        <v>771.15</v>
      </c>
      <c r="L181">
        <v>771.11</v>
      </c>
    </row>
    <row r="182" spans="1:12" x14ac:dyDescent="0.15">
      <c r="A182">
        <v>885</v>
      </c>
      <c r="B182">
        <v>771.6</v>
      </c>
      <c r="C182">
        <v>771.56</v>
      </c>
      <c r="D182">
        <v>771.52</v>
      </c>
      <c r="E182">
        <v>771.48</v>
      </c>
      <c r="F182">
        <v>771.44</v>
      </c>
      <c r="G182">
        <v>771.4</v>
      </c>
      <c r="H182">
        <v>771.35</v>
      </c>
      <c r="I182">
        <v>771.31</v>
      </c>
      <c r="J182">
        <v>771.27</v>
      </c>
      <c r="K182">
        <v>771.23</v>
      </c>
      <c r="L182">
        <v>771.19</v>
      </c>
    </row>
    <row r="183" spans="1:12" x14ac:dyDescent="0.15">
      <c r="A183">
        <v>890</v>
      </c>
      <c r="B183">
        <v>771.68</v>
      </c>
      <c r="C183">
        <v>771.64</v>
      </c>
      <c r="D183">
        <v>771.6</v>
      </c>
      <c r="E183">
        <v>771.56</v>
      </c>
      <c r="F183">
        <v>771.52</v>
      </c>
      <c r="G183">
        <v>771.47</v>
      </c>
      <c r="H183">
        <v>771.43</v>
      </c>
      <c r="I183">
        <v>771.39</v>
      </c>
      <c r="J183">
        <v>771.35</v>
      </c>
      <c r="K183">
        <v>771.31</v>
      </c>
      <c r="L183">
        <v>771.26</v>
      </c>
    </row>
    <row r="184" spans="1:12" x14ac:dyDescent="0.15">
      <c r="A184">
        <v>895</v>
      </c>
      <c r="B184">
        <v>771.76</v>
      </c>
      <c r="C184">
        <v>771.72</v>
      </c>
      <c r="D184">
        <v>771.68</v>
      </c>
      <c r="E184">
        <v>771.64</v>
      </c>
      <c r="F184">
        <v>771.59</v>
      </c>
      <c r="G184">
        <v>771.55</v>
      </c>
      <c r="H184">
        <v>771.51</v>
      </c>
      <c r="I184">
        <v>771.47</v>
      </c>
      <c r="J184">
        <v>771.43</v>
      </c>
      <c r="K184">
        <v>771.38</v>
      </c>
      <c r="L184">
        <v>771.34</v>
      </c>
    </row>
    <row r="185" spans="1:12" x14ac:dyDescent="0.15">
      <c r="A185">
        <v>900</v>
      </c>
      <c r="B185">
        <v>771.84</v>
      </c>
      <c r="C185">
        <v>771.8</v>
      </c>
      <c r="D185">
        <v>771.76</v>
      </c>
      <c r="E185">
        <v>771.71</v>
      </c>
      <c r="F185">
        <v>771.67</v>
      </c>
      <c r="G185">
        <v>771.63</v>
      </c>
      <c r="H185">
        <v>771.59</v>
      </c>
      <c r="I185">
        <v>771.55</v>
      </c>
      <c r="J185">
        <v>771.51</v>
      </c>
      <c r="K185">
        <v>771.46</v>
      </c>
      <c r="L185">
        <v>771.42</v>
      </c>
    </row>
    <row r="186" spans="1:12" x14ac:dyDescent="0.15">
      <c r="A186">
        <v>905</v>
      </c>
      <c r="B186">
        <v>771.92</v>
      </c>
      <c r="C186">
        <v>771.88</v>
      </c>
      <c r="D186">
        <v>771.84</v>
      </c>
      <c r="E186">
        <v>771.79</v>
      </c>
      <c r="F186">
        <v>771.75</v>
      </c>
      <c r="G186">
        <v>771.71</v>
      </c>
      <c r="H186">
        <v>771.67</v>
      </c>
      <c r="I186">
        <v>771.63</v>
      </c>
      <c r="J186">
        <v>771.58</v>
      </c>
      <c r="K186">
        <v>771.54</v>
      </c>
      <c r="L186">
        <v>771.5</v>
      </c>
    </row>
    <row r="187" spans="1:12" x14ac:dyDescent="0.15">
      <c r="A187">
        <v>910</v>
      </c>
      <c r="B187">
        <v>772</v>
      </c>
      <c r="C187">
        <v>771.96</v>
      </c>
      <c r="D187">
        <v>771.91</v>
      </c>
      <c r="E187">
        <v>771.87</v>
      </c>
      <c r="F187">
        <v>771.83</v>
      </c>
      <c r="G187">
        <v>771.79</v>
      </c>
      <c r="H187">
        <v>771.75</v>
      </c>
      <c r="I187">
        <v>771.7</v>
      </c>
      <c r="J187">
        <v>771.66</v>
      </c>
      <c r="K187">
        <v>771.62</v>
      </c>
      <c r="L187">
        <v>771.58</v>
      </c>
    </row>
    <row r="188" spans="1:12" x14ac:dyDescent="0.15">
      <c r="A188">
        <v>915</v>
      </c>
      <c r="B188">
        <v>772.08</v>
      </c>
      <c r="C188">
        <v>772.03</v>
      </c>
      <c r="D188">
        <v>771.99</v>
      </c>
      <c r="E188">
        <v>771.95</v>
      </c>
      <c r="F188">
        <v>771.91</v>
      </c>
      <c r="G188">
        <v>771.87</v>
      </c>
      <c r="H188">
        <v>771.83</v>
      </c>
      <c r="I188">
        <v>771.78</v>
      </c>
      <c r="J188">
        <v>771.74</v>
      </c>
      <c r="K188">
        <v>771.7</v>
      </c>
      <c r="L188">
        <v>771.66</v>
      </c>
    </row>
    <row r="189" spans="1:12" x14ac:dyDescent="0.15">
      <c r="A189">
        <v>920</v>
      </c>
      <c r="B189">
        <v>772.15</v>
      </c>
      <c r="C189">
        <v>772.11</v>
      </c>
      <c r="D189">
        <v>772.07</v>
      </c>
      <c r="E189">
        <v>772.03</v>
      </c>
      <c r="F189">
        <v>771.99</v>
      </c>
      <c r="G189">
        <v>771.95</v>
      </c>
      <c r="H189">
        <v>771.9</v>
      </c>
      <c r="I189">
        <v>771.86</v>
      </c>
      <c r="J189">
        <v>771.82</v>
      </c>
      <c r="K189">
        <v>771.78</v>
      </c>
      <c r="L189">
        <v>771.74</v>
      </c>
    </row>
    <row r="190" spans="1:12" x14ac:dyDescent="0.15">
      <c r="A190">
        <v>925</v>
      </c>
      <c r="B190">
        <v>772.23</v>
      </c>
      <c r="C190">
        <v>772.19</v>
      </c>
      <c r="D190">
        <v>772.15</v>
      </c>
      <c r="E190">
        <v>772.11</v>
      </c>
      <c r="F190">
        <v>772.07</v>
      </c>
      <c r="G190">
        <v>772.02</v>
      </c>
      <c r="H190">
        <v>771.98</v>
      </c>
      <c r="I190">
        <v>771.94</v>
      </c>
      <c r="J190">
        <v>771.9</v>
      </c>
      <c r="K190">
        <v>771.86</v>
      </c>
      <c r="L190">
        <v>771.82</v>
      </c>
    </row>
    <row r="191" spans="1:12" x14ac:dyDescent="0.15">
      <c r="A191">
        <v>930</v>
      </c>
      <c r="B191">
        <v>772.31</v>
      </c>
      <c r="C191">
        <v>772.27</v>
      </c>
      <c r="D191">
        <v>772.23</v>
      </c>
      <c r="E191">
        <v>772.19</v>
      </c>
      <c r="F191">
        <v>772.14</v>
      </c>
      <c r="G191">
        <v>772.1</v>
      </c>
      <c r="H191">
        <v>772.06</v>
      </c>
      <c r="I191">
        <v>772.02</v>
      </c>
      <c r="J191">
        <v>771.98</v>
      </c>
      <c r="K191">
        <v>771.94</v>
      </c>
      <c r="L191">
        <v>771.89</v>
      </c>
    </row>
    <row r="192" spans="1:12" x14ac:dyDescent="0.15">
      <c r="A192">
        <v>935</v>
      </c>
      <c r="B192">
        <v>772.39</v>
      </c>
      <c r="C192">
        <v>772.35</v>
      </c>
      <c r="D192">
        <v>772.31</v>
      </c>
      <c r="E192">
        <v>772.26</v>
      </c>
      <c r="F192">
        <v>772.22</v>
      </c>
      <c r="G192">
        <v>772.18</v>
      </c>
      <c r="H192">
        <v>772.14</v>
      </c>
      <c r="I192">
        <v>772.1</v>
      </c>
      <c r="J192">
        <v>772.06</v>
      </c>
      <c r="K192">
        <v>772.01</v>
      </c>
      <c r="L192">
        <v>771.97</v>
      </c>
    </row>
    <row r="193" spans="1:12" x14ac:dyDescent="0.15">
      <c r="A193">
        <v>940</v>
      </c>
      <c r="B193">
        <v>772.47</v>
      </c>
      <c r="C193">
        <v>772.43</v>
      </c>
      <c r="D193">
        <v>772.39</v>
      </c>
      <c r="E193">
        <v>772.34</v>
      </c>
      <c r="F193">
        <v>772.3</v>
      </c>
      <c r="G193">
        <v>772.26</v>
      </c>
      <c r="H193">
        <v>772.22</v>
      </c>
      <c r="I193">
        <v>772.18</v>
      </c>
      <c r="J193">
        <v>772.13</v>
      </c>
      <c r="K193">
        <v>772.09</v>
      </c>
      <c r="L193">
        <v>772.05</v>
      </c>
    </row>
    <row r="194" spans="1:12" x14ac:dyDescent="0.15">
      <c r="A194">
        <v>945</v>
      </c>
      <c r="B194">
        <v>772.55</v>
      </c>
      <c r="C194">
        <v>772.51</v>
      </c>
      <c r="D194">
        <v>772.46</v>
      </c>
      <c r="E194">
        <v>772.42</v>
      </c>
      <c r="F194">
        <v>772.38</v>
      </c>
      <c r="G194">
        <v>772.34</v>
      </c>
      <c r="H194">
        <v>772.3</v>
      </c>
      <c r="I194">
        <v>772.25</v>
      </c>
      <c r="J194">
        <v>772.21</v>
      </c>
      <c r="K194">
        <v>772.17</v>
      </c>
      <c r="L194">
        <v>772.13</v>
      </c>
    </row>
    <row r="195" spans="1:12" x14ac:dyDescent="0.15">
      <c r="A195">
        <v>950</v>
      </c>
      <c r="B195">
        <v>772.63</v>
      </c>
      <c r="C195">
        <v>772.58</v>
      </c>
      <c r="D195">
        <v>772.54</v>
      </c>
      <c r="E195">
        <v>772.5</v>
      </c>
      <c r="F195">
        <v>772.46</v>
      </c>
      <c r="G195">
        <v>772.42</v>
      </c>
      <c r="H195">
        <v>772.38</v>
      </c>
      <c r="I195">
        <v>772.33</v>
      </c>
      <c r="J195">
        <v>772.29</v>
      </c>
      <c r="K195">
        <v>772.25</v>
      </c>
      <c r="L195">
        <v>772.21</v>
      </c>
    </row>
    <row r="196" spans="1:12" x14ac:dyDescent="0.15">
      <c r="A196">
        <v>955</v>
      </c>
      <c r="B196">
        <v>772.7</v>
      </c>
      <c r="C196">
        <v>772.66</v>
      </c>
      <c r="D196">
        <v>772.62</v>
      </c>
      <c r="E196">
        <v>772.58</v>
      </c>
      <c r="F196">
        <v>772.54</v>
      </c>
      <c r="G196">
        <v>772.5</v>
      </c>
      <c r="H196">
        <v>772.45</v>
      </c>
      <c r="I196">
        <v>772.41</v>
      </c>
      <c r="J196">
        <v>772.37</v>
      </c>
      <c r="K196">
        <v>772.33</v>
      </c>
      <c r="L196">
        <v>772.29</v>
      </c>
    </row>
    <row r="197" spans="1:12" x14ac:dyDescent="0.15">
      <c r="A197">
        <v>960</v>
      </c>
      <c r="B197">
        <v>772.78</v>
      </c>
      <c r="C197">
        <v>772.74</v>
      </c>
      <c r="D197">
        <v>772.7</v>
      </c>
      <c r="E197">
        <v>772.66</v>
      </c>
      <c r="F197">
        <v>772.62</v>
      </c>
      <c r="G197">
        <v>772.57</v>
      </c>
      <c r="H197">
        <v>772.53</v>
      </c>
      <c r="I197">
        <v>772.49</v>
      </c>
      <c r="J197">
        <v>772.45</v>
      </c>
      <c r="K197">
        <v>772.41</v>
      </c>
      <c r="L197">
        <v>772.37</v>
      </c>
    </row>
    <row r="198" spans="1:12" x14ac:dyDescent="0.15">
      <c r="A198">
        <v>965</v>
      </c>
      <c r="B198">
        <v>772.86</v>
      </c>
      <c r="C198">
        <v>772.82</v>
      </c>
      <c r="D198">
        <v>772.78</v>
      </c>
      <c r="E198">
        <v>772.74</v>
      </c>
      <c r="F198">
        <v>772.69</v>
      </c>
      <c r="G198">
        <v>772.65</v>
      </c>
      <c r="H198">
        <v>772.61</v>
      </c>
      <c r="I198">
        <v>772.57</v>
      </c>
      <c r="J198">
        <v>772.53</v>
      </c>
      <c r="K198">
        <v>772.49</v>
      </c>
      <c r="L198">
        <v>772.44</v>
      </c>
    </row>
    <row r="199" spans="1:12" x14ac:dyDescent="0.15">
      <c r="A199">
        <v>970</v>
      </c>
      <c r="B199">
        <v>772.94</v>
      </c>
      <c r="C199">
        <v>772.9</v>
      </c>
      <c r="D199">
        <v>772.86</v>
      </c>
      <c r="E199">
        <v>772.81</v>
      </c>
      <c r="F199">
        <v>772.77</v>
      </c>
      <c r="G199">
        <v>772.73</v>
      </c>
      <c r="H199">
        <v>772.69</v>
      </c>
      <c r="I199">
        <v>772.65</v>
      </c>
      <c r="J199">
        <v>772.61</v>
      </c>
      <c r="K199">
        <v>772.56</v>
      </c>
      <c r="L199">
        <v>772.52</v>
      </c>
    </row>
    <row r="200" spans="1:12" x14ac:dyDescent="0.15">
      <c r="A200">
        <v>975</v>
      </c>
      <c r="B200">
        <v>773.02</v>
      </c>
      <c r="C200">
        <v>772.98</v>
      </c>
      <c r="D200">
        <v>772.93</v>
      </c>
      <c r="E200">
        <v>772.89</v>
      </c>
      <c r="F200">
        <v>772.85</v>
      </c>
      <c r="G200">
        <v>772.81</v>
      </c>
      <c r="H200">
        <v>772.77</v>
      </c>
      <c r="I200">
        <v>772.73</v>
      </c>
      <c r="J200">
        <v>772.68</v>
      </c>
      <c r="K200">
        <v>772.64</v>
      </c>
      <c r="L200">
        <v>772.6</v>
      </c>
    </row>
    <row r="201" spans="1:12" x14ac:dyDescent="0.15">
      <c r="A201">
        <v>980</v>
      </c>
      <c r="B201">
        <v>773.1</v>
      </c>
      <c r="C201">
        <v>773.06</v>
      </c>
      <c r="D201">
        <v>773.01</v>
      </c>
      <c r="E201">
        <v>772.97</v>
      </c>
      <c r="F201">
        <v>772.93</v>
      </c>
      <c r="G201">
        <v>772.89</v>
      </c>
      <c r="H201">
        <v>772.85</v>
      </c>
      <c r="I201">
        <v>772.8</v>
      </c>
      <c r="J201">
        <v>772.76</v>
      </c>
      <c r="K201">
        <v>772.72</v>
      </c>
      <c r="L201">
        <v>772.68</v>
      </c>
    </row>
    <row r="202" spans="1:12" x14ac:dyDescent="0.15">
      <c r="A202">
        <v>985</v>
      </c>
      <c r="B202">
        <v>773.18</v>
      </c>
      <c r="C202">
        <v>773.13</v>
      </c>
      <c r="D202">
        <v>773.09</v>
      </c>
      <c r="E202">
        <v>773.05</v>
      </c>
      <c r="F202">
        <v>773.01</v>
      </c>
      <c r="G202">
        <v>772.97</v>
      </c>
      <c r="H202">
        <v>772.92</v>
      </c>
      <c r="I202">
        <v>772.88</v>
      </c>
      <c r="J202">
        <v>772.84</v>
      </c>
      <c r="K202">
        <v>772.8</v>
      </c>
      <c r="L202">
        <v>772.76</v>
      </c>
    </row>
    <row r="203" spans="1:12" x14ac:dyDescent="0.15">
      <c r="A203">
        <v>990</v>
      </c>
      <c r="B203">
        <v>773.25</v>
      </c>
      <c r="C203">
        <v>773.21</v>
      </c>
      <c r="D203">
        <v>773.17</v>
      </c>
      <c r="E203">
        <v>773.13</v>
      </c>
      <c r="F203">
        <v>773.09</v>
      </c>
      <c r="G203">
        <v>773.05</v>
      </c>
      <c r="H203">
        <v>773</v>
      </c>
      <c r="I203">
        <v>772.96</v>
      </c>
      <c r="J203">
        <v>772.92</v>
      </c>
      <c r="K203">
        <v>772.88</v>
      </c>
      <c r="L203">
        <v>772.84</v>
      </c>
    </row>
    <row r="204" spans="1:12" x14ac:dyDescent="0.15">
      <c r="A204">
        <v>995</v>
      </c>
      <c r="B204">
        <v>773.33</v>
      </c>
      <c r="C204">
        <v>773.29</v>
      </c>
      <c r="D204">
        <v>773.25</v>
      </c>
      <c r="E204">
        <v>773.21</v>
      </c>
      <c r="F204">
        <v>773.17</v>
      </c>
      <c r="G204">
        <v>773.12</v>
      </c>
      <c r="H204">
        <v>773.08</v>
      </c>
      <c r="I204">
        <v>773.04</v>
      </c>
      <c r="J204">
        <v>773</v>
      </c>
      <c r="K204">
        <v>772.96</v>
      </c>
      <c r="L204">
        <v>772.92</v>
      </c>
    </row>
    <row r="205" spans="1:12" x14ac:dyDescent="0.15">
      <c r="A205">
        <v>1000</v>
      </c>
      <c r="B205">
        <v>773.41</v>
      </c>
      <c r="C205">
        <v>773.37</v>
      </c>
      <c r="D205">
        <v>773.33</v>
      </c>
      <c r="E205">
        <v>773.29</v>
      </c>
      <c r="F205">
        <v>773.24</v>
      </c>
      <c r="G205">
        <v>773.2</v>
      </c>
      <c r="H205">
        <v>773.16</v>
      </c>
      <c r="I205">
        <v>773.12</v>
      </c>
      <c r="J205">
        <v>773.08</v>
      </c>
      <c r="K205">
        <v>773.04</v>
      </c>
      <c r="L205">
        <v>772.99</v>
      </c>
    </row>
    <row r="206" spans="1:12" x14ac:dyDescent="0.15">
      <c r="A206">
        <v>1005</v>
      </c>
      <c r="B206">
        <v>773.49</v>
      </c>
      <c r="C206">
        <v>773.45</v>
      </c>
      <c r="D206">
        <v>773.41</v>
      </c>
      <c r="E206">
        <v>773.36</v>
      </c>
      <c r="F206">
        <v>773.32</v>
      </c>
      <c r="G206">
        <v>773.28</v>
      </c>
      <c r="H206">
        <v>773.24</v>
      </c>
      <c r="I206">
        <v>773.2</v>
      </c>
      <c r="J206">
        <v>773.16</v>
      </c>
      <c r="K206">
        <v>773.11</v>
      </c>
      <c r="L206">
        <v>773.07</v>
      </c>
    </row>
    <row r="207" spans="1:12" x14ac:dyDescent="0.15">
      <c r="A207">
        <v>1010</v>
      </c>
      <c r="B207">
        <v>773.57</v>
      </c>
      <c r="C207">
        <v>773.53</v>
      </c>
      <c r="D207">
        <v>773.48</v>
      </c>
      <c r="E207">
        <v>773.44</v>
      </c>
      <c r="F207">
        <v>773.4</v>
      </c>
      <c r="G207">
        <v>773.36</v>
      </c>
      <c r="H207">
        <v>773.32</v>
      </c>
      <c r="I207">
        <v>773.28</v>
      </c>
      <c r="J207">
        <v>773.23</v>
      </c>
      <c r="K207">
        <v>773.19</v>
      </c>
      <c r="L207">
        <v>773.15</v>
      </c>
    </row>
    <row r="208" spans="1:12" x14ac:dyDescent="0.15">
      <c r="A208">
        <v>1015</v>
      </c>
      <c r="B208">
        <v>773.65</v>
      </c>
      <c r="C208">
        <v>773.6</v>
      </c>
      <c r="D208">
        <v>773.56</v>
      </c>
      <c r="E208">
        <v>773.52</v>
      </c>
      <c r="F208">
        <v>773.48</v>
      </c>
      <c r="G208">
        <v>773.44</v>
      </c>
      <c r="H208">
        <v>773.4</v>
      </c>
      <c r="I208">
        <v>773.35</v>
      </c>
      <c r="J208">
        <v>773.31</v>
      </c>
      <c r="K208">
        <v>773.27</v>
      </c>
      <c r="L208">
        <v>773.23</v>
      </c>
    </row>
    <row r="209" spans="1:12" x14ac:dyDescent="0.15">
      <c r="A209">
        <v>1020</v>
      </c>
      <c r="B209">
        <v>773.72</v>
      </c>
      <c r="C209">
        <v>773.68</v>
      </c>
      <c r="D209">
        <v>773.64</v>
      </c>
      <c r="E209">
        <v>773.6</v>
      </c>
      <c r="F209">
        <v>773.56</v>
      </c>
      <c r="G209">
        <v>773.52</v>
      </c>
      <c r="H209">
        <v>773.47</v>
      </c>
      <c r="I209">
        <v>773.43</v>
      </c>
      <c r="J209">
        <v>773.39</v>
      </c>
      <c r="K209">
        <v>773.35</v>
      </c>
      <c r="L209">
        <v>773.31</v>
      </c>
    </row>
    <row r="210" spans="1:12" x14ac:dyDescent="0.15">
      <c r="A210">
        <v>1025</v>
      </c>
      <c r="B210">
        <v>773.8</v>
      </c>
      <c r="C210">
        <v>773.76</v>
      </c>
      <c r="D210">
        <v>773.72</v>
      </c>
      <c r="E210">
        <v>773.68</v>
      </c>
      <c r="F210">
        <v>773.64</v>
      </c>
      <c r="G210">
        <v>773.59</v>
      </c>
      <c r="H210">
        <v>773.55</v>
      </c>
      <c r="I210">
        <v>773.51</v>
      </c>
      <c r="J210">
        <v>773.47</v>
      </c>
      <c r="K210">
        <v>773.43</v>
      </c>
      <c r="L210">
        <v>773.39</v>
      </c>
    </row>
    <row r="211" spans="1:12" x14ac:dyDescent="0.15">
      <c r="A211">
        <v>1030</v>
      </c>
      <c r="B211">
        <v>773.88</v>
      </c>
      <c r="C211">
        <v>773.84</v>
      </c>
      <c r="D211">
        <v>773.8</v>
      </c>
      <c r="E211">
        <v>773.76</v>
      </c>
      <c r="F211">
        <v>773.71</v>
      </c>
      <c r="G211">
        <v>773.67</v>
      </c>
      <c r="H211">
        <v>773.63</v>
      </c>
      <c r="I211">
        <v>773.59</v>
      </c>
      <c r="J211">
        <v>773.55</v>
      </c>
      <c r="K211">
        <v>773.51</v>
      </c>
      <c r="L211">
        <v>773.46</v>
      </c>
    </row>
    <row r="212" spans="1:12" x14ac:dyDescent="0.15">
      <c r="A212">
        <v>1035</v>
      </c>
      <c r="B212">
        <v>773.96</v>
      </c>
      <c r="C212">
        <v>773.92</v>
      </c>
      <c r="D212">
        <v>773.88</v>
      </c>
      <c r="E212">
        <v>773.83</v>
      </c>
      <c r="F212">
        <v>773.79</v>
      </c>
      <c r="G212">
        <v>773.75</v>
      </c>
      <c r="H212">
        <v>773.71</v>
      </c>
      <c r="I212">
        <v>773.67</v>
      </c>
      <c r="J212">
        <v>773.63</v>
      </c>
      <c r="K212">
        <v>773.58</v>
      </c>
      <c r="L212">
        <v>773.54</v>
      </c>
    </row>
    <row r="213" spans="1:12" x14ac:dyDescent="0.15">
      <c r="A213">
        <v>1040</v>
      </c>
      <c r="B213">
        <v>774.04</v>
      </c>
      <c r="C213">
        <v>774</v>
      </c>
      <c r="D213">
        <v>773.96</v>
      </c>
      <c r="E213">
        <v>773.91</v>
      </c>
      <c r="F213">
        <v>773.87</v>
      </c>
      <c r="G213">
        <v>773.83</v>
      </c>
      <c r="H213">
        <v>773.79</v>
      </c>
      <c r="I213">
        <v>773.75</v>
      </c>
      <c r="J213">
        <v>773.71</v>
      </c>
      <c r="K213">
        <v>773.66</v>
      </c>
      <c r="L213">
        <v>773.62</v>
      </c>
    </row>
    <row r="214" spans="1:12" x14ac:dyDescent="0.15">
      <c r="A214">
        <v>1045</v>
      </c>
      <c r="B214">
        <v>774.12</v>
      </c>
      <c r="C214">
        <v>774.08</v>
      </c>
      <c r="D214">
        <v>774.03</v>
      </c>
      <c r="E214">
        <v>773.99</v>
      </c>
      <c r="F214">
        <v>773.95</v>
      </c>
      <c r="G214">
        <v>773.91</v>
      </c>
      <c r="H214">
        <v>773.87</v>
      </c>
      <c r="I214">
        <v>773.83</v>
      </c>
      <c r="J214">
        <v>773.78</v>
      </c>
      <c r="K214">
        <v>773.74</v>
      </c>
      <c r="L214">
        <v>773.7</v>
      </c>
    </row>
    <row r="215" spans="1:12" x14ac:dyDescent="0.15">
      <c r="A215">
        <v>1050</v>
      </c>
      <c r="B215">
        <v>774.2</v>
      </c>
      <c r="C215">
        <v>774.15</v>
      </c>
      <c r="D215">
        <v>774.11</v>
      </c>
      <c r="E215">
        <v>774.07</v>
      </c>
      <c r="F215">
        <v>774.03</v>
      </c>
      <c r="G215">
        <v>773.99</v>
      </c>
      <c r="H215">
        <v>773.95</v>
      </c>
      <c r="I215">
        <v>773.9</v>
      </c>
      <c r="J215">
        <v>773.86</v>
      </c>
      <c r="K215">
        <v>773.82</v>
      </c>
      <c r="L215">
        <v>773.78</v>
      </c>
    </row>
    <row r="216" spans="1:12" x14ac:dyDescent="0.15">
      <c r="A216">
        <v>1055</v>
      </c>
      <c r="B216">
        <v>774.27</v>
      </c>
      <c r="C216">
        <v>774.23</v>
      </c>
      <c r="D216">
        <v>774.19</v>
      </c>
      <c r="E216">
        <v>774.15</v>
      </c>
      <c r="F216">
        <v>774.11</v>
      </c>
      <c r="G216">
        <v>774.07</v>
      </c>
      <c r="H216">
        <v>774.02</v>
      </c>
      <c r="I216">
        <v>773.98</v>
      </c>
      <c r="J216">
        <v>773.94</v>
      </c>
      <c r="K216">
        <v>773.9</v>
      </c>
      <c r="L216">
        <v>773.86</v>
      </c>
    </row>
    <row r="217" spans="1:12" x14ac:dyDescent="0.15">
      <c r="A217">
        <v>1060</v>
      </c>
      <c r="B217">
        <v>774.35</v>
      </c>
      <c r="C217">
        <v>774.31</v>
      </c>
      <c r="D217">
        <v>774.27</v>
      </c>
      <c r="E217">
        <v>774.23</v>
      </c>
      <c r="F217">
        <v>774.19</v>
      </c>
      <c r="G217">
        <v>774.14</v>
      </c>
      <c r="H217">
        <v>774.1</v>
      </c>
      <c r="I217">
        <v>774.06</v>
      </c>
      <c r="J217">
        <v>774.02</v>
      </c>
      <c r="K217">
        <v>773.98</v>
      </c>
      <c r="L217">
        <v>773.94</v>
      </c>
    </row>
    <row r="218" spans="1:12" x14ac:dyDescent="0.15">
      <c r="A218">
        <v>1065</v>
      </c>
      <c r="B218">
        <v>774.43</v>
      </c>
      <c r="C218">
        <v>774.39</v>
      </c>
      <c r="D218">
        <v>774.35</v>
      </c>
      <c r="E218">
        <v>774.31</v>
      </c>
      <c r="F218">
        <v>774.26</v>
      </c>
      <c r="G218">
        <v>774.22</v>
      </c>
      <c r="H218">
        <v>774.18</v>
      </c>
      <c r="I218">
        <v>774.14</v>
      </c>
      <c r="J218">
        <v>774.1</v>
      </c>
      <c r="K218">
        <v>774.06</v>
      </c>
      <c r="L218">
        <v>774.01</v>
      </c>
    </row>
    <row r="219" spans="1:12" x14ac:dyDescent="0.15">
      <c r="A219">
        <v>1070</v>
      </c>
      <c r="B219">
        <v>774.51</v>
      </c>
      <c r="C219">
        <v>774.47</v>
      </c>
      <c r="D219">
        <v>774.43</v>
      </c>
      <c r="E219">
        <v>774.38</v>
      </c>
      <c r="F219">
        <v>774.34</v>
      </c>
      <c r="G219">
        <v>774.3</v>
      </c>
      <c r="H219">
        <v>774.26</v>
      </c>
      <c r="I219">
        <v>774.22</v>
      </c>
      <c r="J219">
        <v>774.18</v>
      </c>
      <c r="K219">
        <v>774.13</v>
      </c>
      <c r="L219">
        <v>774.09</v>
      </c>
    </row>
    <row r="220" spans="1:12" x14ac:dyDescent="0.15">
      <c r="A220">
        <v>1075</v>
      </c>
      <c r="B220">
        <v>774.59</v>
      </c>
      <c r="C220">
        <v>774.55</v>
      </c>
      <c r="D220">
        <v>774.5</v>
      </c>
      <c r="E220">
        <v>774.46</v>
      </c>
      <c r="F220">
        <v>774.42</v>
      </c>
      <c r="G220">
        <v>774.38</v>
      </c>
      <c r="H220">
        <v>774.34</v>
      </c>
      <c r="I220">
        <v>774.3</v>
      </c>
      <c r="J220">
        <v>774.25</v>
      </c>
      <c r="K220">
        <v>774.21</v>
      </c>
      <c r="L220">
        <v>774.17</v>
      </c>
    </row>
    <row r="221" spans="1:12" x14ac:dyDescent="0.15">
      <c r="A221">
        <v>1080</v>
      </c>
      <c r="B221">
        <v>774.67</v>
      </c>
      <c r="C221">
        <v>774.62</v>
      </c>
      <c r="D221">
        <v>774.58</v>
      </c>
      <c r="E221">
        <v>774.54</v>
      </c>
      <c r="F221">
        <v>774.5</v>
      </c>
      <c r="G221">
        <v>774.46</v>
      </c>
      <c r="H221">
        <v>774.42</v>
      </c>
      <c r="I221">
        <v>774.37</v>
      </c>
      <c r="J221">
        <v>774.33</v>
      </c>
      <c r="K221">
        <v>774.29</v>
      </c>
      <c r="L221">
        <v>774.25</v>
      </c>
    </row>
    <row r="222" spans="1:12" x14ac:dyDescent="0.15">
      <c r="A222">
        <v>1085</v>
      </c>
      <c r="B222">
        <v>774.74</v>
      </c>
      <c r="C222">
        <v>774.7</v>
      </c>
      <c r="D222">
        <v>774.66</v>
      </c>
      <c r="E222">
        <v>774.62</v>
      </c>
      <c r="F222">
        <v>774.58</v>
      </c>
      <c r="G222">
        <v>774.54</v>
      </c>
      <c r="H222">
        <v>774.49</v>
      </c>
      <c r="I222">
        <v>774.45</v>
      </c>
      <c r="J222">
        <v>774.41</v>
      </c>
      <c r="K222">
        <v>774.37</v>
      </c>
      <c r="L222">
        <v>774.33</v>
      </c>
    </row>
    <row r="223" spans="1:12" x14ac:dyDescent="0.15">
      <c r="A223">
        <v>1090</v>
      </c>
      <c r="B223">
        <v>774.82</v>
      </c>
      <c r="C223">
        <v>774.78</v>
      </c>
      <c r="D223">
        <v>774.74</v>
      </c>
      <c r="E223">
        <v>774.7</v>
      </c>
      <c r="F223">
        <v>774.66</v>
      </c>
      <c r="G223">
        <v>774.61</v>
      </c>
      <c r="H223">
        <v>774.57</v>
      </c>
      <c r="I223">
        <v>774.53</v>
      </c>
      <c r="J223">
        <v>774.49</v>
      </c>
      <c r="K223">
        <v>774.45</v>
      </c>
      <c r="L223">
        <v>774.41</v>
      </c>
    </row>
    <row r="224" spans="1:12" x14ac:dyDescent="0.15">
      <c r="A224">
        <v>1095</v>
      </c>
      <c r="B224">
        <v>774.9</v>
      </c>
      <c r="C224">
        <v>774.86</v>
      </c>
      <c r="D224">
        <v>774.82</v>
      </c>
      <c r="E224">
        <v>774.78</v>
      </c>
      <c r="F224">
        <v>774.73</v>
      </c>
      <c r="G224">
        <v>774.69</v>
      </c>
      <c r="H224">
        <v>774.65</v>
      </c>
      <c r="I224">
        <v>774.61</v>
      </c>
      <c r="J224">
        <v>774.57</v>
      </c>
      <c r="K224">
        <v>774.53</v>
      </c>
      <c r="L224">
        <v>774.48</v>
      </c>
    </row>
    <row r="225" spans="1:12" x14ac:dyDescent="0.15">
      <c r="A225">
        <v>1100</v>
      </c>
      <c r="B225">
        <v>774.98</v>
      </c>
      <c r="C225">
        <v>774.94</v>
      </c>
      <c r="D225">
        <v>774.9</v>
      </c>
      <c r="E225">
        <v>774.85</v>
      </c>
      <c r="F225">
        <v>774.81</v>
      </c>
      <c r="G225">
        <v>774.77</v>
      </c>
      <c r="H225">
        <v>774.73</v>
      </c>
      <c r="I225">
        <v>774.69</v>
      </c>
      <c r="J225">
        <v>774.65</v>
      </c>
      <c r="K225">
        <v>774.6</v>
      </c>
      <c r="L225">
        <v>774.56</v>
      </c>
    </row>
    <row r="226" spans="1:12" x14ac:dyDescent="0.15">
      <c r="A226">
        <v>1105</v>
      </c>
      <c r="B226">
        <v>775.06</v>
      </c>
      <c r="C226">
        <v>775.02</v>
      </c>
      <c r="D226">
        <v>774.97</v>
      </c>
      <c r="E226">
        <v>774.93</v>
      </c>
      <c r="F226">
        <v>774.89</v>
      </c>
      <c r="G226">
        <v>774.85</v>
      </c>
      <c r="H226">
        <v>774.81</v>
      </c>
      <c r="I226">
        <v>774.77</v>
      </c>
      <c r="J226">
        <v>774.72</v>
      </c>
      <c r="K226">
        <v>774.68</v>
      </c>
      <c r="L226">
        <v>774.64</v>
      </c>
    </row>
    <row r="227" spans="1:12" x14ac:dyDescent="0.15">
      <c r="A227">
        <v>1110</v>
      </c>
      <c r="B227">
        <v>775.14</v>
      </c>
      <c r="C227">
        <v>775.09</v>
      </c>
      <c r="D227">
        <v>775.05</v>
      </c>
      <c r="E227">
        <v>775.01</v>
      </c>
      <c r="F227">
        <v>774.97</v>
      </c>
      <c r="G227">
        <v>774.93</v>
      </c>
      <c r="H227">
        <v>774.89</v>
      </c>
      <c r="I227">
        <v>774.84</v>
      </c>
      <c r="J227">
        <v>774.8</v>
      </c>
      <c r="K227">
        <v>774.76</v>
      </c>
      <c r="L227">
        <v>774.72</v>
      </c>
    </row>
    <row r="228" spans="1:12" x14ac:dyDescent="0.15">
      <c r="A228">
        <v>1115</v>
      </c>
      <c r="B228">
        <v>775.21</v>
      </c>
      <c r="C228">
        <v>775.17</v>
      </c>
      <c r="D228">
        <v>775.13</v>
      </c>
      <c r="E228">
        <v>775.09</v>
      </c>
      <c r="F228">
        <v>775.05</v>
      </c>
      <c r="G228">
        <v>775.01</v>
      </c>
      <c r="H228">
        <v>774.97</v>
      </c>
      <c r="I228">
        <v>774.92</v>
      </c>
      <c r="J228">
        <v>774.88</v>
      </c>
      <c r="K228">
        <v>774.84</v>
      </c>
      <c r="L228">
        <v>774.8</v>
      </c>
    </row>
    <row r="229" spans="1:12" x14ac:dyDescent="0.15">
      <c r="A229">
        <v>1120</v>
      </c>
      <c r="B229">
        <v>775.29</v>
      </c>
      <c r="C229">
        <v>775.25</v>
      </c>
      <c r="D229">
        <v>775.21</v>
      </c>
      <c r="E229">
        <v>775.17</v>
      </c>
      <c r="F229">
        <v>775.13</v>
      </c>
      <c r="G229">
        <v>775.09</v>
      </c>
      <c r="H229">
        <v>775.04</v>
      </c>
      <c r="I229">
        <v>775</v>
      </c>
      <c r="J229">
        <v>774.96</v>
      </c>
      <c r="K229">
        <v>774.92</v>
      </c>
      <c r="L229">
        <v>774.88</v>
      </c>
    </row>
    <row r="230" spans="1:12" x14ac:dyDescent="0.15">
      <c r="A230">
        <v>1125</v>
      </c>
      <c r="B230">
        <v>775.37</v>
      </c>
      <c r="C230">
        <v>775.33</v>
      </c>
      <c r="D230">
        <v>775.29</v>
      </c>
      <c r="E230">
        <v>775.25</v>
      </c>
      <c r="F230">
        <v>775.21</v>
      </c>
      <c r="G230">
        <v>775.16</v>
      </c>
      <c r="H230">
        <v>775.12</v>
      </c>
      <c r="I230">
        <v>775.08</v>
      </c>
      <c r="J230">
        <v>775.04</v>
      </c>
      <c r="K230">
        <v>775</v>
      </c>
      <c r="L230">
        <v>774.96</v>
      </c>
    </row>
    <row r="231" spans="1:12" x14ac:dyDescent="0.15">
      <c r="A231">
        <v>1130</v>
      </c>
      <c r="B231">
        <v>775.45</v>
      </c>
      <c r="C231">
        <v>775.41</v>
      </c>
      <c r="D231">
        <v>775.37</v>
      </c>
      <c r="E231">
        <v>775.33</v>
      </c>
      <c r="F231">
        <v>775.28</v>
      </c>
      <c r="G231">
        <v>775.24</v>
      </c>
      <c r="H231">
        <v>775.2</v>
      </c>
      <c r="I231">
        <v>775.16</v>
      </c>
      <c r="J231">
        <v>775.12</v>
      </c>
      <c r="K231">
        <v>775.08</v>
      </c>
      <c r="L231">
        <v>775.03</v>
      </c>
    </row>
    <row r="232" spans="1:12" x14ac:dyDescent="0.15">
      <c r="A232">
        <v>1135</v>
      </c>
      <c r="B232">
        <v>775.53</v>
      </c>
      <c r="C232">
        <v>775.49</v>
      </c>
      <c r="D232">
        <v>775.45</v>
      </c>
      <c r="E232">
        <v>775.4</v>
      </c>
      <c r="F232">
        <v>775.36</v>
      </c>
      <c r="G232">
        <v>775.32</v>
      </c>
      <c r="H232">
        <v>775.28</v>
      </c>
      <c r="I232">
        <v>775.24</v>
      </c>
      <c r="J232">
        <v>775.2</v>
      </c>
      <c r="K232">
        <v>775.15</v>
      </c>
      <c r="L232">
        <v>775.11</v>
      </c>
    </row>
    <row r="233" spans="1:12" x14ac:dyDescent="0.15">
      <c r="A233">
        <v>1140</v>
      </c>
      <c r="B233">
        <v>775.61</v>
      </c>
      <c r="C233">
        <v>775.57</v>
      </c>
      <c r="D233">
        <v>775.52</v>
      </c>
      <c r="E233">
        <v>775.48</v>
      </c>
      <c r="F233">
        <v>775.44</v>
      </c>
      <c r="G233">
        <v>775.4</v>
      </c>
      <c r="H233">
        <v>775.36</v>
      </c>
      <c r="I233">
        <v>775.32</v>
      </c>
      <c r="J233">
        <v>775.27</v>
      </c>
      <c r="K233">
        <v>775.23</v>
      </c>
      <c r="L233">
        <v>775.19</v>
      </c>
    </row>
    <row r="234" spans="1:12" x14ac:dyDescent="0.15">
      <c r="A234">
        <v>1145</v>
      </c>
      <c r="B234">
        <v>775.69</v>
      </c>
      <c r="C234">
        <v>775.64</v>
      </c>
      <c r="D234">
        <v>775.6</v>
      </c>
      <c r="E234">
        <v>775.56</v>
      </c>
      <c r="F234">
        <v>775.52</v>
      </c>
      <c r="G234">
        <v>775.48</v>
      </c>
      <c r="H234">
        <v>775.44</v>
      </c>
      <c r="I234">
        <v>775.39</v>
      </c>
      <c r="J234">
        <v>775.35</v>
      </c>
      <c r="K234">
        <v>775.31</v>
      </c>
      <c r="L234">
        <v>775.27</v>
      </c>
    </row>
    <row r="235" spans="1:12" x14ac:dyDescent="0.15">
      <c r="A235">
        <v>1150</v>
      </c>
      <c r="B235">
        <v>775.76</v>
      </c>
      <c r="C235">
        <v>775.72</v>
      </c>
      <c r="D235">
        <v>775.68</v>
      </c>
      <c r="E235">
        <v>775.64</v>
      </c>
      <c r="F235">
        <v>775.6</v>
      </c>
      <c r="G235">
        <v>775.56</v>
      </c>
      <c r="H235">
        <v>775.51</v>
      </c>
      <c r="I235">
        <v>775.47</v>
      </c>
      <c r="J235">
        <v>775.43</v>
      </c>
      <c r="K235">
        <v>775.39</v>
      </c>
      <c r="L235">
        <v>775.35</v>
      </c>
    </row>
    <row r="236" spans="1:12" x14ac:dyDescent="0.15">
      <c r="A236">
        <v>1155</v>
      </c>
      <c r="B236">
        <v>775.84</v>
      </c>
      <c r="C236">
        <v>775.8</v>
      </c>
      <c r="D236">
        <v>775.76</v>
      </c>
      <c r="E236">
        <v>775.72</v>
      </c>
      <c r="F236">
        <v>775.68</v>
      </c>
      <c r="G236">
        <v>775.63</v>
      </c>
      <c r="H236">
        <v>775.59</v>
      </c>
      <c r="I236">
        <v>775.55</v>
      </c>
      <c r="J236">
        <v>775.51</v>
      </c>
      <c r="K236">
        <v>775.47</v>
      </c>
      <c r="L236">
        <v>775.43</v>
      </c>
    </row>
    <row r="237" spans="1:12" x14ac:dyDescent="0.15">
      <c r="A237">
        <v>1160</v>
      </c>
      <c r="B237">
        <v>775.92</v>
      </c>
      <c r="C237">
        <v>775.88</v>
      </c>
      <c r="D237">
        <v>775.84</v>
      </c>
      <c r="E237">
        <v>775.8</v>
      </c>
      <c r="F237">
        <v>775.75</v>
      </c>
      <c r="G237">
        <v>775.71</v>
      </c>
      <c r="H237">
        <v>775.67</v>
      </c>
      <c r="I237">
        <v>775.63</v>
      </c>
      <c r="J237">
        <v>775.59</v>
      </c>
      <c r="K237">
        <v>775.55</v>
      </c>
      <c r="L237">
        <v>775.5</v>
      </c>
    </row>
    <row r="238" spans="1:12" x14ac:dyDescent="0.15">
      <c r="A238">
        <v>1165</v>
      </c>
      <c r="B238">
        <v>776</v>
      </c>
      <c r="C238">
        <v>775.96</v>
      </c>
      <c r="D238">
        <v>775.92</v>
      </c>
      <c r="E238">
        <v>775.87</v>
      </c>
      <c r="F238">
        <v>775.83</v>
      </c>
      <c r="G238">
        <v>775.79</v>
      </c>
      <c r="H238">
        <v>775.75</v>
      </c>
      <c r="I238">
        <v>775.71</v>
      </c>
      <c r="J238">
        <v>775.67</v>
      </c>
      <c r="K238">
        <v>775.62</v>
      </c>
      <c r="L238">
        <v>775.58</v>
      </c>
    </row>
    <row r="239" spans="1:12" x14ac:dyDescent="0.15">
      <c r="A239">
        <v>1170</v>
      </c>
      <c r="B239">
        <v>776.08</v>
      </c>
      <c r="C239">
        <v>776.04</v>
      </c>
      <c r="D239">
        <v>775.99</v>
      </c>
      <c r="E239">
        <v>775.95</v>
      </c>
      <c r="F239">
        <v>775.91</v>
      </c>
      <c r="G239">
        <v>775.87</v>
      </c>
      <c r="H239">
        <v>775.83</v>
      </c>
      <c r="I239">
        <v>775.79</v>
      </c>
      <c r="J239">
        <v>775.74</v>
      </c>
      <c r="K239">
        <v>775.7</v>
      </c>
      <c r="L239">
        <v>775.66</v>
      </c>
    </row>
    <row r="240" spans="1:12" x14ac:dyDescent="0.15">
      <c r="A240">
        <v>1175</v>
      </c>
      <c r="B240">
        <v>776.16</v>
      </c>
      <c r="C240">
        <v>776.11</v>
      </c>
      <c r="D240">
        <v>776.07</v>
      </c>
      <c r="E240">
        <v>776.03</v>
      </c>
      <c r="F240">
        <v>775.99</v>
      </c>
      <c r="G240">
        <v>775.95</v>
      </c>
      <c r="H240">
        <v>775.91</v>
      </c>
      <c r="I240">
        <v>775.86</v>
      </c>
      <c r="J240">
        <v>775.82</v>
      </c>
      <c r="K240">
        <v>775.78</v>
      </c>
      <c r="L240">
        <v>775.74</v>
      </c>
    </row>
    <row r="241" spans="1:12" x14ac:dyDescent="0.15">
      <c r="A241">
        <v>1180</v>
      </c>
      <c r="B241">
        <v>776.23</v>
      </c>
      <c r="C241">
        <v>776.19</v>
      </c>
      <c r="D241">
        <v>776.15</v>
      </c>
      <c r="E241">
        <v>776.11</v>
      </c>
      <c r="F241">
        <v>776.07</v>
      </c>
      <c r="G241">
        <v>776.03</v>
      </c>
      <c r="H241">
        <v>775.98</v>
      </c>
      <c r="I241">
        <v>775.94</v>
      </c>
      <c r="J241">
        <v>775.9</v>
      </c>
      <c r="K241">
        <v>775.86</v>
      </c>
      <c r="L241">
        <v>775.82</v>
      </c>
    </row>
    <row r="242" spans="1:12" x14ac:dyDescent="0.15">
      <c r="A242">
        <v>1185</v>
      </c>
      <c r="B242">
        <v>776.31</v>
      </c>
      <c r="C242">
        <v>776.27</v>
      </c>
      <c r="D242">
        <v>776.23</v>
      </c>
      <c r="E242">
        <v>776.19</v>
      </c>
      <c r="F242">
        <v>776.15</v>
      </c>
      <c r="G242">
        <v>776.1</v>
      </c>
      <c r="H242">
        <v>776.06</v>
      </c>
      <c r="I242">
        <v>776.02</v>
      </c>
      <c r="J242">
        <v>775.98</v>
      </c>
      <c r="K242">
        <v>775.94</v>
      </c>
      <c r="L242">
        <v>775.9</v>
      </c>
    </row>
    <row r="243" spans="1:12" x14ac:dyDescent="0.15">
      <c r="A243">
        <v>1190</v>
      </c>
      <c r="B243">
        <v>776.39</v>
      </c>
      <c r="C243">
        <v>776.35</v>
      </c>
      <c r="D243">
        <v>776.31</v>
      </c>
      <c r="E243">
        <v>776.27</v>
      </c>
      <c r="F243">
        <v>776.22</v>
      </c>
      <c r="G243">
        <v>776.18</v>
      </c>
      <c r="H243">
        <v>776.14</v>
      </c>
      <c r="I243">
        <v>776.1</v>
      </c>
      <c r="J243">
        <v>776.06</v>
      </c>
      <c r="K243">
        <v>776.02</v>
      </c>
      <c r="L243">
        <v>775.97</v>
      </c>
    </row>
    <row r="244" spans="1:12" x14ac:dyDescent="0.15">
      <c r="A244">
        <v>1195</v>
      </c>
      <c r="B244">
        <v>776.47</v>
      </c>
      <c r="C244">
        <v>776.43</v>
      </c>
      <c r="D244">
        <v>776.39</v>
      </c>
      <c r="E244">
        <v>776.34</v>
      </c>
      <c r="F244">
        <v>776.3</v>
      </c>
      <c r="G244">
        <v>776.26</v>
      </c>
      <c r="H244">
        <v>776.22</v>
      </c>
      <c r="I244">
        <v>776.18</v>
      </c>
      <c r="J244">
        <v>776.14</v>
      </c>
      <c r="K244">
        <v>776.09</v>
      </c>
      <c r="L244">
        <v>776.05</v>
      </c>
    </row>
    <row r="245" spans="1:12" x14ac:dyDescent="0.15">
      <c r="A245">
        <v>1200</v>
      </c>
      <c r="B245">
        <v>776.55</v>
      </c>
      <c r="C245">
        <v>776.51</v>
      </c>
      <c r="D245">
        <v>776.46</v>
      </c>
      <c r="E245">
        <v>776.42</v>
      </c>
      <c r="F245">
        <v>776.38</v>
      </c>
      <c r="G245">
        <v>776.34</v>
      </c>
      <c r="H245">
        <v>776.3</v>
      </c>
      <c r="I245">
        <v>776.26</v>
      </c>
      <c r="J245">
        <v>776.21</v>
      </c>
      <c r="K245">
        <v>776.17</v>
      </c>
      <c r="L245">
        <v>776.13</v>
      </c>
    </row>
    <row r="246" spans="1:12" x14ac:dyDescent="0.15">
      <c r="A246">
        <v>1205</v>
      </c>
      <c r="B246">
        <v>776.63</v>
      </c>
      <c r="C246">
        <v>776.58</v>
      </c>
      <c r="D246">
        <v>776.54</v>
      </c>
      <c r="E246">
        <v>776.5</v>
      </c>
      <c r="F246">
        <v>776.46</v>
      </c>
      <c r="G246">
        <v>776.42</v>
      </c>
      <c r="H246">
        <v>776.38</v>
      </c>
      <c r="I246">
        <v>776.33</v>
      </c>
      <c r="J246">
        <v>776.29</v>
      </c>
      <c r="K246">
        <v>776.25</v>
      </c>
      <c r="L246">
        <v>776.21</v>
      </c>
    </row>
    <row r="247" spans="1:12" x14ac:dyDescent="0.15">
      <c r="A247">
        <v>1210</v>
      </c>
      <c r="B247">
        <v>776.7</v>
      </c>
      <c r="C247">
        <v>776.66</v>
      </c>
      <c r="D247">
        <v>776.62</v>
      </c>
      <c r="E247">
        <v>776.58</v>
      </c>
      <c r="F247">
        <v>776.54</v>
      </c>
      <c r="G247">
        <v>776.5</v>
      </c>
      <c r="H247">
        <v>776.45</v>
      </c>
      <c r="I247">
        <v>776.41</v>
      </c>
      <c r="J247">
        <v>776.37</v>
      </c>
      <c r="K247">
        <v>776.33</v>
      </c>
      <c r="L247">
        <v>776.29</v>
      </c>
    </row>
    <row r="248" spans="1:12" x14ac:dyDescent="0.15">
      <c r="A248">
        <v>1215</v>
      </c>
      <c r="B248">
        <v>776.78</v>
      </c>
      <c r="C248">
        <v>776.74</v>
      </c>
      <c r="D248">
        <v>776.7</v>
      </c>
      <c r="E248">
        <v>776.66</v>
      </c>
      <c r="F248">
        <v>776.62</v>
      </c>
      <c r="G248">
        <v>776.57</v>
      </c>
      <c r="H248">
        <v>776.53</v>
      </c>
      <c r="I248">
        <v>776.49</v>
      </c>
      <c r="J248">
        <v>776.45</v>
      </c>
      <c r="K248">
        <v>776.41</v>
      </c>
      <c r="L248">
        <v>776.37</v>
      </c>
    </row>
    <row r="249" spans="1:12" x14ac:dyDescent="0.15">
      <c r="A249">
        <v>1220</v>
      </c>
      <c r="B249">
        <v>776.86</v>
      </c>
      <c r="C249">
        <v>776.82</v>
      </c>
      <c r="D249">
        <v>776.78</v>
      </c>
      <c r="E249">
        <v>776.74</v>
      </c>
      <c r="F249">
        <v>776.69</v>
      </c>
      <c r="G249">
        <v>776.65</v>
      </c>
      <c r="H249">
        <v>776.61</v>
      </c>
      <c r="I249">
        <v>776.57</v>
      </c>
      <c r="J249">
        <v>776.53</v>
      </c>
      <c r="K249">
        <v>776.49</v>
      </c>
      <c r="L249">
        <v>776.44</v>
      </c>
    </row>
    <row r="250" spans="1:12" x14ac:dyDescent="0.15">
      <c r="A250">
        <v>1225</v>
      </c>
      <c r="B250">
        <v>776.94</v>
      </c>
      <c r="C250">
        <v>776.9</v>
      </c>
      <c r="D250">
        <v>776.86</v>
      </c>
      <c r="E250">
        <v>776.81</v>
      </c>
      <c r="F250">
        <v>776.77</v>
      </c>
      <c r="G250">
        <v>776.73</v>
      </c>
      <c r="H250">
        <v>776.69</v>
      </c>
      <c r="I250">
        <v>776.65</v>
      </c>
      <c r="J250">
        <v>776.61</v>
      </c>
      <c r="K250">
        <v>776.56</v>
      </c>
      <c r="L250">
        <v>776.52</v>
      </c>
    </row>
    <row r="251" spans="1:12" x14ac:dyDescent="0.15">
      <c r="A251">
        <v>1230</v>
      </c>
      <c r="B251">
        <v>777.02</v>
      </c>
      <c r="C251">
        <v>776.98</v>
      </c>
      <c r="D251">
        <v>776.93</v>
      </c>
      <c r="E251">
        <v>776.89</v>
      </c>
      <c r="F251">
        <v>776.85</v>
      </c>
      <c r="G251">
        <v>776.81</v>
      </c>
      <c r="H251">
        <v>776.77</v>
      </c>
      <c r="I251">
        <v>776.73</v>
      </c>
      <c r="J251">
        <v>776.68</v>
      </c>
      <c r="K251">
        <v>776.64</v>
      </c>
      <c r="L251">
        <v>776.6</v>
      </c>
    </row>
    <row r="252" spans="1:12" x14ac:dyDescent="0.15">
      <c r="A252">
        <v>1235</v>
      </c>
      <c r="B252">
        <v>777.1</v>
      </c>
      <c r="C252">
        <v>777.05</v>
      </c>
      <c r="D252">
        <v>777.01</v>
      </c>
      <c r="E252">
        <v>776.97</v>
      </c>
      <c r="F252">
        <v>776.93</v>
      </c>
      <c r="G252">
        <v>776.89</v>
      </c>
      <c r="H252">
        <v>776.85</v>
      </c>
      <c r="I252">
        <v>776.8</v>
      </c>
      <c r="J252">
        <v>776.76</v>
      </c>
      <c r="K252">
        <v>776.72</v>
      </c>
      <c r="L252">
        <v>776.68</v>
      </c>
    </row>
    <row r="253" spans="1:12" x14ac:dyDescent="0.15">
      <c r="A253">
        <v>1240</v>
      </c>
      <c r="B253">
        <v>777.17</v>
      </c>
      <c r="C253">
        <v>777.13</v>
      </c>
      <c r="D253">
        <v>777.09</v>
      </c>
      <c r="E253">
        <v>777.05</v>
      </c>
      <c r="F253">
        <v>777.01</v>
      </c>
      <c r="G253">
        <v>776.97</v>
      </c>
      <c r="H253">
        <v>776.92</v>
      </c>
      <c r="I253">
        <v>776.88</v>
      </c>
      <c r="J253">
        <v>776.84</v>
      </c>
      <c r="K253">
        <v>776.8</v>
      </c>
      <c r="L253">
        <v>776.76</v>
      </c>
    </row>
    <row r="254" spans="1:12" x14ac:dyDescent="0.15">
      <c r="A254">
        <v>1245</v>
      </c>
      <c r="B254">
        <v>777.25</v>
      </c>
      <c r="C254">
        <v>777.21</v>
      </c>
      <c r="D254">
        <v>777.17</v>
      </c>
      <c r="E254">
        <v>777.13</v>
      </c>
      <c r="F254">
        <v>777.09</v>
      </c>
      <c r="G254">
        <v>777.04</v>
      </c>
      <c r="H254">
        <v>777</v>
      </c>
      <c r="I254">
        <v>776.96</v>
      </c>
      <c r="J254">
        <v>776.92</v>
      </c>
      <c r="K254">
        <v>776.88</v>
      </c>
      <c r="L254">
        <v>776.84</v>
      </c>
    </row>
    <row r="255" spans="1:12" x14ac:dyDescent="0.15">
      <c r="A255">
        <v>1250</v>
      </c>
      <c r="B255">
        <v>777.33</v>
      </c>
      <c r="C255">
        <v>777.29</v>
      </c>
      <c r="D255">
        <v>777.25</v>
      </c>
      <c r="E255">
        <v>777.21</v>
      </c>
      <c r="F255">
        <v>777.16</v>
      </c>
      <c r="G255">
        <v>777.12</v>
      </c>
      <c r="H255">
        <v>777.08</v>
      </c>
      <c r="I255">
        <v>777.04</v>
      </c>
      <c r="J255">
        <v>777</v>
      </c>
      <c r="K255">
        <v>776.96</v>
      </c>
      <c r="L255">
        <v>776.91</v>
      </c>
    </row>
    <row r="256" spans="1:12" x14ac:dyDescent="0.15">
      <c r="A256">
        <v>1255</v>
      </c>
      <c r="B256">
        <v>777.41</v>
      </c>
      <c r="C256">
        <v>777.37</v>
      </c>
      <c r="D256">
        <v>777.33</v>
      </c>
      <c r="E256">
        <v>777.28</v>
      </c>
      <c r="F256">
        <v>777.24</v>
      </c>
      <c r="G256">
        <v>777.2</v>
      </c>
      <c r="H256">
        <v>777.16</v>
      </c>
      <c r="I256">
        <v>777.12</v>
      </c>
      <c r="J256">
        <v>777.08</v>
      </c>
      <c r="K256">
        <v>777.03</v>
      </c>
      <c r="L256">
        <v>776.99</v>
      </c>
    </row>
    <row r="257" spans="1:12" x14ac:dyDescent="0.15">
      <c r="A257">
        <v>1260</v>
      </c>
      <c r="B257">
        <v>777.49</v>
      </c>
      <c r="C257">
        <v>777.45</v>
      </c>
      <c r="D257">
        <v>777.4</v>
      </c>
      <c r="E257">
        <v>777.36</v>
      </c>
      <c r="F257">
        <v>777.32</v>
      </c>
      <c r="G257">
        <v>777.28</v>
      </c>
      <c r="H257">
        <v>777.24</v>
      </c>
      <c r="I257">
        <v>777.2</v>
      </c>
      <c r="J257">
        <v>777.15</v>
      </c>
      <c r="K257">
        <v>777.11</v>
      </c>
      <c r="L257">
        <v>777.07</v>
      </c>
    </row>
    <row r="258" spans="1:12" x14ac:dyDescent="0.15">
      <c r="A258">
        <v>1265</v>
      </c>
      <c r="B258">
        <v>777.57</v>
      </c>
      <c r="C258">
        <v>777.52</v>
      </c>
      <c r="D258">
        <v>777.48</v>
      </c>
      <c r="E258">
        <v>777.44</v>
      </c>
      <c r="F258">
        <v>777.4</v>
      </c>
      <c r="G258">
        <v>777.36</v>
      </c>
      <c r="H258">
        <v>777.32</v>
      </c>
      <c r="I258">
        <v>777.27</v>
      </c>
      <c r="J258">
        <v>777.23</v>
      </c>
      <c r="K258">
        <v>777.19</v>
      </c>
      <c r="L258">
        <v>777.15</v>
      </c>
    </row>
    <row r="259" spans="1:12" x14ac:dyDescent="0.15">
      <c r="A259">
        <v>1270</v>
      </c>
      <c r="B259">
        <v>777.64</v>
      </c>
      <c r="C259">
        <v>777.6</v>
      </c>
      <c r="D259">
        <v>777.56</v>
      </c>
      <c r="E259">
        <v>777.52</v>
      </c>
      <c r="F259">
        <v>777.48</v>
      </c>
      <c r="G259">
        <v>777.44</v>
      </c>
      <c r="H259">
        <v>777.39</v>
      </c>
      <c r="I259">
        <v>777.35</v>
      </c>
      <c r="J259">
        <v>777.31</v>
      </c>
      <c r="K259">
        <v>777.27</v>
      </c>
      <c r="L259">
        <v>777.23</v>
      </c>
    </row>
    <row r="260" spans="1:12" x14ac:dyDescent="0.15">
      <c r="A260">
        <v>1275</v>
      </c>
      <c r="B260">
        <v>777.72</v>
      </c>
      <c r="C260">
        <v>777.68</v>
      </c>
      <c r="D260">
        <v>777.64</v>
      </c>
      <c r="E260">
        <v>777.6</v>
      </c>
      <c r="F260">
        <v>777.56</v>
      </c>
      <c r="G260">
        <v>777.51</v>
      </c>
      <c r="H260">
        <v>777.47</v>
      </c>
      <c r="I260">
        <v>777.43</v>
      </c>
      <c r="J260">
        <v>777.39</v>
      </c>
      <c r="K260">
        <v>777.35</v>
      </c>
      <c r="L260">
        <v>777.31</v>
      </c>
    </row>
    <row r="261" spans="1:12" x14ac:dyDescent="0.15">
      <c r="A261">
        <v>1280</v>
      </c>
      <c r="B261">
        <v>777.8</v>
      </c>
      <c r="C261">
        <v>777.76</v>
      </c>
      <c r="D261">
        <v>777.72</v>
      </c>
      <c r="E261">
        <v>777.68</v>
      </c>
      <c r="F261">
        <v>777.63</v>
      </c>
      <c r="G261">
        <v>777.59</v>
      </c>
      <c r="H261">
        <v>777.55</v>
      </c>
      <c r="I261">
        <v>777.51</v>
      </c>
      <c r="J261">
        <v>777.47</v>
      </c>
      <c r="K261">
        <v>777.43</v>
      </c>
      <c r="L261">
        <v>777.38</v>
      </c>
    </row>
    <row r="262" spans="1:12" x14ac:dyDescent="0.15">
      <c r="A262">
        <v>1285</v>
      </c>
      <c r="B262">
        <v>777.88</v>
      </c>
      <c r="C262">
        <v>777.84</v>
      </c>
      <c r="D262">
        <v>777.8</v>
      </c>
      <c r="E262">
        <v>777.75</v>
      </c>
      <c r="F262">
        <v>777.71</v>
      </c>
      <c r="G262">
        <v>777.67</v>
      </c>
      <c r="H262">
        <v>777.63</v>
      </c>
      <c r="I262">
        <v>777.59</v>
      </c>
      <c r="J262">
        <v>777.55</v>
      </c>
      <c r="K262">
        <v>777.5</v>
      </c>
      <c r="L262">
        <v>777.46</v>
      </c>
    </row>
    <row r="263" spans="1:12" x14ac:dyDescent="0.15">
      <c r="A263">
        <v>1290</v>
      </c>
      <c r="B263">
        <v>777.96</v>
      </c>
      <c r="C263">
        <v>777.92</v>
      </c>
      <c r="D263">
        <v>777.87</v>
      </c>
      <c r="E263">
        <v>777.83</v>
      </c>
      <c r="F263">
        <v>777.79</v>
      </c>
      <c r="G263">
        <v>777.75</v>
      </c>
      <c r="H263">
        <v>777.71</v>
      </c>
      <c r="I263">
        <v>777.67</v>
      </c>
      <c r="J263">
        <v>777.62</v>
      </c>
      <c r="K263">
        <v>777.58</v>
      </c>
      <c r="L263">
        <v>777.54</v>
      </c>
    </row>
    <row r="264" spans="1:12" x14ac:dyDescent="0.15">
      <c r="A264">
        <v>1295</v>
      </c>
      <c r="B264">
        <v>778.04</v>
      </c>
      <c r="C264">
        <v>777.99</v>
      </c>
      <c r="D264">
        <v>777.95</v>
      </c>
      <c r="E264">
        <v>777.91</v>
      </c>
      <c r="F264">
        <v>777.87</v>
      </c>
      <c r="G264">
        <v>777.83</v>
      </c>
      <c r="H264">
        <v>777.79</v>
      </c>
      <c r="I264">
        <v>777.74</v>
      </c>
      <c r="J264">
        <v>777.7</v>
      </c>
      <c r="K264">
        <v>777.66</v>
      </c>
      <c r="L264">
        <v>777.62</v>
      </c>
    </row>
    <row r="265" spans="1:12" x14ac:dyDescent="0.15">
      <c r="A265">
        <v>1300</v>
      </c>
      <c r="B265">
        <v>778.11</v>
      </c>
      <c r="C265">
        <v>778.07</v>
      </c>
      <c r="D265">
        <v>778.03</v>
      </c>
      <c r="E265">
        <v>777.99</v>
      </c>
      <c r="F265">
        <v>777.95</v>
      </c>
      <c r="G265">
        <v>777.91</v>
      </c>
      <c r="H265">
        <v>777.86</v>
      </c>
      <c r="I265">
        <v>777.82</v>
      </c>
      <c r="J265">
        <v>777.78</v>
      </c>
      <c r="K265">
        <v>777.74</v>
      </c>
      <c r="L265">
        <v>777.7</v>
      </c>
    </row>
    <row r="266" spans="1:12" x14ac:dyDescent="0.15">
      <c r="A266">
        <v>1305</v>
      </c>
      <c r="B266">
        <v>778.19</v>
      </c>
      <c r="C266">
        <v>778.15</v>
      </c>
      <c r="D266">
        <v>778.11</v>
      </c>
      <c r="E266">
        <v>778.07</v>
      </c>
      <c r="F266">
        <v>778.03</v>
      </c>
      <c r="G266">
        <v>777.98</v>
      </c>
      <c r="H266">
        <v>777.94</v>
      </c>
      <c r="I266">
        <v>777.9</v>
      </c>
      <c r="J266">
        <v>777.86</v>
      </c>
      <c r="K266">
        <v>777.82</v>
      </c>
      <c r="L266">
        <v>777.78</v>
      </c>
    </row>
    <row r="267" spans="1:12" x14ac:dyDescent="0.15">
      <c r="A267">
        <v>1310</v>
      </c>
      <c r="B267">
        <v>778.27</v>
      </c>
      <c r="C267">
        <v>778.23</v>
      </c>
      <c r="D267">
        <v>778.19</v>
      </c>
      <c r="E267">
        <v>778.15</v>
      </c>
      <c r="F267">
        <v>778.1</v>
      </c>
      <c r="G267">
        <v>778.06</v>
      </c>
      <c r="H267">
        <v>778.02</v>
      </c>
      <c r="I267">
        <v>777.98</v>
      </c>
      <c r="J267">
        <v>777.94</v>
      </c>
      <c r="K267">
        <v>777.9</v>
      </c>
      <c r="L267">
        <v>777.85</v>
      </c>
    </row>
    <row r="268" spans="1:12" x14ac:dyDescent="0.15">
      <c r="A268">
        <v>1315</v>
      </c>
      <c r="B268">
        <v>778.35</v>
      </c>
      <c r="C268">
        <v>778.31</v>
      </c>
      <c r="D268">
        <v>778.27</v>
      </c>
      <c r="E268">
        <v>778.22</v>
      </c>
      <c r="F268">
        <v>778.18</v>
      </c>
      <c r="G268">
        <v>778.14</v>
      </c>
      <c r="H268">
        <v>778.1</v>
      </c>
      <c r="I268">
        <v>778.06</v>
      </c>
      <c r="J268">
        <v>778.02</v>
      </c>
      <c r="K268">
        <v>777.97</v>
      </c>
      <c r="L268">
        <v>777.93</v>
      </c>
    </row>
    <row r="269" spans="1:12" x14ac:dyDescent="0.15">
      <c r="A269">
        <v>1320</v>
      </c>
      <c r="B269">
        <v>778.43</v>
      </c>
      <c r="C269">
        <v>778.39</v>
      </c>
      <c r="D269">
        <v>778.34</v>
      </c>
      <c r="E269">
        <v>778.3</v>
      </c>
      <c r="F269">
        <v>778.26</v>
      </c>
      <c r="G269">
        <v>778.22</v>
      </c>
      <c r="H269">
        <v>778.18</v>
      </c>
      <c r="I269">
        <v>778.14</v>
      </c>
      <c r="J269">
        <v>778.09</v>
      </c>
      <c r="K269">
        <v>778.05</v>
      </c>
      <c r="L269">
        <v>778.01</v>
      </c>
    </row>
    <row r="270" spans="1:12" x14ac:dyDescent="0.15">
      <c r="A270">
        <v>1325</v>
      </c>
      <c r="B270">
        <v>778.5</v>
      </c>
      <c r="C270">
        <v>778.46</v>
      </c>
      <c r="D270">
        <v>778.42</v>
      </c>
      <c r="E270">
        <v>778.38</v>
      </c>
      <c r="F270">
        <v>778.34</v>
      </c>
      <c r="G270">
        <v>778.3</v>
      </c>
      <c r="H270">
        <v>778.26</v>
      </c>
      <c r="I270">
        <v>778.21</v>
      </c>
      <c r="J270">
        <v>778.17</v>
      </c>
      <c r="K270">
        <v>778.13</v>
      </c>
      <c r="L270">
        <v>778.09</v>
      </c>
    </row>
    <row r="271" spans="1:12" x14ac:dyDescent="0.15">
      <c r="A271">
        <v>1330</v>
      </c>
      <c r="B271">
        <v>778.58</v>
      </c>
      <c r="C271">
        <v>778.54</v>
      </c>
      <c r="D271">
        <v>778.5</v>
      </c>
      <c r="E271">
        <v>778.46</v>
      </c>
      <c r="F271">
        <v>778.42</v>
      </c>
      <c r="G271">
        <v>778.38</v>
      </c>
      <c r="H271">
        <v>778.33</v>
      </c>
      <c r="I271">
        <v>778.29</v>
      </c>
      <c r="J271">
        <v>778.25</v>
      </c>
      <c r="K271">
        <v>778.21</v>
      </c>
      <c r="L271">
        <v>778.17</v>
      </c>
    </row>
    <row r="272" spans="1:12" x14ac:dyDescent="0.15">
      <c r="A272">
        <v>1335</v>
      </c>
      <c r="B272">
        <v>778.66</v>
      </c>
      <c r="C272">
        <v>778.62</v>
      </c>
      <c r="D272">
        <v>778.58</v>
      </c>
      <c r="E272">
        <v>778.54</v>
      </c>
      <c r="F272">
        <v>778.5</v>
      </c>
      <c r="G272">
        <v>778.45</v>
      </c>
      <c r="H272">
        <v>778.41</v>
      </c>
      <c r="I272">
        <v>778.37</v>
      </c>
      <c r="J272">
        <v>778.33</v>
      </c>
      <c r="K272">
        <v>778.29</v>
      </c>
      <c r="L272">
        <v>778.25</v>
      </c>
    </row>
    <row r="273" spans="1:12" x14ac:dyDescent="0.15">
      <c r="A273">
        <v>1340</v>
      </c>
      <c r="B273">
        <v>778.74</v>
      </c>
      <c r="C273">
        <v>778.7</v>
      </c>
      <c r="D273">
        <v>778.66</v>
      </c>
      <c r="E273">
        <v>778.62</v>
      </c>
      <c r="F273">
        <v>778.57</v>
      </c>
      <c r="G273">
        <v>778.53</v>
      </c>
      <c r="H273">
        <v>778.49</v>
      </c>
      <c r="I273">
        <v>778.45</v>
      </c>
      <c r="J273">
        <v>778.41</v>
      </c>
      <c r="K273">
        <v>778.37</v>
      </c>
      <c r="L273">
        <v>778.32</v>
      </c>
    </row>
    <row r="274" spans="1:12" x14ac:dyDescent="0.15">
      <c r="A274">
        <v>1345</v>
      </c>
      <c r="B274">
        <v>778.82</v>
      </c>
      <c r="C274">
        <v>778.78</v>
      </c>
      <c r="D274">
        <v>778.74</v>
      </c>
      <c r="E274">
        <v>778.69</v>
      </c>
      <c r="F274">
        <v>778.65</v>
      </c>
      <c r="G274">
        <v>778.61</v>
      </c>
      <c r="H274">
        <v>778.57</v>
      </c>
      <c r="I274">
        <v>778.53</v>
      </c>
      <c r="J274">
        <v>778.49</v>
      </c>
      <c r="K274">
        <v>778.44</v>
      </c>
      <c r="L274">
        <v>778.4</v>
      </c>
    </row>
    <row r="275" spans="1:12" x14ac:dyDescent="0.15">
      <c r="A275">
        <v>1350</v>
      </c>
      <c r="B275">
        <v>778.9</v>
      </c>
      <c r="C275">
        <v>778.85</v>
      </c>
      <c r="D275">
        <v>778.81</v>
      </c>
      <c r="E275">
        <v>778.77</v>
      </c>
      <c r="F275">
        <v>778.73</v>
      </c>
      <c r="G275">
        <v>778.69</v>
      </c>
      <c r="H275">
        <v>778.65</v>
      </c>
      <c r="I275">
        <v>778.61</v>
      </c>
      <c r="J275">
        <v>778.56</v>
      </c>
      <c r="K275">
        <v>778.52</v>
      </c>
      <c r="L275">
        <v>778.48</v>
      </c>
    </row>
    <row r="276" spans="1:12" x14ac:dyDescent="0.15">
      <c r="A276">
        <v>1355</v>
      </c>
      <c r="B276">
        <v>778.97</v>
      </c>
      <c r="C276">
        <v>778.93</v>
      </c>
      <c r="D276">
        <v>778.89</v>
      </c>
      <c r="E276">
        <v>778.85</v>
      </c>
      <c r="F276">
        <v>778.81</v>
      </c>
      <c r="G276">
        <v>778.77</v>
      </c>
      <c r="H276">
        <v>778.73</v>
      </c>
      <c r="I276">
        <v>778.68</v>
      </c>
      <c r="J276">
        <v>778.64</v>
      </c>
      <c r="K276">
        <v>778.6</v>
      </c>
      <c r="L276">
        <v>778.56</v>
      </c>
    </row>
    <row r="277" spans="1:12" x14ac:dyDescent="0.15">
      <c r="A277">
        <v>1360</v>
      </c>
      <c r="B277">
        <v>779.05</v>
      </c>
      <c r="C277">
        <v>779.01</v>
      </c>
      <c r="D277">
        <v>778.97</v>
      </c>
      <c r="E277">
        <v>778.93</v>
      </c>
      <c r="F277">
        <v>778.89</v>
      </c>
      <c r="G277">
        <v>778.85</v>
      </c>
      <c r="H277">
        <v>778.8</v>
      </c>
      <c r="I277">
        <v>778.76</v>
      </c>
      <c r="J277">
        <v>778.72</v>
      </c>
      <c r="K277">
        <v>778.68</v>
      </c>
      <c r="L277">
        <v>778.64</v>
      </c>
    </row>
    <row r="278" spans="1:12" x14ac:dyDescent="0.15">
      <c r="A278">
        <v>1365</v>
      </c>
      <c r="B278">
        <v>779.13</v>
      </c>
      <c r="C278">
        <v>779.09</v>
      </c>
      <c r="D278">
        <v>779.05</v>
      </c>
      <c r="E278">
        <v>779.01</v>
      </c>
      <c r="F278">
        <v>778.97</v>
      </c>
      <c r="G278">
        <v>778.92</v>
      </c>
      <c r="H278">
        <v>778.88</v>
      </c>
      <c r="I278">
        <v>778.84</v>
      </c>
      <c r="J278">
        <v>778.8</v>
      </c>
      <c r="K278">
        <v>778.76</v>
      </c>
      <c r="L278">
        <v>778.72</v>
      </c>
    </row>
    <row r="279" spans="1:12" x14ac:dyDescent="0.15">
      <c r="A279">
        <v>1370</v>
      </c>
      <c r="B279">
        <v>779.21</v>
      </c>
      <c r="C279">
        <v>779.17</v>
      </c>
      <c r="D279">
        <v>779.13</v>
      </c>
      <c r="E279">
        <v>779.08</v>
      </c>
      <c r="F279">
        <v>779.04</v>
      </c>
      <c r="G279">
        <v>779</v>
      </c>
      <c r="H279">
        <v>778.96</v>
      </c>
      <c r="I279">
        <v>778.92</v>
      </c>
      <c r="J279">
        <v>778.88</v>
      </c>
      <c r="K279">
        <v>778.84</v>
      </c>
      <c r="L279">
        <v>778.79</v>
      </c>
    </row>
    <row r="280" spans="1:12" x14ac:dyDescent="0.15">
      <c r="A280">
        <v>1375</v>
      </c>
      <c r="B280">
        <v>779.29</v>
      </c>
      <c r="C280">
        <v>779.25</v>
      </c>
      <c r="D280">
        <v>779.2</v>
      </c>
      <c r="E280">
        <v>779.16</v>
      </c>
      <c r="F280">
        <v>779.12</v>
      </c>
      <c r="G280">
        <v>779.08</v>
      </c>
      <c r="H280">
        <v>779.04</v>
      </c>
      <c r="I280">
        <v>779</v>
      </c>
      <c r="J280">
        <v>778.96</v>
      </c>
      <c r="K280">
        <v>778.91</v>
      </c>
      <c r="L280">
        <v>778.87</v>
      </c>
    </row>
    <row r="281" spans="1:12" x14ac:dyDescent="0.15">
      <c r="A281">
        <v>1380</v>
      </c>
      <c r="B281">
        <v>779.37</v>
      </c>
      <c r="C281">
        <v>779.32</v>
      </c>
      <c r="D281">
        <v>779.28</v>
      </c>
      <c r="E281">
        <v>779.24</v>
      </c>
      <c r="F281">
        <v>779.2</v>
      </c>
      <c r="G281">
        <v>779.16</v>
      </c>
      <c r="H281">
        <v>779.12</v>
      </c>
      <c r="I281">
        <v>779.08</v>
      </c>
      <c r="J281">
        <v>779.03</v>
      </c>
      <c r="K281">
        <v>778.99</v>
      </c>
      <c r="L281">
        <v>778.95</v>
      </c>
    </row>
    <row r="282" spans="1:12" x14ac:dyDescent="0.15">
      <c r="A282">
        <v>1385</v>
      </c>
      <c r="B282">
        <v>779.44</v>
      </c>
      <c r="C282">
        <v>779.4</v>
      </c>
      <c r="D282">
        <v>779.36</v>
      </c>
      <c r="E282">
        <v>779.32</v>
      </c>
      <c r="F282">
        <v>779.28</v>
      </c>
      <c r="G282">
        <v>779.24</v>
      </c>
      <c r="H282">
        <v>779.2</v>
      </c>
      <c r="I282">
        <v>779.15</v>
      </c>
      <c r="J282">
        <v>779.11</v>
      </c>
      <c r="K282">
        <v>779.07</v>
      </c>
      <c r="L282">
        <v>779.03</v>
      </c>
    </row>
    <row r="283" spans="1:12" x14ac:dyDescent="0.15">
      <c r="A283">
        <v>1390</v>
      </c>
      <c r="B283">
        <v>779.52</v>
      </c>
      <c r="C283">
        <v>779.48</v>
      </c>
      <c r="D283">
        <v>779.44</v>
      </c>
      <c r="E283">
        <v>779.4</v>
      </c>
      <c r="F283">
        <v>779.36</v>
      </c>
      <c r="G283">
        <v>779.32</v>
      </c>
      <c r="H283">
        <v>779.27</v>
      </c>
      <c r="I283">
        <v>779.23</v>
      </c>
      <c r="J283">
        <v>779.19</v>
      </c>
      <c r="K283">
        <v>779.15</v>
      </c>
      <c r="L283">
        <v>779.11</v>
      </c>
    </row>
    <row r="284" spans="1:12" x14ac:dyDescent="0.15">
      <c r="A284">
        <v>1395</v>
      </c>
      <c r="B284">
        <v>779.6</v>
      </c>
      <c r="C284">
        <v>779.56</v>
      </c>
      <c r="D284">
        <v>779.52</v>
      </c>
      <c r="E284">
        <v>779.48</v>
      </c>
      <c r="F284">
        <v>779.43</v>
      </c>
      <c r="G284">
        <v>779.39</v>
      </c>
      <c r="H284">
        <v>779.35</v>
      </c>
      <c r="I284">
        <v>779.31</v>
      </c>
      <c r="J284">
        <v>779.27</v>
      </c>
      <c r="K284">
        <v>779.23</v>
      </c>
      <c r="L284">
        <v>779.19</v>
      </c>
    </row>
    <row r="285" spans="1:12" x14ac:dyDescent="0.15">
      <c r="A285">
        <v>1400</v>
      </c>
      <c r="B285">
        <v>779.68</v>
      </c>
      <c r="C285">
        <v>779.64</v>
      </c>
      <c r="D285">
        <v>779.6</v>
      </c>
      <c r="E285">
        <v>779.55</v>
      </c>
      <c r="F285">
        <v>779.51</v>
      </c>
      <c r="G285">
        <v>779.47</v>
      </c>
      <c r="H285">
        <v>779.43</v>
      </c>
      <c r="I285">
        <v>779.39</v>
      </c>
      <c r="J285">
        <v>779.35</v>
      </c>
      <c r="K285">
        <v>779.31</v>
      </c>
      <c r="L285">
        <v>779.26</v>
      </c>
    </row>
    <row r="286" spans="1:12" x14ac:dyDescent="0.15">
      <c r="A286">
        <v>1405</v>
      </c>
      <c r="B286">
        <v>779.76</v>
      </c>
      <c r="C286">
        <v>779.72</v>
      </c>
      <c r="D286">
        <v>779.67</v>
      </c>
      <c r="E286">
        <v>779.63</v>
      </c>
      <c r="F286">
        <v>779.59</v>
      </c>
      <c r="G286">
        <v>779.55</v>
      </c>
      <c r="H286">
        <v>779.51</v>
      </c>
      <c r="I286">
        <v>779.47</v>
      </c>
      <c r="J286">
        <v>779.43</v>
      </c>
      <c r="K286">
        <v>779.38</v>
      </c>
      <c r="L286">
        <v>779.34</v>
      </c>
    </row>
    <row r="287" spans="1:12" x14ac:dyDescent="0.15">
      <c r="A287">
        <v>1410</v>
      </c>
      <c r="B287">
        <v>779.84</v>
      </c>
      <c r="C287">
        <v>779.79</v>
      </c>
      <c r="D287">
        <v>779.75</v>
      </c>
      <c r="E287">
        <v>779.71</v>
      </c>
      <c r="F287">
        <v>779.67</v>
      </c>
      <c r="G287">
        <v>779.63</v>
      </c>
      <c r="H287">
        <v>779.59</v>
      </c>
      <c r="I287">
        <v>779.55</v>
      </c>
      <c r="J287">
        <v>779.5</v>
      </c>
      <c r="K287">
        <v>779.46</v>
      </c>
      <c r="L287">
        <v>779.42</v>
      </c>
    </row>
    <row r="288" spans="1:12" x14ac:dyDescent="0.15">
      <c r="A288">
        <v>1415</v>
      </c>
      <c r="B288">
        <v>779.91</v>
      </c>
      <c r="C288">
        <v>779.87</v>
      </c>
      <c r="D288">
        <v>779.83</v>
      </c>
      <c r="E288">
        <v>779.79</v>
      </c>
      <c r="F288">
        <v>779.75</v>
      </c>
      <c r="G288">
        <v>779.71</v>
      </c>
      <c r="H288">
        <v>779.67</v>
      </c>
      <c r="I288">
        <v>779.62</v>
      </c>
      <c r="J288">
        <v>779.58</v>
      </c>
      <c r="K288">
        <v>779.54</v>
      </c>
      <c r="L288">
        <v>779.5</v>
      </c>
    </row>
    <row r="289" spans="1:12" x14ac:dyDescent="0.15">
      <c r="A289">
        <v>1420</v>
      </c>
      <c r="B289">
        <v>779.99</v>
      </c>
      <c r="C289">
        <v>779.95</v>
      </c>
      <c r="D289">
        <v>779.91</v>
      </c>
      <c r="E289">
        <v>779.87</v>
      </c>
      <c r="F289">
        <v>779.83</v>
      </c>
      <c r="G289">
        <v>779.78</v>
      </c>
      <c r="H289">
        <v>779.74</v>
      </c>
      <c r="I289">
        <v>779.7</v>
      </c>
      <c r="J289">
        <v>779.66</v>
      </c>
      <c r="K289">
        <v>779.62</v>
      </c>
      <c r="L289">
        <v>779.58</v>
      </c>
    </row>
    <row r="290" spans="1:12" x14ac:dyDescent="0.15">
      <c r="A290">
        <v>1425</v>
      </c>
      <c r="B290">
        <v>780.07</v>
      </c>
      <c r="C290">
        <v>780.03</v>
      </c>
      <c r="D290">
        <v>779.99</v>
      </c>
      <c r="E290">
        <v>779.95</v>
      </c>
      <c r="F290">
        <v>779.9</v>
      </c>
      <c r="G290">
        <v>779.86</v>
      </c>
      <c r="H290">
        <v>779.82</v>
      </c>
      <c r="I290">
        <v>779.78</v>
      </c>
      <c r="J290">
        <v>779.74</v>
      </c>
      <c r="K290">
        <v>779.7</v>
      </c>
      <c r="L290">
        <v>779.66</v>
      </c>
    </row>
    <row r="291" spans="1:12" x14ac:dyDescent="0.15">
      <c r="A291">
        <v>1430</v>
      </c>
      <c r="B291">
        <v>780.15</v>
      </c>
      <c r="C291">
        <v>780.11</v>
      </c>
      <c r="D291">
        <v>780.07</v>
      </c>
      <c r="E291">
        <v>780.02</v>
      </c>
      <c r="F291">
        <v>779.98</v>
      </c>
      <c r="G291">
        <v>779.94</v>
      </c>
      <c r="H291">
        <v>779.9</v>
      </c>
      <c r="I291">
        <v>779.86</v>
      </c>
      <c r="J291">
        <v>779.82</v>
      </c>
      <c r="K291">
        <v>779.78</v>
      </c>
      <c r="L291">
        <v>779.73</v>
      </c>
    </row>
    <row r="292" spans="1:12" x14ac:dyDescent="0.15">
      <c r="A292">
        <v>1435</v>
      </c>
      <c r="B292">
        <v>780.23</v>
      </c>
      <c r="C292">
        <v>780.19</v>
      </c>
      <c r="D292">
        <v>780.14</v>
      </c>
      <c r="E292">
        <v>780.1</v>
      </c>
      <c r="F292">
        <v>780.06</v>
      </c>
      <c r="G292">
        <v>780.02</v>
      </c>
      <c r="H292">
        <v>779.98</v>
      </c>
      <c r="I292">
        <v>779.94</v>
      </c>
      <c r="J292">
        <v>779.9</v>
      </c>
      <c r="K292">
        <v>779.85</v>
      </c>
      <c r="L292">
        <v>779.81</v>
      </c>
    </row>
    <row r="293" spans="1:12" x14ac:dyDescent="0.15">
      <c r="A293">
        <v>1440</v>
      </c>
      <c r="B293">
        <v>780.31</v>
      </c>
      <c r="C293">
        <v>780.26</v>
      </c>
      <c r="D293">
        <v>780.22</v>
      </c>
      <c r="E293">
        <v>780.18</v>
      </c>
      <c r="F293">
        <v>780.14</v>
      </c>
      <c r="G293">
        <v>780.1</v>
      </c>
      <c r="H293">
        <v>780.06</v>
      </c>
      <c r="I293">
        <v>780.01</v>
      </c>
      <c r="J293">
        <v>779.97</v>
      </c>
      <c r="K293">
        <v>779.93</v>
      </c>
      <c r="L293">
        <v>779.89</v>
      </c>
    </row>
    <row r="294" spans="1:12" x14ac:dyDescent="0.15">
      <c r="A294">
        <v>1445</v>
      </c>
      <c r="B294">
        <v>780.38</v>
      </c>
      <c r="C294">
        <v>780.34</v>
      </c>
      <c r="D294">
        <v>780.3</v>
      </c>
      <c r="E294">
        <v>780.26</v>
      </c>
      <c r="F294">
        <v>780.22</v>
      </c>
      <c r="G294">
        <v>780.18</v>
      </c>
      <c r="H294">
        <v>780.13</v>
      </c>
      <c r="I294">
        <v>780.09</v>
      </c>
      <c r="J294">
        <v>780.05</v>
      </c>
      <c r="K294">
        <v>780.01</v>
      </c>
      <c r="L294">
        <v>779.97</v>
      </c>
    </row>
    <row r="295" spans="1:12" x14ac:dyDescent="0.15">
      <c r="A295">
        <v>1450</v>
      </c>
      <c r="B295">
        <v>780.36</v>
      </c>
      <c r="C295">
        <v>780.29</v>
      </c>
      <c r="D295">
        <v>780.3</v>
      </c>
      <c r="E295">
        <v>780.33</v>
      </c>
      <c r="F295">
        <v>780.29</v>
      </c>
      <c r="G295">
        <v>780.25</v>
      </c>
      <c r="H295">
        <v>780.21</v>
      </c>
      <c r="I295">
        <v>780.17</v>
      </c>
      <c r="J295">
        <v>780.13</v>
      </c>
      <c r="K295">
        <v>780.09</v>
      </c>
      <c r="L295">
        <v>780.05</v>
      </c>
    </row>
    <row r="296" spans="1:12" x14ac:dyDescent="0.15">
      <c r="A296">
        <v>1455</v>
      </c>
      <c r="B296">
        <v>780.56</v>
      </c>
      <c r="C296">
        <v>780.51</v>
      </c>
      <c r="D296">
        <v>780.43</v>
      </c>
      <c r="E296">
        <v>780.34</v>
      </c>
      <c r="F296">
        <v>780.25</v>
      </c>
      <c r="G296">
        <v>780.22</v>
      </c>
      <c r="H296">
        <v>780.21</v>
      </c>
      <c r="I296">
        <v>780.21</v>
      </c>
      <c r="J296">
        <v>780.2</v>
      </c>
      <c r="K296">
        <v>780.16</v>
      </c>
      <c r="L296">
        <v>780.12</v>
      </c>
    </row>
    <row r="297" spans="1:12" x14ac:dyDescent="0.15">
      <c r="A297">
        <v>1460</v>
      </c>
      <c r="B297">
        <v>780.67</v>
      </c>
      <c r="C297">
        <v>780.62</v>
      </c>
      <c r="D297">
        <v>780.57</v>
      </c>
      <c r="E297">
        <v>780.52</v>
      </c>
      <c r="F297">
        <v>780.47</v>
      </c>
      <c r="G297">
        <v>780.39</v>
      </c>
      <c r="H297">
        <v>780.3</v>
      </c>
      <c r="I297">
        <v>780.23</v>
      </c>
      <c r="J297">
        <v>780.15</v>
      </c>
      <c r="K297">
        <v>780.14</v>
      </c>
      <c r="L297">
        <v>780.13</v>
      </c>
    </row>
    <row r="298" spans="1:12" x14ac:dyDescent="0.15">
      <c r="A298">
        <v>1465</v>
      </c>
      <c r="B298">
        <v>780.7</v>
      </c>
      <c r="C298">
        <v>780.74</v>
      </c>
      <c r="D298">
        <v>780.69</v>
      </c>
      <c r="E298">
        <v>780.64</v>
      </c>
      <c r="F298">
        <v>780.59</v>
      </c>
      <c r="G298">
        <v>780.53</v>
      </c>
      <c r="H298">
        <v>780.48</v>
      </c>
      <c r="I298">
        <v>780.43</v>
      </c>
      <c r="J298">
        <v>780.36</v>
      </c>
      <c r="K298">
        <v>780.27</v>
      </c>
      <c r="L298">
        <v>780.2</v>
      </c>
    </row>
    <row r="299" spans="1:12" x14ac:dyDescent="0.15">
      <c r="A299">
        <v>1470</v>
      </c>
      <c r="B299">
        <v>780.65</v>
      </c>
      <c r="C299">
        <v>780.68</v>
      </c>
      <c r="D299">
        <v>780.72</v>
      </c>
      <c r="E299">
        <v>780.76</v>
      </c>
      <c r="F299">
        <v>780.72</v>
      </c>
      <c r="G299">
        <v>780.66</v>
      </c>
      <c r="H299">
        <v>780.61</v>
      </c>
      <c r="I299">
        <v>780.55</v>
      </c>
      <c r="J299">
        <v>780.5</v>
      </c>
      <c r="K299">
        <v>780.45</v>
      </c>
      <c r="L299">
        <v>780.39</v>
      </c>
    </row>
    <row r="300" spans="1:12" x14ac:dyDescent="0.15">
      <c r="A300">
        <v>1475</v>
      </c>
      <c r="B300">
        <v>780.85</v>
      </c>
      <c r="C300">
        <v>780.7</v>
      </c>
      <c r="D300">
        <v>780.7</v>
      </c>
      <c r="E300">
        <v>780.72</v>
      </c>
      <c r="F300">
        <v>780.75</v>
      </c>
      <c r="G300">
        <v>780.8</v>
      </c>
      <c r="H300">
        <v>780.75</v>
      </c>
      <c r="I300">
        <v>780.69</v>
      </c>
      <c r="J300">
        <v>780.64</v>
      </c>
      <c r="K300">
        <v>780.58</v>
      </c>
      <c r="L300">
        <v>780.52</v>
      </c>
    </row>
    <row r="301" spans="1:12" x14ac:dyDescent="0.15">
      <c r="A301">
        <v>1480</v>
      </c>
      <c r="B301">
        <v>781.28</v>
      </c>
      <c r="C301">
        <v>781.09</v>
      </c>
      <c r="D301">
        <v>780.91</v>
      </c>
      <c r="E301">
        <v>780.77</v>
      </c>
      <c r="F301">
        <v>780.76</v>
      </c>
      <c r="G301">
        <v>780.77</v>
      </c>
      <c r="H301">
        <v>780.79</v>
      </c>
      <c r="I301">
        <v>780.84</v>
      </c>
      <c r="J301">
        <v>780.79</v>
      </c>
      <c r="K301">
        <v>780.74</v>
      </c>
      <c r="L301">
        <v>780.68</v>
      </c>
    </row>
    <row r="302" spans="1:12" x14ac:dyDescent="0.15">
      <c r="A302">
        <v>1485</v>
      </c>
      <c r="B302">
        <v>781.74</v>
      </c>
      <c r="C302">
        <v>781.55</v>
      </c>
      <c r="D302">
        <v>781.34</v>
      </c>
      <c r="E302">
        <v>781.16</v>
      </c>
      <c r="F302">
        <v>780.98</v>
      </c>
      <c r="G302">
        <v>780.85</v>
      </c>
      <c r="H302">
        <v>780.84</v>
      </c>
      <c r="I302">
        <v>780.84</v>
      </c>
      <c r="J302">
        <v>780.85</v>
      </c>
      <c r="K302">
        <v>780.88</v>
      </c>
      <c r="L302">
        <v>780.85</v>
      </c>
    </row>
    <row r="303" spans="1:12" x14ac:dyDescent="0.15">
      <c r="A303">
        <v>1490</v>
      </c>
      <c r="B303">
        <v>782.12</v>
      </c>
      <c r="C303">
        <v>781.98</v>
      </c>
      <c r="D303">
        <v>781.84</v>
      </c>
      <c r="E303">
        <v>781.63</v>
      </c>
      <c r="F303">
        <v>781.42</v>
      </c>
      <c r="G303">
        <v>781.24</v>
      </c>
      <c r="H303">
        <v>781.06</v>
      </c>
      <c r="I303">
        <v>780.94</v>
      </c>
      <c r="J303">
        <v>780.92</v>
      </c>
      <c r="K303">
        <v>780.91</v>
      </c>
      <c r="L303">
        <v>780.92</v>
      </c>
    </row>
    <row r="304" spans="1:12" x14ac:dyDescent="0.15">
      <c r="A304">
        <v>1495</v>
      </c>
      <c r="B304">
        <v>782.54</v>
      </c>
      <c r="C304">
        <v>782.39</v>
      </c>
      <c r="D304">
        <v>782.24</v>
      </c>
      <c r="E304">
        <v>782.1</v>
      </c>
      <c r="F304">
        <v>781.94</v>
      </c>
      <c r="G304">
        <v>781.72</v>
      </c>
      <c r="H304">
        <v>781.52</v>
      </c>
      <c r="I304">
        <v>781.34</v>
      </c>
      <c r="J304">
        <v>781.16</v>
      </c>
      <c r="K304">
        <v>781.05</v>
      </c>
      <c r="L304">
        <v>781.02</v>
      </c>
    </row>
    <row r="305" spans="1:12" x14ac:dyDescent="0.15">
      <c r="A305">
        <v>1500</v>
      </c>
      <c r="B305">
        <v>783.01</v>
      </c>
      <c r="C305">
        <v>782.84</v>
      </c>
      <c r="D305">
        <v>782.68</v>
      </c>
      <c r="E305">
        <v>782.52</v>
      </c>
      <c r="F305">
        <v>782.37</v>
      </c>
      <c r="G305">
        <v>782.23</v>
      </c>
      <c r="H305">
        <v>782.04</v>
      </c>
      <c r="I305">
        <v>781.82</v>
      </c>
      <c r="J305">
        <v>781.63</v>
      </c>
      <c r="K305">
        <v>781.45</v>
      </c>
      <c r="L305">
        <v>781.27</v>
      </c>
    </row>
    <row r="306" spans="1:12" x14ac:dyDescent="0.15">
      <c r="A306">
        <v>1505</v>
      </c>
      <c r="B306">
        <v>783.53</v>
      </c>
      <c r="C306">
        <v>783.34</v>
      </c>
      <c r="D306">
        <v>783.17</v>
      </c>
      <c r="E306">
        <v>782.99</v>
      </c>
      <c r="F306">
        <v>782.83</v>
      </c>
      <c r="G306">
        <v>782.67</v>
      </c>
      <c r="H306">
        <v>782.52</v>
      </c>
      <c r="I306">
        <v>782.36</v>
      </c>
      <c r="J306">
        <v>782.16</v>
      </c>
      <c r="K306">
        <v>781.94</v>
      </c>
      <c r="L306">
        <v>781.75</v>
      </c>
    </row>
    <row r="307" spans="1:12" x14ac:dyDescent="0.15">
      <c r="A307">
        <v>1510</v>
      </c>
      <c r="B307">
        <v>784.1</v>
      </c>
      <c r="C307">
        <v>783.9</v>
      </c>
      <c r="D307">
        <v>783.71</v>
      </c>
      <c r="E307">
        <v>783.52</v>
      </c>
      <c r="F307">
        <v>783.34</v>
      </c>
      <c r="G307">
        <v>783.16</v>
      </c>
      <c r="H307">
        <v>782.99</v>
      </c>
      <c r="I307">
        <v>782.83</v>
      </c>
      <c r="J307">
        <v>782.67</v>
      </c>
      <c r="K307">
        <v>782.52</v>
      </c>
      <c r="L307">
        <v>782.29</v>
      </c>
    </row>
    <row r="308" spans="1:12" x14ac:dyDescent="0.15">
      <c r="A308">
        <v>1515</v>
      </c>
      <c r="B308">
        <v>784.63</v>
      </c>
      <c r="C308">
        <v>784.51</v>
      </c>
      <c r="D308">
        <v>784.3</v>
      </c>
      <c r="E308">
        <v>784.1</v>
      </c>
      <c r="F308">
        <v>783.9</v>
      </c>
      <c r="G308">
        <v>783.71</v>
      </c>
      <c r="H308">
        <v>783.52</v>
      </c>
      <c r="I308">
        <v>783.35</v>
      </c>
      <c r="J308">
        <v>783.17</v>
      </c>
      <c r="K308">
        <v>783.01</v>
      </c>
      <c r="L308">
        <v>782.84</v>
      </c>
    </row>
    <row r="309" spans="1:12" x14ac:dyDescent="0.15">
      <c r="A309">
        <v>1520</v>
      </c>
      <c r="B309">
        <v>785.2</v>
      </c>
      <c r="C309">
        <v>785.05</v>
      </c>
      <c r="D309">
        <v>784.94</v>
      </c>
      <c r="E309">
        <v>784.74</v>
      </c>
      <c r="F309">
        <v>784.53</v>
      </c>
      <c r="G309">
        <v>784.32</v>
      </c>
      <c r="H309">
        <v>784.12</v>
      </c>
      <c r="I309">
        <v>783.92</v>
      </c>
      <c r="J309">
        <v>783.73</v>
      </c>
      <c r="K309">
        <v>783.55</v>
      </c>
      <c r="L309">
        <v>783.37</v>
      </c>
    </row>
    <row r="310" spans="1:12" x14ac:dyDescent="0.15">
      <c r="A310">
        <v>1525</v>
      </c>
      <c r="B310">
        <v>785.87</v>
      </c>
      <c r="C310">
        <v>785.68</v>
      </c>
      <c r="D310">
        <v>785.51</v>
      </c>
      <c r="E310">
        <v>785.37</v>
      </c>
      <c r="F310">
        <v>785.21</v>
      </c>
      <c r="G310">
        <v>784.99</v>
      </c>
      <c r="H310">
        <v>784.77</v>
      </c>
      <c r="I310">
        <v>784.56</v>
      </c>
      <c r="J310">
        <v>784.35</v>
      </c>
      <c r="K310">
        <v>784.15</v>
      </c>
      <c r="L310">
        <v>783.96</v>
      </c>
    </row>
    <row r="311" spans="1:12" x14ac:dyDescent="0.15">
      <c r="A311">
        <v>1530</v>
      </c>
      <c r="B311">
        <v>786.65</v>
      </c>
      <c r="C311">
        <v>786.41</v>
      </c>
      <c r="D311">
        <v>786.2</v>
      </c>
      <c r="E311">
        <v>786.01</v>
      </c>
      <c r="F311">
        <v>785.85</v>
      </c>
      <c r="G311">
        <v>785.72</v>
      </c>
      <c r="H311">
        <v>785.48</v>
      </c>
      <c r="I311">
        <v>785.26</v>
      </c>
      <c r="J311">
        <v>785.03</v>
      </c>
      <c r="K311">
        <v>784.81</v>
      </c>
      <c r="L311">
        <v>784.61</v>
      </c>
    </row>
    <row r="312" spans="1:12" x14ac:dyDescent="0.15">
      <c r="A312">
        <v>1535</v>
      </c>
      <c r="B312">
        <v>787.72</v>
      </c>
      <c r="C312">
        <v>787.29</v>
      </c>
      <c r="D312">
        <v>786.98</v>
      </c>
      <c r="E312">
        <v>786.76</v>
      </c>
      <c r="F312">
        <v>786.55</v>
      </c>
      <c r="G312">
        <v>786.36</v>
      </c>
      <c r="H312">
        <v>786.21</v>
      </c>
      <c r="I312">
        <v>786.01</v>
      </c>
      <c r="J312">
        <v>785.77</v>
      </c>
      <c r="K312">
        <v>785.54</v>
      </c>
      <c r="L312">
        <v>785.31</v>
      </c>
    </row>
    <row r="313" spans="1:12" x14ac:dyDescent="0.15">
      <c r="A313">
        <v>1540</v>
      </c>
      <c r="B313">
        <v>788.87</v>
      </c>
      <c r="C313">
        <v>788.41</v>
      </c>
      <c r="D313">
        <v>787.97</v>
      </c>
      <c r="E313">
        <v>787.6</v>
      </c>
      <c r="F313">
        <v>787.35</v>
      </c>
      <c r="G313">
        <v>787.12</v>
      </c>
      <c r="H313">
        <v>786.92</v>
      </c>
      <c r="I313">
        <v>786.74</v>
      </c>
      <c r="J313">
        <v>786.58</v>
      </c>
      <c r="K313">
        <v>786.33</v>
      </c>
      <c r="L313">
        <v>786.08</v>
      </c>
    </row>
    <row r="314" spans="1:12" x14ac:dyDescent="0.15">
      <c r="A314">
        <v>1545</v>
      </c>
      <c r="B314">
        <v>790.12</v>
      </c>
      <c r="C314">
        <v>789.61</v>
      </c>
      <c r="D314">
        <v>789.14</v>
      </c>
      <c r="E314">
        <v>788.68</v>
      </c>
      <c r="F314">
        <v>788.25</v>
      </c>
      <c r="G314">
        <v>787.98</v>
      </c>
      <c r="H314">
        <v>787.74</v>
      </c>
      <c r="I314">
        <v>787.51</v>
      </c>
      <c r="J314">
        <v>787.31</v>
      </c>
      <c r="K314">
        <v>787.14</v>
      </c>
      <c r="L314">
        <v>786.91</v>
      </c>
    </row>
    <row r="315" spans="1:12" x14ac:dyDescent="0.15">
      <c r="A315">
        <v>1550</v>
      </c>
      <c r="B315">
        <v>791.44</v>
      </c>
      <c r="C315">
        <v>790.91</v>
      </c>
      <c r="D315">
        <v>790.39</v>
      </c>
      <c r="E315">
        <v>789.9</v>
      </c>
      <c r="F315">
        <v>789.43</v>
      </c>
      <c r="G315">
        <v>788.98</v>
      </c>
      <c r="H315">
        <v>788.65</v>
      </c>
      <c r="I315">
        <v>788.39</v>
      </c>
      <c r="J315">
        <v>788.15</v>
      </c>
      <c r="K315">
        <v>787.93</v>
      </c>
      <c r="L315">
        <v>787.73</v>
      </c>
    </row>
    <row r="316" spans="1:12" x14ac:dyDescent="0.15">
      <c r="A316">
        <v>1555</v>
      </c>
      <c r="B316">
        <v>792.74</v>
      </c>
      <c r="C316">
        <v>792.26</v>
      </c>
      <c r="D316">
        <v>791.73</v>
      </c>
      <c r="E316">
        <v>791.2</v>
      </c>
      <c r="F316">
        <v>790.69</v>
      </c>
      <c r="G316">
        <v>790.21</v>
      </c>
      <c r="H316">
        <v>789.74</v>
      </c>
      <c r="I316">
        <v>789.36</v>
      </c>
      <c r="J316">
        <v>789.08</v>
      </c>
      <c r="K316">
        <v>788.82</v>
      </c>
      <c r="L316">
        <v>788.58</v>
      </c>
    </row>
    <row r="317" spans="1:12" x14ac:dyDescent="0.15">
      <c r="A317">
        <v>1560</v>
      </c>
      <c r="B317">
        <v>794.12</v>
      </c>
      <c r="C317">
        <v>793.61</v>
      </c>
      <c r="D317">
        <v>793.11</v>
      </c>
      <c r="E317">
        <v>792.59</v>
      </c>
      <c r="F317">
        <v>792.04</v>
      </c>
      <c r="G317">
        <v>791.52</v>
      </c>
      <c r="H317">
        <v>791.02</v>
      </c>
      <c r="I317">
        <v>790.55</v>
      </c>
      <c r="J317">
        <v>790.1</v>
      </c>
      <c r="K317">
        <v>789.8</v>
      </c>
      <c r="L317">
        <v>789.52</v>
      </c>
    </row>
    <row r="318" spans="1:12" x14ac:dyDescent="0.15">
      <c r="A318">
        <v>1565</v>
      </c>
      <c r="B318">
        <v>795.58</v>
      </c>
      <c r="C318">
        <v>795.04</v>
      </c>
      <c r="D318">
        <v>794.51</v>
      </c>
      <c r="E318">
        <v>794</v>
      </c>
      <c r="F318">
        <v>793.49</v>
      </c>
      <c r="G318">
        <v>792.92</v>
      </c>
      <c r="H318">
        <v>792.38</v>
      </c>
      <c r="I318">
        <v>791.87</v>
      </c>
      <c r="J318">
        <v>791.38</v>
      </c>
      <c r="K318">
        <v>790.91</v>
      </c>
      <c r="L318">
        <v>790.56</v>
      </c>
    </row>
    <row r="319" spans="1:12" x14ac:dyDescent="0.15">
      <c r="A319">
        <v>1570</v>
      </c>
      <c r="B319">
        <v>797.13</v>
      </c>
      <c r="C319">
        <v>796.55</v>
      </c>
      <c r="D319">
        <v>795.99</v>
      </c>
      <c r="E319">
        <v>795.45</v>
      </c>
      <c r="F319">
        <v>794.92</v>
      </c>
      <c r="G319">
        <v>794.41</v>
      </c>
      <c r="H319">
        <v>793.83</v>
      </c>
      <c r="I319">
        <v>793.28</v>
      </c>
      <c r="J319">
        <v>792.76</v>
      </c>
      <c r="K319">
        <v>792.25</v>
      </c>
      <c r="L319">
        <v>791.77</v>
      </c>
    </row>
    <row r="320" spans="1:12" x14ac:dyDescent="0.15">
      <c r="A320">
        <v>1575</v>
      </c>
      <c r="B320">
        <v>798.76</v>
      </c>
      <c r="C320">
        <v>798.15</v>
      </c>
      <c r="D320">
        <v>797.55</v>
      </c>
      <c r="E320">
        <v>796.97</v>
      </c>
      <c r="F320">
        <v>796.42</v>
      </c>
      <c r="G320">
        <v>795.88</v>
      </c>
      <c r="H320">
        <v>795.36</v>
      </c>
      <c r="I320">
        <v>794.78</v>
      </c>
      <c r="J320">
        <v>794.21</v>
      </c>
      <c r="K320">
        <v>793.68</v>
      </c>
      <c r="L320">
        <v>793.16</v>
      </c>
    </row>
    <row r="321" spans="1:12" x14ac:dyDescent="0.15">
      <c r="A321">
        <v>1580</v>
      </c>
      <c r="B321">
        <v>800.48</v>
      </c>
      <c r="C321">
        <v>799.83</v>
      </c>
      <c r="D321">
        <v>799.2</v>
      </c>
      <c r="E321">
        <v>798.59</v>
      </c>
      <c r="F321">
        <v>798</v>
      </c>
      <c r="G321">
        <v>797.43</v>
      </c>
      <c r="H321">
        <v>796.87</v>
      </c>
      <c r="I321">
        <v>796.33</v>
      </c>
      <c r="J321">
        <v>795.76</v>
      </c>
      <c r="K321">
        <v>795.18</v>
      </c>
      <c r="L321">
        <v>794.63</v>
      </c>
    </row>
    <row r="322" spans="1:12" x14ac:dyDescent="0.15">
      <c r="A322">
        <v>1585</v>
      </c>
      <c r="B322">
        <v>802.29</v>
      </c>
      <c r="C322">
        <v>801.6</v>
      </c>
      <c r="D322">
        <v>800.93</v>
      </c>
      <c r="E322">
        <v>800.29</v>
      </c>
      <c r="F322">
        <v>799.66</v>
      </c>
      <c r="G322">
        <v>799.06</v>
      </c>
      <c r="H322">
        <v>798.47</v>
      </c>
      <c r="I322">
        <v>797.9</v>
      </c>
      <c r="J322">
        <v>797.35</v>
      </c>
      <c r="K322">
        <v>796.78</v>
      </c>
      <c r="L322">
        <v>796.19</v>
      </c>
    </row>
    <row r="323" spans="1:12" x14ac:dyDescent="0.15">
      <c r="A323">
        <v>1590</v>
      </c>
      <c r="B323">
        <v>804.19</v>
      </c>
      <c r="C323">
        <v>803.46</v>
      </c>
      <c r="D323">
        <v>802.76</v>
      </c>
      <c r="E323">
        <v>802.07</v>
      </c>
      <c r="F323">
        <v>801.41</v>
      </c>
      <c r="G323">
        <v>800.77</v>
      </c>
      <c r="H323">
        <v>800.15</v>
      </c>
      <c r="I323">
        <v>799.55</v>
      </c>
      <c r="J323">
        <v>798.97</v>
      </c>
      <c r="K323">
        <v>798.4</v>
      </c>
      <c r="L323">
        <v>797.84</v>
      </c>
    </row>
    <row r="324" spans="1:12" x14ac:dyDescent="0.15">
      <c r="A324">
        <v>1595</v>
      </c>
      <c r="B324">
        <v>806.18</v>
      </c>
      <c r="C324">
        <v>805.41</v>
      </c>
      <c r="D324">
        <v>804.67</v>
      </c>
      <c r="E324">
        <v>803.95</v>
      </c>
      <c r="F324">
        <v>803.25</v>
      </c>
      <c r="G324">
        <v>802.57</v>
      </c>
      <c r="H324">
        <v>801.91</v>
      </c>
      <c r="I324">
        <v>801.28</v>
      </c>
      <c r="J324">
        <v>800.66</v>
      </c>
      <c r="K324">
        <v>800.07</v>
      </c>
      <c r="L324">
        <v>799.49</v>
      </c>
    </row>
    <row r="325" spans="1:12" x14ac:dyDescent="0.15">
      <c r="A325">
        <v>1600</v>
      </c>
      <c r="B325">
        <v>808.26</v>
      </c>
      <c r="C325">
        <v>807.45</v>
      </c>
      <c r="D325">
        <v>806.67</v>
      </c>
      <c r="E325">
        <v>805.91</v>
      </c>
      <c r="F325">
        <v>805.17</v>
      </c>
      <c r="G325">
        <v>804.46</v>
      </c>
      <c r="H325">
        <v>803.77</v>
      </c>
      <c r="I325">
        <v>803.09</v>
      </c>
      <c r="J325">
        <v>802.44</v>
      </c>
      <c r="K325">
        <v>801.81</v>
      </c>
      <c r="L325">
        <v>801.2</v>
      </c>
    </row>
    <row r="326" spans="1:12" x14ac:dyDescent="0.15">
      <c r="A326">
        <v>1605</v>
      </c>
      <c r="B326">
        <v>810.43</v>
      </c>
      <c r="C326">
        <v>809.59</v>
      </c>
      <c r="D326">
        <v>808.76</v>
      </c>
      <c r="E326">
        <v>807.97</v>
      </c>
      <c r="F326">
        <v>807.19</v>
      </c>
      <c r="G326">
        <v>806.43</v>
      </c>
      <c r="H326">
        <v>805.7</v>
      </c>
      <c r="I326">
        <v>805</v>
      </c>
      <c r="J326">
        <v>804.31</v>
      </c>
      <c r="K326">
        <v>803.64</v>
      </c>
      <c r="L326">
        <v>803</v>
      </c>
    </row>
    <row r="327" spans="1:12" x14ac:dyDescent="0.15">
      <c r="A327">
        <v>1610</v>
      </c>
      <c r="B327">
        <v>812.67</v>
      </c>
      <c r="C327">
        <v>811.81</v>
      </c>
      <c r="D327">
        <v>810.95</v>
      </c>
      <c r="E327">
        <v>810.11</v>
      </c>
      <c r="F327">
        <v>809.29</v>
      </c>
      <c r="G327">
        <v>808.5</v>
      </c>
      <c r="H327">
        <v>807.73</v>
      </c>
      <c r="I327">
        <v>806.99</v>
      </c>
      <c r="J327">
        <v>806.26</v>
      </c>
      <c r="K327">
        <v>805.56</v>
      </c>
      <c r="L327">
        <v>804.88</v>
      </c>
    </row>
    <row r="328" spans="1:12" x14ac:dyDescent="0.15">
      <c r="A328">
        <v>1615</v>
      </c>
      <c r="B328">
        <v>814.92</v>
      </c>
      <c r="C328">
        <v>814.1</v>
      </c>
      <c r="D328">
        <v>813.22</v>
      </c>
      <c r="E328">
        <v>812.34</v>
      </c>
      <c r="F328">
        <v>811.49</v>
      </c>
      <c r="G328">
        <v>810.66</v>
      </c>
      <c r="H328">
        <v>809.85</v>
      </c>
      <c r="I328">
        <v>809.07</v>
      </c>
      <c r="J328">
        <v>808.3</v>
      </c>
      <c r="K328">
        <v>807.57</v>
      </c>
      <c r="L328">
        <v>806.85</v>
      </c>
    </row>
    <row r="329" spans="1:12" x14ac:dyDescent="0.15">
      <c r="A329">
        <v>1620</v>
      </c>
      <c r="B329">
        <v>817.28</v>
      </c>
      <c r="C329">
        <v>816.39</v>
      </c>
      <c r="D329">
        <v>815.56</v>
      </c>
      <c r="E329">
        <v>814.66</v>
      </c>
      <c r="F329">
        <v>813.77</v>
      </c>
      <c r="G329">
        <v>812.91</v>
      </c>
      <c r="H329">
        <v>812.06</v>
      </c>
      <c r="I329">
        <v>811.24</v>
      </c>
      <c r="J329">
        <v>810.44</v>
      </c>
      <c r="K329">
        <v>809.66</v>
      </c>
      <c r="L329">
        <v>808.9</v>
      </c>
    </row>
    <row r="330" spans="1:12" x14ac:dyDescent="0.15">
      <c r="A330">
        <v>1625</v>
      </c>
      <c r="B330">
        <v>819.76</v>
      </c>
      <c r="C330">
        <v>818.81</v>
      </c>
      <c r="D330">
        <v>817.91</v>
      </c>
      <c r="E330">
        <v>817.06</v>
      </c>
      <c r="F330">
        <v>816.15</v>
      </c>
      <c r="G330">
        <v>815.24</v>
      </c>
      <c r="H330">
        <v>814.36</v>
      </c>
      <c r="I330">
        <v>813.49</v>
      </c>
      <c r="J330">
        <v>812.66</v>
      </c>
      <c r="K330">
        <v>811.84</v>
      </c>
      <c r="L330">
        <v>811.05</v>
      </c>
    </row>
    <row r="331" spans="1:12" x14ac:dyDescent="0.15">
      <c r="A331">
        <v>1630</v>
      </c>
      <c r="B331">
        <v>822.35</v>
      </c>
      <c r="C331">
        <v>821.34</v>
      </c>
      <c r="D331">
        <v>820.38</v>
      </c>
      <c r="E331">
        <v>819.46</v>
      </c>
      <c r="F331">
        <v>818.59</v>
      </c>
      <c r="G331">
        <v>817.67</v>
      </c>
      <c r="H331">
        <v>816.74</v>
      </c>
      <c r="I331">
        <v>815.84</v>
      </c>
      <c r="J331">
        <v>814.97</v>
      </c>
      <c r="K331">
        <v>814.11</v>
      </c>
      <c r="L331">
        <v>813.28</v>
      </c>
    </row>
    <row r="332" spans="1:12" x14ac:dyDescent="0.15">
      <c r="A332">
        <v>1635</v>
      </c>
      <c r="B332">
        <v>825.05</v>
      </c>
      <c r="C332">
        <v>823.98</v>
      </c>
      <c r="D332">
        <v>822.96</v>
      </c>
      <c r="E332">
        <v>821.98</v>
      </c>
      <c r="F332">
        <v>821.05</v>
      </c>
      <c r="G332">
        <v>820.16</v>
      </c>
      <c r="H332">
        <v>819.22</v>
      </c>
      <c r="I332">
        <v>818.28</v>
      </c>
      <c r="J332">
        <v>817.37</v>
      </c>
      <c r="K332">
        <v>816.47</v>
      </c>
      <c r="L332">
        <v>815.6</v>
      </c>
    </row>
    <row r="333" spans="1:12" x14ac:dyDescent="0.15">
      <c r="A333">
        <v>1640</v>
      </c>
      <c r="B333">
        <v>827.98</v>
      </c>
      <c r="C333">
        <v>826.74</v>
      </c>
      <c r="D333">
        <v>825.66</v>
      </c>
      <c r="E333">
        <v>824.62</v>
      </c>
      <c r="F333">
        <v>823.62</v>
      </c>
      <c r="G333">
        <v>822.67</v>
      </c>
      <c r="H333">
        <v>821.76</v>
      </c>
      <c r="I333">
        <v>820.81</v>
      </c>
      <c r="J333">
        <v>819.86</v>
      </c>
      <c r="K333">
        <v>818.92</v>
      </c>
      <c r="L333">
        <v>818.02</v>
      </c>
    </row>
    <row r="334" spans="1:12" x14ac:dyDescent="0.15">
      <c r="A334">
        <v>1645</v>
      </c>
      <c r="B334">
        <v>831.02</v>
      </c>
      <c r="C334">
        <v>829.71</v>
      </c>
      <c r="D334">
        <v>828.47</v>
      </c>
      <c r="E334">
        <v>827.37</v>
      </c>
      <c r="F334">
        <v>826.31</v>
      </c>
      <c r="G334">
        <v>825.3</v>
      </c>
      <c r="H334">
        <v>824.33</v>
      </c>
      <c r="I334">
        <v>823.4</v>
      </c>
      <c r="J334">
        <v>822.44</v>
      </c>
      <c r="K334">
        <v>821.47</v>
      </c>
      <c r="L334">
        <v>820.52</v>
      </c>
    </row>
    <row r="335" spans="1:12" x14ac:dyDescent="0.15">
      <c r="A335">
        <v>1650</v>
      </c>
      <c r="B335">
        <v>834.18</v>
      </c>
      <c r="C335">
        <v>832.81</v>
      </c>
      <c r="D335">
        <v>831.49</v>
      </c>
      <c r="E335">
        <v>830.23</v>
      </c>
      <c r="F335">
        <v>829.11</v>
      </c>
      <c r="G335">
        <v>828.04</v>
      </c>
      <c r="H335">
        <v>827.01</v>
      </c>
      <c r="I335">
        <v>826.02</v>
      </c>
      <c r="J335">
        <v>825.08</v>
      </c>
      <c r="K335">
        <v>824.1</v>
      </c>
      <c r="L335">
        <v>823.11</v>
      </c>
    </row>
    <row r="336" spans="1:12" x14ac:dyDescent="0.15">
      <c r="A336">
        <v>1655</v>
      </c>
      <c r="B336">
        <v>837.44</v>
      </c>
      <c r="C336">
        <v>836.02</v>
      </c>
      <c r="D336">
        <v>834.63</v>
      </c>
      <c r="E336">
        <v>833.29</v>
      </c>
      <c r="F336">
        <v>832.02</v>
      </c>
      <c r="G336">
        <v>830.89</v>
      </c>
      <c r="H336">
        <v>829.8</v>
      </c>
      <c r="I336">
        <v>828.75</v>
      </c>
      <c r="J336">
        <v>827.75</v>
      </c>
      <c r="K336">
        <v>826.79</v>
      </c>
      <c r="L336">
        <v>825.8</v>
      </c>
    </row>
    <row r="337" spans="1:12" x14ac:dyDescent="0.15">
      <c r="A337">
        <v>1660</v>
      </c>
      <c r="B337">
        <v>840.82</v>
      </c>
      <c r="C337">
        <v>839.33</v>
      </c>
      <c r="D337">
        <v>837.89</v>
      </c>
      <c r="E337">
        <v>836.49</v>
      </c>
      <c r="F337">
        <v>835.14</v>
      </c>
      <c r="G337">
        <v>833.86</v>
      </c>
      <c r="H337">
        <v>832.71</v>
      </c>
      <c r="I337">
        <v>831.6</v>
      </c>
      <c r="J337">
        <v>830.53</v>
      </c>
      <c r="K337">
        <v>829.51</v>
      </c>
      <c r="L337">
        <v>828.54</v>
      </c>
    </row>
    <row r="338" spans="1:12" x14ac:dyDescent="0.15">
      <c r="A338">
        <v>1665</v>
      </c>
      <c r="B338">
        <v>844.3</v>
      </c>
      <c r="C338">
        <v>842.75</v>
      </c>
      <c r="D338">
        <v>841.25</v>
      </c>
      <c r="E338">
        <v>839.8</v>
      </c>
      <c r="F338">
        <v>838.39</v>
      </c>
      <c r="G338">
        <v>837.02</v>
      </c>
      <c r="H338">
        <v>835.73</v>
      </c>
      <c r="I338">
        <v>834.56</v>
      </c>
      <c r="J338">
        <v>833.43</v>
      </c>
      <c r="K338">
        <v>832.35</v>
      </c>
      <c r="L338">
        <v>831.31</v>
      </c>
    </row>
    <row r="339" spans="1:12" x14ac:dyDescent="0.15">
      <c r="A339">
        <v>1670</v>
      </c>
      <c r="B339">
        <v>847.84</v>
      </c>
      <c r="C339">
        <v>846.3</v>
      </c>
      <c r="D339">
        <v>844.73</v>
      </c>
      <c r="E339">
        <v>843.21</v>
      </c>
      <c r="F339">
        <v>841.75</v>
      </c>
      <c r="G339">
        <v>840.32</v>
      </c>
      <c r="H339">
        <v>838.93</v>
      </c>
      <c r="I339">
        <v>837.63</v>
      </c>
      <c r="J339">
        <v>836.45</v>
      </c>
      <c r="K339">
        <v>835.31</v>
      </c>
      <c r="L339">
        <v>834.21</v>
      </c>
    </row>
    <row r="340" spans="1:12" x14ac:dyDescent="0.15">
      <c r="A340">
        <v>1675</v>
      </c>
      <c r="B340">
        <v>851.48</v>
      </c>
      <c r="C340">
        <v>849.88</v>
      </c>
      <c r="D340">
        <v>848.32</v>
      </c>
      <c r="E340">
        <v>846.74</v>
      </c>
      <c r="F340">
        <v>845.21</v>
      </c>
      <c r="G340">
        <v>843.73</v>
      </c>
      <c r="H340">
        <v>842.29</v>
      </c>
      <c r="I340">
        <v>840.88</v>
      </c>
      <c r="J340">
        <v>839.57</v>
      </c>
      <c r="K340">
        <v>838.37</v>
      </c>
      <c r="L340">
        <v>837.21</v>
      </c>
    </row>
    <row r="341" spans="1:12" x14ac:dyDescent="0.15">
      <c r="A341">
        <v>1680</v>
      </c>
      <c r="B341">
        <v>855.23</v>
      </c>
      <c r="C341">
        <v>853.58</v>
      </c>
      <c r="D341">
        <v>851.96</v>
      </c>
      <c r="E341">
        <v>850.38</v>
      </c>
      <c r="F341">
        <v>848.79</v>
      </c>
      <c r="G341">
        <v>847.24</v>
      </c>
      <c r="H341">
        <v>845.74</v>
      </c>
      <c r="I341">
        <v>844.29</v>
      </c>
      <c r="J341">
        <v>842.87</v>
      </c>
      <c r="K341">
        <v>841.55</v>
      </c>
      <c r="L341">
        <v>840.33</v>
      </c>
    </row>
    <row r="342" spans="1:12" x14ac:dyDescent="0.15">
      <c r="A342">
        <v>1685</v>
      </c>
      <c r="B342">
        <v>859.1</v>
      </c>
      <c r="C342">
        <v>857.38</v>
      </c>
      <c r="D342">
        <v>855.71</v>
      </c>
      <c r="E342">
        <v>854.08</v>
      </c>
      <c r="F342">
        <v>852.48</v>
      </c>
      <c r="G342">
        <v>850.87</v>
      </c>
      <c r="H342">
        <v>849.31</v>
      </c>
      <c r="I342">
        <v>847.8</v>
      </c>
      <c r="J342">
        <v>846.33</v>
      </c>
      <c r="K342">
        <v>844.89</v>
      </c>
      <c r="L342">
        <v>843.56</v>
      </c>
    </row>
    <row r="343" spans="1:12" x14ac:dyDescent="0.15">
      <c r="A343">
        <v>1690</v>
      </c>
      <c r="B343">
        <v>863.08</v>
      </c>
      <c r="C343">
        <v>861.3</v>
      </c>
      <c r="D343">
        <v>859.57</v>
      </c>
      <c r="E343">
        <v>857.88</v>
      </c>
      <c r="F343">
        <v>856.24</v>
      </c>
      <c r="G343">
        <v>854.61</v>
      </c>
      <c r="H343">
        <v>852.99</v>
      </c>
      <c r="I343">
        <v>851.41</v>
      </c>
      <c r="J343">
        <v>849.89</v>
      </c>
      <c r="K343">
        <v>848.4</v>
      </c>
      <c r="L343">
        <v>846.95</v>
      </c>
    </row>
    <row r="344" spans="1:12" x14ac:dyDescent="0.15">
      <c r="A344">
        <v>1695</v>
      </c>
      <c r="B344">
        <v>867.17</v>
      </c>
      <c r="C344">
        <v>865.33</v>
      </c>
      <c r="D344">
        <v>863.53</v>
      </c>
      <c r="E344">
        <v>861.79</v>
      </c>
      <c r="F344">
        <v>860.08</v>
      </c>
      <c r="G344">
        <v>858.43</v>
      </c>
      <c r="H344">
        <v>856.78</v>
      </c>
      <c r="I344">
        <v>855.14</v>
      </c>
      <c r="J344">
        <v>853.56</v>
      </c>
      <c r="K344">
        <v>852.01</v>
      </c>
      <c r="L344">
        <v>850.51</v>
      </c>
    </row>
    <row r="345" spans="1:12" x14ac:dyDescent="0.15">
      <c r="A345">
        <v>1700</v>
      </c>
      <c r="B345">
        <v>871.38</v>
      </c>
      <c r="C345">
        <v>869.48</v>
      </c>
      <c r="D345">
        <v>867.62</v>
      </c>
      <c r="E345">
        <v>865.81</v>
      </c>
      <c r="F345">
        <v>864.04</v>
      </c>
      <c r="G345">
        <v>862.33</v>
      </c>
      <c r="H345">
        <v>860.65</v>
      </c>
      <c r="I345">
        <v>858.98</v>
      </c>
      <c r="J345">
        <v>857.33</v>
      </c>
      <c r="K345">
        <v>855.73</v>
      </c>
      <c r="L345">
        <v>854.17</v>
      </c>
    </row>
    <row r="346" spans="1:12" x14ac:dyDescent="0.15">
      <c r="A346">
        <v>1705</v>
      </c>
      <c r="B346">
        <v>875.71</v>
      </c>
      <c r="C346">
        <v>873.73</v>
      </c>
      <c r="D346">
        <v>871.81</v>
      </c>
      <c r="E346">
        <v>869.94</v>
      </c>
      <c r="F346">
        <v>868.11</v>
      </c>
      <c r="G346">
        <v>866.34</v>
      </c>
      <c r="H346">
        <v>864.6</v>
      </c>
      <c r="I346">
        <v>862.91</v>
      </c>
      <c r="J346">
        <v>861.22</v>
      </c>
      <c r="K346">
        <v>859.56</v>
      </c>
      <c r="L346">
        <v>857.94</v>
      </c>
    </row>
    <row r="347" spans="1:12" x14ac:dyDescent="0.15">
      <c r="A347">
        <v>1710</v>
      </c>
      <c r="B347">
        <v>880.15</v>
      </c>
      <c r="C347">
        <v>878.11</v>
      </c>
      <c r="D347">
        <v>876.13</v>
      </c>
      <c r="E347">
        <v>874.19</v>
      </c>
      <c r="F347">
        <v>872.3</v>
      </c>
      <c r="G347">
        <v>870.46</v>
      </c>
      <c r="H347">
        <v>868.66</v>
      </c>
      <c r="I347">
        <v>866.91</v>
      </c>
      <c r="J347">
        <v>865.21</v>
      </c>
      <c r="K347">
        <v>863.5</v>
      </c>
      <c r="L347">
        <v>861.82</v>
      </c>
    </row>
    <row r="348" spans="1:12" x14ac:dyDescent="0.15">
      <c r="A348">
        <v>1715</v>
      </c>
      <c r="B348">
        <v>884.71</v>
      </c>
      <c r="C348">
        <v>882.6</v>
      </c>
      <c r="D348">
        <v>880.55</v>
      </c>
      <c r="E348">
        <v>878.55</v>
      </c>
      <c r="F348">
        <v>876.6</v>
      </c>
      <c r="G348">
        <v>874.69</v>
      </c>
      <c r="H348">
        <v>872.84</v>
      </c>
      <c r="I348">
        <v>871.03</v>
      </c>
      <c r="J348">
        <v>869.26</v>
      </c>
      <c r="K348">
        <v>867.54</v>
      </c>
      <c r="L348">
        <v>865.81</v>
      </c>
    </row>
    <row r="349" spans="1:12" x14ac:dyDescent="0.15">
      <c r="A349">
        <v>1720</v>
      </c>
      <c r="B349">
        <v>889.38</v>
      </c>
      <c r="C349">
        <v>887.21</v>
      </c>
      <c r="D349">
        <v>885.09</v>
      </c>
      <c r="E349">
        <v>883.03</v>
      </c>
      <c r="F349">
        <v>881.01</v>
      </c>
      <c r="G349">
        <v>879.04</v>
      </c>
      <c r="H349">
        <v>877.12</v>
      </c>
      <c r="I349">
        <v>875.25</v>
      </c>
      <c r="J349">
        <v>873.43</v>
      </c>
      <c r="K349">
        <v>871.65</v>
      </c>
      <c r="L349">
        <v>869.91</v>
      </c>
    </row>
    <row r="350" spans="1:12" x14ac:dyDescent="0.15">
      <c r="A350">
        <v>1725</v>
      </c>
      <c r="B350">
        <v>894.17</v>
      </c>
      <c r="C350">
        <v>891.94</v>
      </c>
      <c r="D350">
        <v>889.75</v>
      </c>
      <c r="E350">
        <v>887.62</v>
      </c>
      <c r="F350">
        <v>885.54</v>
      </c>
      <c r="G350">
        <v>883.51</v>
      </c>
      <c r="H350">
        <v>881.53</v>
      </c>
      <c r="I350">
        <v>879.59</v>
      </c>
      <c r="J350">
        <v>877.7</v>
      </c>
      <c r="K350">
        <v>875.86</v>
      </c>
      <c r="L350">
        <v>874.07</v>
      </c>
    </row>
    <row r="351" spans="1:12" x14ac:dyDescent="0.15">
      <c r="A351">
        <v>1730</v>
      </c>
      <c r="B351">
        <v>899.08</v>
      </c>
      <c r="C351">
        <v>896.78</v>
      </c>
      <c r="D351">
        <v>894.53</v>
      </c>
      <c r="E351">
        <v>892.33</v>
      </c>
      <c r="F351">
        <v>890.19</v>
      </c>
      <c r="G351">
        <v>888.09</v>
      </c>
      <c r="H351">
        <v>886.04</v>
      </c>
      <c r="I351">
        <v>884.04</v>
      </c>
      <c r="J351">
        <v>882.09</v>
      </c>
      <c r="K351">
        <v>880.19</v>
      </c>
      <c r="L351">
        <v>878.34</v>
      </c>
    </row>
    <row r="352" spans="1:12" x14ac:dyDescent="0.15">
      <c r="A352">
        <v>1735</v>
      </c>
      <c r="B352">
        <v>904.11</v>
      </c>
      <c r="C352">
        <v>901.74</v>
      </c>
      <c r="D352">
        <v>899.43</v>
      </c>
      <c r="E352">
        <v>897.16</v>
      </c>
      <c r="F352">
        <v>894.95</v>
      </c>
      <c r="G352">
        <v>892.78</v>
      </c>
      <c r="H352">
        <v>890.67</v>
      </c>
      <c r="I352">
        <v>888.61</v>
      </c>
      <c r="J352">
        <v>886.6</v>
      </c>
      <c r="K352">
        <v>884.63</v>
      </c>
      <c r="L352">
        <v>882.71</v>
      </c>
    </row>
    <row r="353" spans="1:12" x14ac:dyDescent="0.15">
      <c r="A353">
        <v>1740</v>
      </c>
      <c r="B353">
        <v>909.26</v>
      </c>
      <c r="C353">
        <v>906.82</v>
      </c>
      <c r="D353">
        <v>904.44</v>
      </c>
      <c r="E353">
        <v>902.11</v>
      </c>
      <c r="F353">
        <v>899.83</v>
      </c>
      <c r="G353">
        <v>897.6</v>
      </c>
      <c r="H353">
        <v>895.42</v>
      </c>
      <c r="I353">
        <v>893.29</v>
      </c>
      <c r="J353">
        <v>891.22</v>
      </c>
      <c r="K353">
        <v>889.19</v>
      </c>
      <c r="L353">
        <v>887.21</v>
      </c>
    </row>
    <row r="354" spans="1:12" x14ac:dyDescent="0.15">
      <c r="A354">
        <v>1745</v>
      </c>
      <c r="B354">
        <v>914.42</v>
      </c>
      <c r="C354">
        <v>911.92</v>
      </c>
      <c r="D354">
        <v>909.47</v>
      </c>
      <c r="E354">
        <v>907.07</v>
      </c>
      <c r="F354">
        <v>904.72</v>
      </c>
      <c r="G354">
        <v>902.43</v>
      </c>
      <c r="H354">
        <v>900.19</v>
      </c>
      <c r="I354">
        <v>898</v>
      </c>
      <c r="J354">
        <v>895.86</v>
      </c>
      <c r="K354">
        <v>893.76</v>
      </c>
      <c r="L354">
        <v>891.72</v>
      </c>
    </row>
    <row r="355" spans="1:12" x14ac:dyDescent="0.15">
      <c r="A355">
        <v>1750</v>
      </c>
      <c r="B355">
        <v>919.68</v>
      </c>
      <c r="C355">
        <v>917.11</v>
      </c>
      <c r="D355">
        <v>914.6</v>
      </c>
      <c r="E355">
        <v>912.13</v>
      </c>
      <c r="F355">
        <v>909.72</v>
      </c>
      <c r="G355">
        <v>907.36</v>
      </c>
      <c r="H355">
        <v>905.06</v>
      </c>
      <c r="I355">
        <v>902.8</v>
      </c>
      <c r="J355">
        <v>900.6</v>
      </c>
      <c r="K355">
        <v>898.44</v>
      </c>
      <c r="L355">
        <v>896.34</v>
      </c>
    </row>
    <row r="356" spans="1:12" x14ac:dyDescent="0.15">
      <c r="A356">
        <v>1755</v>
      </c>
      <c r="B356">
        <v>925.05</v>
      </c>
      <c r="C356">
        <v>922.42</v>
      </c>
      <c r="D356">
        <v>919.84</v>
      </c>
      <c r="E356">
        <v>917.31</v>
      </c>
      <c r="F356">
        <v>914.84</v>
      </c>
      <c r="G356">
        <v>912.41</v>
      </c>
      <c r="H356">
        <v>910.04</v>
      </c>
      <c r="I356">
        <v>907.72</v>
      </c>
      <c r="J356">
        <v>905.45</v>
      </c>
      <c r="K356">
        <v>903.23</v>
      </c>
      <c r="L356">
        <v>901.06</v>
      </c>
    </row>
    <row r="357" spans="1:12" x14ac:dyDescent="0.15">
      <c r="A357">
        <v>1760</v>
      </c>
      <c r="B357">
        <v>930.53</v>
      </c>
      <c r="C357">
        <v>927.84</v>
      </c>
      <c r="D357">
        <v>925.19</v>
      </c>
      <c r="E357">
        <v>922.6</v>
      </c>
      <c r="F357">
        <v>920.06</v>
      </c>
      <c r="G357">
        <v>917.57</v>
      </c>
      <c r="H357">
        <v>915.13</v>
      </c>
      <c r="I357">
        <v>912.75</v>
      </c>
      <c r="J357">
        <v>910.41</v>
      </c>
      <c r="K357">
        <v>908.13</v>
      </c>
      <c r="L357">
        <v>905.9</v>
      </c>
    </row>
    <row r="358" spans="1:12" x14ac:dyDescent="0.15">
      <c r="A358">
        <v>1765</v>
      </c>
      <c r="B358">
        <v>936.13</v>
      </c>
      <c r="C358">
        <v>933.37</v>
      </c>
      <c r="D358">
        <v>930.66</v>
      </c>
      <c r="E358">
        <v>928</v>
      </c>
      <c r="F358">
        <v>925.4</v>
      </c>
      <c r="G358">
        <v>922.84</v>
      </c>
      <c r="H358">
        <v>920.34</v>
      </c>
      <c r="I358">
        <v>917.89</v>
      </c>
      <c r="J358">
        <v>915.49</v>
      </c>
      <c r="K358">
        <v>913.14</v>
      </c>
      <c r="L358">
        <v>910.85</v>
      </c>
    </row>
    <row r="359" spans="1:12" x14ac:dyDescent="0.15">
      <c r="A359">
        <v>1770</v>
      </c>
      <c r="B359">
        <v>941.84</v>
      </c>
      <c r="C359">
        <v>939.02</v>
      </c>
      <c r="D359">
        <v>936.24</v>
      </c>
      <c r="E359">
        <v>933.52</v>
      </c>
      <c r="F359">
        <v>930.85</v>
      </c>
      <c r="G359">
        <v>928.23</v>
      </c>
      <c r="H359">
        <v>925.66</v>
      </c>
      <c r="I359">
        <v>923.15</v>
      </c>
      <c r="J359">
        <v>920.68</v>
      </c>
      <c r="K359">
        <v>918.27</v>
      </c>
      <c r="L359">
        <v>915.91</v>
      </c>
    </row>
    <row r="360" spans="1:12" x14ac:dyDescent="0.15">
      <c r="A360">
        <v>1775</v>
      </c>
      <c r="B360">
        <v>947.66</v>
      </c>
      <c r="C360">
        <v>944.77</v>
      </c>
      <c r="D360">
        <v>941.93</v>
      </c>
      <c r="E360">
        <v>939.15</v>
      </c>
      <c r="F360">
        <v>936.41</v>
      </c>
      <c r="G360">
        <v>933.73</v>
      </c>
      <c r="H360">
        <v>931.09</v>
      </c>
      <c r="I360">
        <v>928.51</v>
      </c>
      <c r="J360">
        <v>925.98</v>
      </c>
      <c r="K360">
        <v>923.5</v>
      </c>
      <c r="L360">
        <v>921.08</v>
      </c>
    </row>
    <row r="361" spans="1:12" x14ac:dyDescent="0.15">
      <c r="A361">
        <v>1780</v>
      </c>
      <c r="B361">
        <v>953.6</v>
      </c>
      <c r="C361">
        <v>950.64</v>
      </c>
      <c r="D361">
        <v>947.74</v>
      </c>
      <c r="E361">
        <v>944.89</v>
      </c>
      <c r="F361">
        <v>942.08</v>
      </c>
      <c r="G361">
        <v>939.34</v>
      </c>
      <c r="H361">
        <v>936.64</v>
      </c>
      <c r="I361">
        <v>933.99</v>
      </c>
      <c r="J361">
        <v>931.4</v>
      </c>
      <c r="K361">
        <v>928.85</v>
      </c>
      <c r="L361">
        <v>926.36</v>
      </c>
    </row>
    <row r="362" spans="1:12" x14ac:dyDescent="0.15">
      <c r="A362">
        <v>1785</v>
      </c>
      <c r="B362">
        <v>959.65</v>
      </c>
      <c r="C362">
        <v>956.62</v>
      </c>
      <c r="D362">
        <v>953.65</v>
      </c>
      <c r="E362">
        <v>950.74</v>
      </c>
      <c r="F362">
        <v>947.87</v>
      </c>
      <c r="G362">
        <v>945.06</v>
      </c>
      <c r="H362">
        <v>942.29</v>
      </c>
      <c r="I362">
        <v>939.58</v>
      </c>
      <c r="J362">
        <v>936.92</v>
      </c>
      <c r="K362">
        <v>934.31</v>
      </c>
      <c r="L362">
        <v>931.76</v>
      </c>
    </row>
    <row r="363" spans="1:12" x14ac:dyDescent="0.15">
      <c r="A363">
        <v>1790</v>
      </c>
      <c r="B363">
        <v>965.8</v>
      </c>
      <c r="C363">
        <v>962.72</v>
      </c>
      <c r="D363">
        <v>959.68</v>
      </c>
      <c r="E363">
        <v>956.7</v>
      </c>
      <c r="F363">
        <v>953.77</v>
      </c>
      <c r="G363">
        <v>950.89</v>
      </c>
      <c r="H363">
        <v>948.06</v>
      </c>
      <c r="I363">
        <v>945.29</v>
      </c>
      <c r="J363">
        <v>942.56</v>
      </c>
      <c r="K363">
        <v>939.89</v>
      </c>
      <c r="L363">
        <v>937.27</v>
      </c>
    </row>
    <row r="364" spans="1:12" x14ac:dyDescent="0.15">
      <c r="A364">
        <v>1795</v>
      </c>
      <c r="B364">
        <v>972.08</v>
      </c>
      <c r="C364">
        <v>968.93</v>
      </c>
      <c r="D364">
        <v>965.83</v>
      </c>
      <c r="E364">
        <v>962.78</v>
      </c>
      <c r="F364">
        <v>959.78</v>
      </c>
      <c r="G364">
        <v>956.84</v>
      </c>
      <c r="H364">
        <v>953.94</v>
      </c>
      <c r="I364">
        <v>951.1</v>
      </c>
      <c r="J364">
        <v>948.31</v>
      </c>
      <c r="K364">
        <v>945.57</v>
      </c>
      <c r="L364">
        <v>942.89</v>
      </c>
    </row>
    <row r="365" spans="1:12" x14ac:dyDescent="0.15">
      <c r="A365">
        <v>1800</v>
      </c>
      <c r="B365">
        <v>978.5</v>
      </c>
      <c r="C365">
        <v>975.28</v>
      </c>
      <c r="D365">
        <v>972.11</v>
      </c>
      <c r="E365">
        <v>969</v>
      </c>
      <c r="F365">
        <v>965.94</v>
      </c>
      <c r="G365">
        <v>962.93</v>
      </c>
      <c r="H365">
        <v>959.97</v>
      </c>
      <c r="I365">
        <v>957.06</v>
      </c>
      <c r="J365">
        <v>954.21</v>
      </c>
      <c r="K365">
        <v>951.4</v>
      </c>
      <c r="L365">
        <v>948.65</v>
      </c>
    </row>
    <row r="366" spans="1:12" x14ac:dyDescent="0.15">
      <c r="A366">
        <v>1805</v>
      </c>
      <c r="B366">
        <v>985.13</v>
      </c>
      <c r="C366">
        <v>981.85</v>
      </c>
      <c r="D366">
        <v>978.62</v>
      </c>
      <c r="E366">
        <v>975.44</v>
      </c>
      <c r="F366">
        <v>972.31</v>
      </c>
      <c r="G366">
        <v>969.23</v>
      </c>
      <c r="H366">
        <v>966.21</v>
      </c>
      <c r="I366">
        <v>963.23</v>
      </c>
      <c r="J366">
        <v>960.31</v>
      </c>
      <c r="K366">
        <v>957.44</v>
      </c>
      <c r="L366">
        <v>954.62</v>
      </c>
    </row>
    <row r="367" spans="1:12" x14ac:dyDescent="0.15">
      <c r="A367">
        <v>1810</v>
      </c>
      <c r="B367">
        <v>991.89</v>
      </c>
      <c r="C367">
        <v>988.54</v>
      </c>
      <c r="D367">
        <v>985.24</v>
      </c>
      <c r="E367">
        <v>981.99</v>
      </c>
      <c r="F367">
        <v>978.79</v>
      </c>
      <c r="G367">
        <v>975.65</v>
      </c>
      <c r="H367">
        <v>972.56</v>
      </c>
      <c r="I367">
        <v>969.52</v>
      </c>
      <c r="J367">
        <v>966.53</v>
      </c>
      <c r="K367">
        <v>963.59</v>
      </c>
      <c r="L367">
        <v>960.71</v>
      </c>
    </row>
    <row r="368" spans="1:12" x14ac:dyDescent="0.15">
      <c r="A368">
        <v>1815</v>
      </c>
      <c r="B368">
        <v>998.76</v>
      </c>
      <c r="C368">
        <v>995.34</v>
      </c>
      <c r="D368">
        <v>991.97</v>
      </c>
      <c r="E368">
        <v>988.66</v>
      </c>
      <c r="F368">
        <v>985.4</v>
      </c>
      <c r="G368">
        <v>982.19</v>
      </c>
      <c r="H368">
        <v>979.03</v>
      </c>
      <c r="I368">
        <v>975.92</v>
      </c>
      <c r="J368">
        <v>972.87</v>
      </c>
      <c r="K368">
        <v>969.87</v>
      </c>
      <c r="L368">
        <v>966.91</v>
      </c>
    </row>
    <row r="369" spans="1:12" x14ac:dyDescent="0.15">
      <c r="A369">
        <v>1820</v>
      </c>
      <c r="B369">
        <v>1005.74</v>
      </c>
      <c r="C369">
        <v>1002.26</v>
      </c>
      <c r="D369">
        <v>998.83</v>
      </c>
      <c r="E369">
        <v>995.45</v>
      </c>
      <c r="F369">
        <v>992.12</v>
      </c>
      <c r="G369">
        <v>988.84</v>
      </c>
      <c r="H369">
        <v>985.62</v>
      </c>
      <c r="I369">
        <v>982.45</v>
      </c>
      <c r="J369">
        <v>979.32</v>
      </c>
      <c r="K369">
        <v>976.25</v>
      </c>
      <c r="L369">
        <v>973.24</v>
      </c>
    </row>
    <row r="370" spans="1:12" x14ac:dyDescent="0.15">
      <c r="A370">
        <v>1825</v>
      </c>
      <c r="B370">
        <v>1012.85</v>
      </c>
      <c r="C370">
        <v>1009.3</v>
      </c>
      <c r="D370">
        <v>1005.8</v>
      </c>
      <c r="E370">
        <v>1002.35</v>
      </c>
      <c r="F370">
        <v>998.96</v>
      </c>
      <c r="G370">
        <v>995.62</v>
      </c>
      <c r="H370">
        <v>992.32</v>
      </c>
      <c r="I370">
        <v>989.08</v>
      </c>
      <c r="J370">
        <v>985.9</v>
      </c>
      <c r="K370">
        <v>982.76</v>
      </c>
      <c r="L370">
        <v>979.68</v>
      </c>
    </row>
    <row r="371" spans="1:12" x14ac:dyDescent="0.15">
      <c r="A371">
        <v>1830</v>
      </c>
      <c r="B371">
        <v>1020.07</v>
      </c>
      <c r="C371">
        <v>1016.45</v>
      </c>
      <c r="D371">
        <v>1012.89</v>
      </c>
      <c r="E371">
        <v>1009.38</v>
      </c>
      <c r="F371">
        <v>1005.91</v>
      </c>
      <c r="G371">
        <v>1002.5</v>
      </c>
      <c r="H371">
        <v>999.15</v>
      </c>
      <c r="I371">
        <v>995.84</v>
      </c>
      <c r="J371">
        <v>992.59</v>
      </c>
      <c r="K371">
        <v>989.38</v>
      </c>
      <c r="L371">
        <v>986.23</v>
      </c>
    </row>
    <row r="372" spans="1:12" x14ac:dyDescent="0.15">
      <c r="A372">
        <v>1835</v>
      </c>
      <c r="B372">
        <v>1027.4100000000001</v>
      </c>
      <c r="C372">
        <v>1023.73</v>
      </c>
      <c r="D372">
        <v>1020.09</v>
      </c>
      <c r="E372">
        <v>1016.51</v>
      </c>
      <c r="F372">
        <v>1012.99</v>
      </c>
      <c r="G372">
        <v>1009.51</v>
      </c>
      <c r="H372">
        <v>1006.09</v>
      </c>
      <c r="I372">
        <v>1002.71</v>
      </c>
      <c r="J372">
        <v>999.39</v>
      </c>
      <c r="K372">
        <v>996.12</v>
      </c>
      <c r="L372">
        <v>992.9</v>
      </c>
    </row>
    <row r="373" spans="1:12" x14ac:dyDescent="0.15">
      <c r="A373">
        <v>1840</v>
      </c>
      <c r="B373">
        <v>1034.8699999999999</v>
      </c>
      <c r="C373">
        <v>1031.1199999999999</v>
      </c>
      <c r="D373">
        <v>1027.42</v>
      </c>
      <c r="E373">
        <v>1023.77</v>
      </c>
      <c r="F373">
        <v>1020.18</v>
      </c>
      <c r="G373">
        <v>1016.63</v>
      </c>
      <c r="H373">
        <v>1013.14</v>
      </c>
      <c r="I373">
        <v>1009.7</v>
      </c>
      <c r="J373">
        <v>1006.32</v>
      </c>
      <c r="K373">
        <v>1002.98</v>
      </c>
      <c r="L373">
        <v>999.7</v>
      </c>
    </row>
    <row r="374" spans="1:12" x14ac:dyDescent="0.15">
      <c r="A374">
        <v>1845</v>
      </c>
      <c r="B374">
        <v>1042.44</v>
      </c>
      <c r="C374">
        <v>1038.6300000000001</v>
      </c>
      <c r="D374">
        <v>1034.8599999999999</v>
      </c>
      <c r="E374">
        <v>1031.1500000000001</v>
      </c>
      <c r="F374">
        <v>1027.48</v>
      </c>
      <c r="G374">
        <v>1023.88</v>
      </c>
      <c r="H374">
        <v>1020.32</v>
      </c>
      <c r="I374">
        <v>1016.81</v>
      </c>
      <c r="J374">
        <v>1013.36</v>
      </c>
      <c r="K374">
        <v>1009.95</v>
      </c>
      <c r="L374">
        <v>1006.6</v>
      </c>
    </row>
    <row r="375" spans="1:12" x14ac:dyDescent="0.15">
      <c r="A375">
        <v>1850</v>
      </c>
      <c r="B375">
        <v>1050.1300000000001</v>
      </c>
      <c r="C375">
        <v>1046.25</v>
      </c>
      <c r="D375">
        <v>1042.42</v>
      </c>
      <c r="E375">
        <v>1038.6400000000001</v>
      </c>
      <c r="F375">
        <v>1034.9100000000001</v>
      </c>
      <c r="G375">
        <v>1031.23</v>
      </c>
      <c r="H375">
        <v>1027.6099999999999</v>
      </c>
      <c r="I375">
        <v>1024.04</v>
      </c>
      <c r="J375">
        <v>1020.51</v>
      </c>
      <c r="K375">
        <v>1017.05</v>
      </c>
      <c r="L375">
        <v>1013.63</v>
      </c>
    </row>
    <row r="376" spans="1:12" x14ac:dyDescent="0.15">
      <c r="A376">
        <v>1855</v>
      </c>
      <c r="B376">
        <v>1057.94</v>
      </c>
      <c r="C376">
        <v>1053.99</v>
      </c>
      <c r="D376">
        <v>1050.0899999999999</v>
      </c>
      <c r="E376">
        <v>1046.25</v>
      </c>
      <c r="F376">
        <v>1042.45</v>
      </c>
      <c r="G376">
        <v>1038.71</v>
      </c>
      <c r="H376">
        <v>1035.02</v>
      </c>
      <c r="I376">
        <v>1031.3800000000001</v>
      </c>
      <c r="J376">
        <v>1027.79</v>
      </c>
      <c r="K376">
        <v>1024.25</v>
      </c>
      <c r="L376">
        <v>1020.77</v>
      </c>
    </row>
    <row r="377" spans="1:12" x14ac:dyDescent="0.15">
      <c r="A377">
        <v>1860</v>
      </c>
      <c r="B377">
        <v>1065.8699999999999</v>
      </c>
      <c r="C377">
        <v>1061.8499999999999</v>
      </c>
      <c r="D377">
        <v>1057.8900000000001</v>
      </c>
      <c r="E377">
        <v>1053.97</v>
      </c>
      <c r="F377">
        <v>1050.1099999999999</v>
      </c>
      <c r="G377">
        <v>1046.3</v>
      </c>
      <c r="H377">
        <v>1042.54</v>
      </c>
      <c r="I377">
        <v>1038.8399999999999</v>
      </c>
      <c r="J377">
        <v>1035.18</v>
      </c>
      <c r="K377">
        <v>1031.58</v>
      </c>
      <c r="L377">
        <v>1028.03</v>
      </c>
    </row>
    <row r="378" spans="1:12" x14ac:dyDescent="0.15">
      <c r="A378">
        <v>1865</v>
      </c>
      <c r="B378">
        <v>1073.92</v>
      </c>
      <c r="C378">
        <v>1069.83</v>
      </c>
      <c r="D378">
        <v>1065.8</v>
      </c>
      <c r="E378">
        <v>1061.82</v>
      </c>
      <c r="F378">
        <v>1057.8900000000001</v>
      </c>
      <c r="G378">
        <v>1054.01</v>
      </c>
      <c r="H378">
        <v>1050.19</v>
      </c>
      <c r="I378">
        <v>1046.4100000000001</v>
      </c>
      <c r="J378">
        <v>1042.69</v>
      </c>
      <c r="K378">
        <v>1039.02</v>
      </c>
      <c r="L378">
        <v>1035.4100000000001</v>
      </c>
    </row>
    <row r="379" spans="1:12" x14ac:dyDescent="0.15">
      <c r="A379">
        <v>1870</v>
      </c>
      <c r="B379">
        <v>1082.08</v>
      </c>
      <c r="C379">
        <v>1077.93</v>
      </c>
      <c r="D379">
        <v>1073.83</v>
      </c>
      <c r="E379">
        <v>1069.78</v>
      </c>
      <c r="F379">
        <v>1065.78</v>
      </c>
      <c r="G379">
        <v>1061.8399999999999</v>
      </c>
      <c r="H379">
        <v>1057.95</v>
      </c>
      <c r="I379">
        <v>1054.1099999999999</v>
      </c>
      <c r="J379">
        <v>1050.32</v>
      </c>
      <c r="K379">
        <v>1046.58</v>
      </c>
      <c r="L379">
        <v>1042.9000000000001</v>
      </c>
    </row>
    <row r="380" spans="1:12" x14ac:dyDescent="0.15">
      <c r="A380">
        <v>1875</v>
      </c>
      <c r="B380">
        <v>1090.3599999999999</v>
      </c>
      <c r="C380">
        <v>1086.1400000000001</v>
      </c>
      <c r="D380">
        <v>1081.97</v>
      </c>
      <c r="E380">
        <v>1077.8599999999999</v>
      </c>
      <c r="F380">
        <v>1073.8</v>
      </c>
      <c r="G380">
        <v>1069.79</v>
      </c>
      <c r="H380">
        <v>1065.83</v>
      </c>
      <c r="I380">
        <v>1061.92</v>
      </c>
      <c r="J380">
        <v>1058.07</v>
      </c>
      <c r="K380">
        <v>1054.26</v>
      </c>
      <c r="L380">
        <v>1050.51</v>
      </c>
    </row>
    <row r="381" spans="1:12" x14ac:dyDescent="0.15">
      <c r="A381">
        <v>1880</v>
      </c>
      <c r="B381">
        <v>1098.76</v>
      </c>
      <c r="C381">
        <v>1094.47</v>
      </c>
      <c r="D381">
        <v>1090.24</v>
      </c>
      <c r="E381">
        <v>1086.06</v>
      </c>
      <c r="F381">
        <v>1081.93</v>
      </c>
      <c r="G381">
        <v>1077.8499999999999</v>
      </c>
      <c r="H381">
        <v>1073.82</v>
      </c>
      <c r="I381">
        <v>1069.8499999999999</v>
      </c>
      <c r="J381">
        <v>1065.93</v>
      </c>
      <c r="K381">
        <v>1062.06</v>
      </c>
      <c r="L381">
        <v>1058.24</v>
      </c>
    </row>
    <row r="382" spans="1:12" x14ac:dyDescent="0.15">
      <c r="A382">
        <v>1885</v>
      </c>
      <c r="B382">
        <v>1107.27</v>
      </c>
      <c r="C382">
        <v>1102.92</v>
      </c>
      <c r="D382">
        <v>1098.6199999999999</v>
      </c>
      <c r="E382">
        <v>1094.3699999999999</v>
      </c>
      <c r="F382">
        <v>1090.17</v>
      </c>
      <c r="G382">
        <v>1086.03</v>
      </c>
      <c r="H382">
        <v>1081.94</v>
      </c>
      <c r="I382">
        <v>1077.9000000000001</v>
      </c>
      <c r="J382">
        <v>1073.9100000000001</v>
      </c>
      <c r="K382">
        <v>1069.97</v>
      </c>
      <c r="L382">
        <v>1066.0899999999999</v>
      </c>
    </row>
    <row r="383" spans="1:12" x14ac:dyDescent="0.15">
      <c r="A383">
        <v>1890</v>
      </c>
      <c r="B383">
        <v>1115.9000000000001</v>
      </c>
      <c r="C383">
        <v>1111.48</v>
      </c>
      <c r="D383">
        <v>1107.1199999999999</v>
      </c>
      <c r="E383">
        <v>1102.8</v>
      </c>
      <c r="F383">
        <v>1098.54</v>
      </c>
      <c r="G383">
        <v>1094.33</v>
      </c>
      <c r="H383">
        <v>1090.17</v>
      </c>
      <c r="I383">
        <v>1086.06</v>
      </c>
      <c r="J383">
        <v>1082.01</v>
      </c>
      <c r="K383">
        <v>1078</v>
      </c>
      <c r="L383">
        <v>1074.05</v>
      </c>
    </row>
    <row r="384" spans="1:12" x14ac:dyDescent="0.15">
      <c r="A384">
        <v>1895</v>
      </c>
      <c r="B384">
        <v>1124.6500000000001</v>
      </c>
      <c r="C384">
        <v>1120.17</v>
      </c>
      <c r="D384">
        <v>1115.73</v>
      </c>
      <c r="E384">
        <v>1111.3499999999999</v>
      </c>
      <c r="F384">
        <v>1107.02</v>
      </c>
      <c r="G384">
        <v>1102.74</v>
      </c>
      <c r="H384">
        <v>1098.52</v>
      </c>
      <c r="I384">
        <v>1094.3399999999999</v>
      </c>
      <c r="J384">
        <v>1090.22</v>
      </c>
      <c r="K384">
        <v>1086.1500000000001</v>
      </c>
      <c r="L384">
        <v>1082.1300000000001</v>
      </c>
    </row>
    <row r="385" spans="1:12" x14ac:dyDescent="0.15">
      <c r="A385">
        <v>1900</v>
      </c>
      <c r="B385">
        <v>1133.52</v>
      </c>
      <c r="C385">
        <v>1128.97</v>
      </c>
      <c r="D385">
        <v>1124.47</v>
      </c>
      <c r="E385">
        <v>1120.02</v>
      </c>
      <c r="F385">
        <v>1115.6199999999999</v>
      </c>
      <c r="G385">
        <v>1111.28</v>
      </c>
      <c r="H385">
        <v>1106.98</v>
      </c>
      <c r="I385">
        <v>1102.74</v>
      </c>
      <c r="J385">
        <v>1098.55</v>
      </c>
      <c r="K385">
        <v>1094.42</v>
      </c>
      <c r="L385">
        <v>1090.33</v>
      </c>
    </row>
    <row r="386" spans="1:12" x14ac:dyDescent="0.15">
      <c r="A386">
        <v>1905</v>
      </c>
      <c r="B386">
        <v>1142.51</v>
      </c>
      <c r="C386">
        <v>1137.8900000000001</v>
      </c>
      <c r="D386">
        <v>1133.32</v>
      </c>
      <c r="E386">
        <v>1128.8</v>
      </c>
      <c r="F386">
        <v>1124.3399999999999</v>
      </c>
      <c r="G386">
        <v>1119.93</v>
      </c>
      <c r="H386">
        <v>1115.57</v>
      </c>
      <c r="I386">
        <v>1111.26</v>
      </c>
      <c r="J386">
        <v>1107</v>
      </c>
      <c r="K386">
        <v>1102.8</v>
      </c>
      <c r="L386">
        <v>1098.6500000000001</v>
      </c>
    </row>
    <row r="387" spans="1:12" x14ac:dyDescent="0.15">
      <c r="A387">
        <v>1910</v>
      </c>
      <c r="B387">
        <v>1151.6099999999999</v>
      </c>
      <c r="C387">
        <v>1146.92</v>
      </c>
      <c r="D387">
        <v>1142.29</v>
      </c>
      <c r="E387">
        <v>1137.7</v>
      </c>
      <c r="F387">
        <v>1133.17</v>
      </c>
      <c r="G387">
        <v>1128.69</v>
      </c>
      <c r="H387">
        <v>1124.27</v>
      </c>
      <c r="I387">
        <v>1119.8900000000001</v>
      </c>
      <c r="J387">
        <v>1115.57</v>
      </c>
      <c r="K387">
        <v>1111.3</v>
      </c>
      <c r="L387">
        <v>1107.08</v>
      </c>
    </row>
    <row r="388" spans="1:12" x14ac:dyDescent="0.15">
      <c r="A388">
        <v>1915</v>
      </c>
      <c r="B388">
        <v>1160.83</v>
      </c>
      <c r="C388">
        <v>1156.08</v>
      </c>
      <c r="D388">
        <v>1151.3699999999999</v>
      </c>
      <c r="E388">
        <v>1146.72</v>
      </c>
      <c r="F388">
        <v>1142.1300000000001</v>
      </c>
      <c r="G388">
        <v>1137.58</v>
      </c>
      <c r="H388">
        <v>1133.0899999999999</v>
      </c>
      <c r="I388">
        <v>1128.6500000000001</v>
      </c>
      <c r="J388">
        <v>1124.26</v>
      </c>
      <c r="K388">
        <v>1119.92</v>
      </c>
      <c r="L388">
        <v>1115.6300000000001</v>
      </c>
    </row>
    <row r="389" spans="1:12" x14ac:dyDescent="0.15">
      <c r="A389">
        <v>1920</v>
      </c>
      <c r="B389">
        <v>1170.17</v>
      </c>
      <c r="C389">
        <v>1165.3499999999999</v>
      </c>
      <c r="D389">
        <v>1160.58</v>
      </c>
      <c r="E389">
        <v>1155.8599999999999</v>
      </c>
      <c r="F389">
        <v>1151.2</v>
      </c>
      <c r="G389">
        <v>1146.58</v>
      </c>
      <c r="H389">
        <v>1142.02</v>
      </c>
      <c r="I389">
        <v>1137.51</v>
      </c>
      <c r="J389">
        <v>1133.06</v>
      </c>
      <c r="K389">
        <v>1128.6500000000001</v>
      </c>
      <c r="L389">
        <v>1124.3</v>
      </c>
    </row>
    <row r="390" spans="1:12" x14ac:dyDescent="0.15">
      <c r="A390">
        <v>1925</v>
      </c>
      <c r="B390">
        <v>1179.6199999999999</v>
      </c>
      <c r="C390">
        <v>1174.73</v>
      </c>
      <c r="D390">
        <v>1169.9000000000001</v>
      </c>
      <c r="E390">
        <v>1165.1199999999999</v>
      </c>
      <c r="F390">
        <v>1160.3800000000001</v>
      </c>
      <c r="G390">
        <v>1155.7</v>
      </c>
      <c r="H390">
        <v>1151.08</v>
      </c>
      <c r="I390">
        <v>1146.5</v>
      </c>
      <c r="J390">
        <v>1141.98</v>
      </c>
      <c r="K390">
        <v>1137.51</v>
      </c>
      <c r="L390">
        <v>1133.0899999999999</v>
      </c>
    </row>
    <row r="391" spans="1:12" x14ac:dyDescent="0.15">
      <c r="A391">
        <v>1930</v>
      </c>
      <c r="B391">
        <v>1189.2</v>
      </c>
      <c r="C391">
        <v>1184.24</v>
      </c>
      <c r="D391">
        <v>1179.3399999999999</v>
      </c>
      <c r="E391">
        <v>1174.49</v>
      </c>
      <c r="F391">
        <v>1169.69</v>
      </c>
      <c r="G391">
        <v>1164.94</v>
      </c>
      <c r="H391">
        <v>1160.25</v>
      </c>
      <c r="I391">
        <v>1155.6099999999999</v>
      </c>
      <c r="J391">
        <v>1151.02</v>
      </c>
      <c r="K391">
        <v>1146.48</v>
      </c>
      <c r="L391">
        <v>1141.99</v>
      </c>
    </row>
    <row r="392" spans="1:12" x14ac:dyDescent="0.15">
      <c r="A392">
        <v>1935</v>
      </c>
      <c r="B392">
        <v>1198.8900000000001</v>
      </c>
      <c r="C392">
        <v>1193.8699999999999</v>
      </c>
      <c r="D392">
        <v>1188.9000000000001</v>
      </c>
      <c r="E392">
        <v>1183.98</v>
      </c>
      <c r="F392">
        <v>1179.1099999999999</v>
      </c>
      <c r="G392">
        <v>1174.3</v>
      </c>
      <c r="H392">
        <v>1169.54</v>
      </c>
      <c r="I392">
        <v>1164.83</v>
      </c>
      <c r="J392">
        <v>1160.17</v>
      </c>
      <c r="K392">
        <v>1155.57</v>
      </c>
      <c r="L392">
        <v>1151.01</v>
      </c>
    </row>
    <row r="393" spans="1:12" x14ac:dyDescent="0.15">
      <c r="A393">
        <v>1940</v>
      </c>
      <c r="B393">
        <v>1208.7</v>
      </c>
      <c r="C393">
        <v>1203.6099999999999</v>
      </c>
      <c r="D393">
        <v>1198.57</v>
      </c>
      <c r="E393">
        <v>1193.5899999999999</v>
      </c>
      <c r="F393">
        <v>1188.6500000000001</v>
      </c>
      <c r="G393">
        <v>1183.77</v>
      </c>
      <c r="H393">
        <v>1178.94</v>
      </c>
      <c r="I393">
        <v>1174.17</v>
      </c>
      <c r="J393">
        <v>1169.44</v>
      </c>
      <c r="K393">
        <v>1164.77</v>
      </c>
      <c r="L393">
        <v>1160.1500000000001</v>
      </c>
    </row>
    <row r="394" spans="1:12" x14ac:dyDescent="0.15">
      <c r="A394">
        <v>1945</v>
      </c>
      <c r="B394">
        <v>1218.6199999999999</v>
      </c>
      <c r="C394">
        <v>1213.47</v>
      </c>
      <c r="D394">
        <v>1208.3599999999999</v>
      </c>
      <c r="E394">
        <v>1203.31</v>
      </c>
      <c r="F394">
        <v>1198.31</v>
      </c>
      <c r="G394">
        <v>1193.3599999999999</v>
      </c>
      <c r="H394">
        <v>1188.47</v>
      </c>
      <c r="I394">
        <v>1183.6300000000001</v>
      </c>
      <c r="J394">
        <v>1178.83</v>
      </c>
      <c r="K394">
        <v>1174.0999999999999</v>
      </c>
      <c r="L394">
        <v>1169.4100000000001</v>
      </c>
    </row>
    <row r="395" spans="1:12" x14ac:dyDescent="0.15">
      <c r="A395">
        <v>1950</v>
      </c>
      <c r="B395">
        <v>1228.67</v>
      </c>
      <c r="C395">
        <v>1223.44</v>
      </c>
      <c r="D395">
        <v>1218.27</v>
      </c>
      <c r="E395">
        <v>1213.1500000000001</v>
      </c>
      <c r="F395">
        <v>1208.0899999999999</v>
      </c>
      <c r="G395">
        <v>1203.07</v>
      </c>
      <c r="H395">
        <v>1198.1099999999999</v>
      </c>
      <c r="I395">
        <v>1193.2</v>
      </c>
      <c r="J395">
        <v>1188.3399999999999</v>
      </c>
      <c r="K395">
        <v>1183.54</v>
      </c>
      <c r="L395">
        <v>1178.78</v>
      </c>
    </row>
    <row r="396" spans="1:12" x14ac:dyDescent="0.15">
      <c r="A396">
        <v>1955</v>
      </c>
      <c r="B396">
        <v>1238.83</v>
      </c>
      <c r="C396">
        <v>1233.54</v>
      </c>
      <c r="D396">
        <v>1228.3</v>
      </c>
      <c r="E396">
        <v>1223.1199999999999</v>
      </c>
      <c r="F396">
        <v>1217.98</v>
      </c>
      <c r="G396">
        <v>1212.9000000000001</v>
      </c>
      <c r="H396">
        <v>1207.8699999999999</v>
      </c>
      <c r="I396">
        <v>1202.8900000000001</v>
      </c>
      <c r="J396">
        <v>1197.97</v>
      </c>
      <c r="K396">
        <v>1193.0899999999999</v>
      </c>
      <c r="L396">
        <v>1188.27</v>
      </c>
    </row>
    <row r="397" spans="1:12" x14ac:dyDescent="0.15">
      <c r="A397">
        <v>1960</v>
      </c>
      <c r="B397">
        <v>1249.1099999999999</v>
      </c>
      <c r="C397">
        <v>1243.75</v>
      </c>
      <c r="D397">
        <v>1238.45</v>
      </c>
      <c r="E397">
        <v>1233.19</v>
      </c>
      <c r="F397">
        <v>1227.99</v>
      </c>
      <c r="G397">
        <v>1222.8399999999999</v>
      </c>
      <c r="H397">
        <v>1217.75</v>
      </c>
      <c r="I397">
        <v>1212.7</v>
      </c>
      <c r="J397">
        <v>1207.71</v>
      </c>
      <c r="K397">
        <v>1202.77</v>
      </c>
      <c r="L397">
        <v>1197.8800000000001</v>
      </c>
    </row>
    <row r="398" spans="1:12" x14ac:dyDescent="0.15">
      <c r="A398">
        <v>1965</v>
      </c>
      <c r="B398">
        <v>1259.51</v>
      </c>
      <c r="C398">
        <v>1254.08</v>
      </c>
      <c r="D398">
        <v>1248.71</v>
      </c>
      <c r="E398">
        <v>1243.3900000000001</v>
      </c>
      <c r="F398">
        <v>1238.1199999999999</v>
      </c>
      <c r="G398">
        <v>1232.9100000000001</v>
      </c>
      <c r="H398">
        <v>1227.74</v>
      </c>
      <c r="I398">
        <v>1222.6300000000001</v>
      </c>
      <c r="J398">
        <v>1217.57</v>
      </c>
      <c r="K398">
        <v>1212.56</v>
      </c>
      <c r="L398">
        <v>1207.6099999999999</v>
      </c>
    </row>
    <row r="399" spans="1:12" x14ac:dyDescent="0.15">
      <c r="A399">
        <v>1970</v>
      </c>
      <c r="B399">
        <v>1270.03</v>
      </c>
      <c r="C399">
        <v>1264.53</v>
      </c>
      <c r="D399">
        <v>1259.0899999999999</v>
      </c>
      <c r="E399">
        <v>1253.7</v>
      </c>
      <c r="F399">
        <v>1248.3699999999999</v>
      </c>
      <c r="G399">
        <v>1243.0899999999999</v>
      </c>
      <c r="H399">
        <v>1237.8599999999999</v>
      </c>
      <c r="I399">
        <v>1232.68</v>
      </c>
      <c r="J399">
        <v>1227.55</v>
      </c>
      <c r="K399">
        <v>1222.48</v>
      </c>
      <c r="L399">
        <v>1217.45</v>
      </c>
    </row>
    <row r="400" spans="1:12" x14ac:dyDescent="0.15">
      <c r="A400">
        <v>1975</v>
      </c>
      <c r="B400">
        <v>1280.6600000000001</v>
      </c>
      <c r="C400">
        <v>1275.0999999999999</v>
      </c>
      <c r="D400">
        <v>1269.5899999999999</v>
      </c>
      <c r="E400">
        <v>1264.1400000000001</v>
      </c>
      <c r="F400">
        <v>1258.73</v>
      </c>
      <c r="G400">
        <v>1253.3800000000001</v>
      </c>
      <c r="H400">
        <v>1248.0899999999999</v>
      </c>
      <c r="I400">
        <v>1242.8399999999999</v>
      </c>
      <c r="J400">
        <v>1237.6500000000001</v>
      </c>
      <c r="K400">
        <v>1232.51</v>
      </c>
      <c r="L400">
        <v>1227.42</v>
      </c>
    </row>
    <row r="401" spans="1:12" x14ac:dyDescent="0.15">
      <c r="A401">
        <v>1980</v>
      </c>
      <c r="B401">
        <v>1291.4100000000001</v>
      </c>
      <c r="C401">
        <v>1285.78</v>
      </c>
      <c r="D401">
        <v>1280.21</v>
      </c>
      <c r="E401">
        <v>1274.69</v>
      </c>
      <c r="F401">
        <v>1269.22</v>
      </c>
      <c r="G401">
        <v>1263.8</v>
      </c>
      <c r="H401">
        <v>1258.43</v>
      </c>
      <c r="I401">
        <v>1253.1199999999999</v>
      </c>
      <c r="J401">
        <v>1247.8599999999999</v>
      </c>
      <c r="K401">
        <v>1242.6500000000001</v>
      </c>
      <c r="L401">
        <v>1237.5</v>
      </c>
    </row>
    <row r="402" spans="1:12" x14ac:dyDescent="0.15">
      <c r="A402">
        <v>1985</v>
      </c>
      <c r="B402">
        <v>1302.28</v>
      </c>
      <c r="C402">
        <v>1296.5899999999999</v>
      </c>
      <c r="D402">
        <v>1290.94</v>
      </c>
      <c r="E402">
        <v>1285.3499999999999</v>
      </c>
      <c r="F402">
        <v>1279.82</v>
      </c>
      <c r="G402">
        <v>1274.33</v>
      </c>
      <c r="H402">
        <v>1268.9000000000001</v>
      </c>
      <c r="I402">
        <v>1263.52</v>
      </c>
      <c r="J402">
        <v>1258.19</v>
      </c>
      <c r="K402">
        <v>1252.92</v>
      </c>
      <c r="L402">
        <v>1247.69</v>
      </c>
    </row>
    <row r="403" spans="1:12" x14ac:dyDescent="0.15">
      <c r="A403">
        <v>1990</v>
      </c>
      <c r="B403">
        <v>1313.27</v>
      </c>
      <c r="C403">
        <v>1307.51</v>
      </c>
      <c r="D403">
        <v>1301.8</v>
      </c>
      <c r="E403">
        <v>1296.1400000000001</v>
      </c>
      <c r="F403">
        <v>1290.54</v>
      </c>
      <c r="G403">
        <v>1284.98</v>
      </c>
      <c r="H403">
        <v>1279.48</v>
      </c>
      <c r="I403">
        <v>1274.04</v>
      </c>
      <c r="J403">
        <v>1268.6400000000001</v>
      </c>
      <c r="K403">
        <v>1263.3</v>
      </c>
      <c r="L403">
        <v>1258.01</v>
      </c>
    </row>
    <row r="404" spans="1:12" x14ac:dyDescent="0.15">
      <c r="A404">
        <v>1995</v>
      </c>
      <c r="B404">
        <v>1324.37</v>
      </c>
      <c r="C404">
        <v>1318.54</v>
      </c>
      <c r="D404">
        <v>1312.77</v>
      </c>
      <c r="E404">
        <v>1307.04</v>
      </c>
      <c r="F404">
        <v>1301.3699999999999</v>
      </c>
      <c r="G404">
        <v>1295.75</v>
      </c>
      <c r="H404">
        <v>1290.19</v>
      </c>
      <c r="I404">
        <v>1284.67</v>
      </c>
      <c r="J404">
        <v>1279.21</v>
      </c>
      <c r="K404">
        <v>1273.8</v>
      </c>
      <c r="L404">
        <v>1268.44</v>
      </c>
    </row>
    <row r="405" spans="1:12" x14ac:dyDescent="0.15">
      <c r="A405">
        <v>2000</v>
      </c>
      <c r="B405">
        <v>1335.59</v>
      </c>
      <c r="C405">
        <v>1329.7</v>
      </c>
      <c r="D405">
        <v>1323.86</v>
      </c>
      <c r="E405">
        <v>1318.07</v>
      </c>
      <c r="F405">
        <v>1312.33</v>
      </c>
      <c r="G405">
        <v>1306.6400000000001</v>
      </c>
      <c r="H405">
        <v>1301.01</v>
      </c>
      <c r="I405">
        <v>1295.42</v>
      </c>
      <c r="J405">
        <v>1289.8900000000001</v>
      </c>
      <c r="K405">
        <v>1284.42</v>
      </c>
      <c r="L405">
        <v>1278.99</v>
      </c>
    </row>
    <row r="406" spans="1:12" x14ac:dyDescent="0.15">
      <c r="A406">
        <v>2005</v>
      </c>
      <c r="B406">
        <v>1346.91</v>
      </c>
      <c r="C406">
        <v>1340.97</v>
      </c>
      <c r="D406">
        <v>1335.06</v>
      </c>
      <c r="E406">
        <v>1329.2</v>
      </c>
      <c r="F406">
        <v>1323.4</v>
      </c>
      <c r="G406">
        <v>1317.65</v>
      </c>
      <c r="H406">
        <v>1311.94</v>
      </c>
      <c r="I406">
        <v>1306.29</v>
      </c>
      <c r="J406">
        <v>1300.7</v>
      </c>
      <c r="K406">
        <v>1295.1500000000001</v>
      </c>
      <c r="L406">
        <v>1289.6600000000001</v>
      </c>
    </row>
    <row r="407" spans="1:12" x14ac:dyDescent="0.15">
      <c r="A407">
        <v>2010</v>
      </c>
      <c r="B407">
        <v>1358.27</v>
      </c>
      <c r="C407">
        <v>1352.33</v>
      </c>
      <c r="D407">
        <v>1346.39</v>
      </c>
      <c r="E407">
        <v>1340.46</v>
      </c>
      <c r="F407">
        <v>1334.59</v>
      </c>
      <c r="G407">
        <v>1328.77</v>
      </c>
      <c r="H407">
        <v>1323</v>
      </c>
      <c r="I407">
        <v>1317.28</v>
      </c>
      <c r="J407">
        <v>1311.62</v>
      </c>
      <c r="K407">
        <v>1306.01</v>
      </c>
      <c r="L407">
        <v>1300.45</v>
      </c>
    </row>
    <row r="408" spans="1:12" x14ac:dyDescent="0.15">
      <c r="A408">
        <v>2015</v>
      </c>
      <c r="B408">
        <v>1369.65</v>
      </c>
      <c r="C408">
        <v>1363.7</v>
      </c>
      <c r="D408">
        <v>1357.75</v>
      </c>
      <c r="E408">
        <v>1351.81</v>
      </c>
      <c r="F408">
        <v>1345.88</v>
      </c>
      <c r="G408">
        <v>1340</v>
      </c>
      <c r="H408">
        <v>1334.16</v>
      </c>
      <c r="I408">
        <v>1328.38</v>
      </c>
      <c r="J408">
        <v>1322.65</v>
      </c>
      <c r="K408">
        <v>1316.97</v>
      </c>
      <c r="L408">
        <v>1311.35</v>
      </c>
    </row>
    <row r="409" spans="1:12" x14ac:dyDescent="0.15">
      <c r="A409">
        <v>2020</v>
      </c>
      <c r="B409">
        <v>1381.03</v>
      </c>
      <c r="C409">
        <v>1375.07</v>
      </c>
      <c r="D409">
        <v>1369.12</v>
      </c>
      <c r="E409">
        <v>1363.18</v>
      </c>
      <c r="F409">
        <v>1357.23</v>
      </c>
      <c r="G409">
        <v>1351.3</v>
      </c>
      <c r="H409">
        <v>1345.41</v>
      </c>
      <c r="I409">
        <v>1339.57</v>
      </c>
      <c r="J409">
        <v>1333.78</v>
      </c>
      <c r="K409">
        <v>1328.03</v>
      </c>
      <c r="L409">
        <v>1322.34</v>
      </c>
    </row>
    <row r="410" spans="1:12" x14ac:dyDescent="0.15">
      <c r="A410">
        <v>2025</v>
      </c>
      <c r="B410">
        <v>1392.41</v>
      </c>
      <c r="C410">
        <v>1386.45</v>
      </c>
      <c r="D410">
        <v>1380.5</v>
      </c>
      <c r="E410">
        <v>1374.55</v>
      </c>
      <c r="F410">
        <v>1368.6</v>
      </c>
      <c r="G410">
        <v>1362.65</v>
      </c>
      <c r="H410">
        <v>1356.73</v>
      </c>
      <c r="I410">
        <v>1350.83</v>
      </c>
      <c r="J410">
        <v>1344.99</v>
      </c>
      <c r="K410">
        <v>1339.18</v>
      </c>
      <c r="L410">
        <v>1333.43</v>
      </c>
    </row>
    <row r="411" spans="1:12" x14ac:dyDescent="0.15">
      <c r="A411">
        <v>2030</v>
      </c>
      <c r="B411">
        <v>1403.78</v>
      </c>
      <c r="C411">
        <v>1397.82</v>
      </c>
      <c r="D411">
        <v>1391.86</v>
      </c>
      <c r="E411">
        <v>1385.91</v>
      </c>
      <c r="F411">
        <v>1379.96</v>
      </c>
      <c r="G411">
        <v>1374.01</v>
      </c>
      <c r="H411">
        <v>1368.07</v>
      </c>
      <c r="I411">
        <v>1362.14</v>
      </c>
      <c r="J411">
        <v>1356.24</v>
      </c>
      <c r="K411">
        <v>1350.39</v>
      </c>
      <c r="L411">
        <v>1344.58</v>
      </c>
    </row>
    <row r="412" spans="1:12" x14ac:dyDescent="0.15">
      <c r="A412">
        <v>2035</v>
      </c>
      <c r="B412">
        <v>1415.01</v>
      </c>
      <c r="C412">
        <v>1409.06</v>
      </c>
      <c r="D412">
        <v>1403.12</v>
      </c>
      <c r="E412">
        <v>1397.17</v>
      </c>
      <c r="F412">
        <v>1391.22</v>
      </c>
      <c r="G412">
        <v>1385.28</v>
      </c>
      <c r="H412">
        <v>1379.34</v>
      </c>
      <c r="I412">
        <v>1373.4</v>
      </c>
      <c r="J412">
        <v>1367.47</v>
      </c>
      <c r="K412">
        <v>1361.58</v>
      </c>
      <c r="L412">
        <v>1355.73</v>
      </c>
    </row>
    <row r="413" spans="1:12" x14ac:dyDescent="0.15">
      <c r="A413">
        <v>2040</v>
      </c>
      <c r="B413">
        <v>1426</v>
      </c>
      <c r="C413">
        <v>1420.09</v>
      </c>
      <c r="D413">
        <v>1414.17</v>
      </c>
      <c r="E413">
        <v>1408.24</v>
      </c>
      <c r="F413">
        <v>1402.31</v>
      </c>
      <c r="G413">
        <v>1396.38</v>
      </c>
      <c r="H413">
        <v>1390.45</v>
      </c>
      <c r="I413">
        <v>1384.52</v>
      </c>
      <c r="J413">
        <v>1378.59</v>
      </c>
      <c r="K413">
        <v>1372.68</v>
      </c>
      <c r="L413">
        <v>1366.8</v>
      </c>
    </row>
    <row r="414" spans="1:12" x14ac:dyDescent="0.15">
      <c r="A414">
        <v>2045</v>
      </c>
      <c r="B414">
        <v>1436.65</v>
      </c>
      <c r="C414">
        <v>1430.8</v>
      </c>
      <c r="D414">
        <v>1424.94</v>
      </c>
      <c r="E414">
        <v>1419.06</v>
      </c>
      <c r="F414">
        <v>1413.17</v>
      </c>
      <c r="G414">
        <v>1407.27</v>
      </c>
      <c r="H414">
        <v>1401.36</v>
      </c>
      <c r="I414">
        <v>1395.45</v>
      </c>
      <c r="J414">
        <v>1389.53</v>
      </c>
      <c r="K414">
        <v>1383.62</v>
      </c>
      <c r="L414">
        <v>1377.72</v>
      </c>
    </row>
    <row r="415" spans="1:12" x14ac:dyDescent="0.15">
      <c r="A415">
        <v>2050</v>
      </c>
      <c r="B415">
        <v>1446.88</v>
      </c>
      <c r="C415">
        <v>1441.13</v>
      </c>
      <c r="D415">
        <v>1435.34</v>
      </c>
      <c r="E415">
        <v>1429.53</v>
      </c>
      <c r="F415">
        <v>1423.7</v>
      </c>
      <c r="G415">
        <v>1417.85</v>
      </c>
      <c r="H415">
        <v>1412</v>
      </c>
      <c r="I415">
        <v>1406.13</v>
      </c>
      <c r="J415">
        <v>1400.25</v>
      </c>
      <c r="K415">
        <v>1394.37</v>
      </c>
      <c r="L415">
        <v>1388.47</v>
      </c>
    </row>
    <row r="416" spans="1:12" x14ac:dyDescent="0.15">
      <c r="A416">
        <v>2055</v>
      </c>
      <c r="B416">
        <v>1456.61</v>
      </c>
      <c r="C416">
        <v>1451</v>
      </c>
      <c r="D416">
        <v>1445.34</v>
      </c>
      <c r="E416">
        <v>1439.62</v>
      </c>
      <c r="F416">
        <v>1433.87</v>
      </c>
      <c r="G416">
        <v>1428.09</v>
      </c>
      <c r="H416">
        <v>1422.3</v>
      </c>
      <c r="I416">
        <v>1416.49</v>
      </c>
      <c r="J416">
        <v>1410.66</v>
      </c>
      <c r="K416">
        <v>1404.82</v>
      </c>
      <c r="L416">
        <v>1398.98</v>
      </c>
    </row>
    <row r="417" spans="1:12" x14ac:dyDescent="0.15">
      <c r="A417">
        <v>2060</v>
      </c>
      <c r="B417">
        <v>1465.77</v>
      </c>
      <c r="C417">
        <v>1460.34</v>
      </c>
      <c r="D417">
        <v>1454.83</v>
      </c>
      <c r="E417">
        <v>1449.26</v>
      </c>
      <c r="F417">
        <v>1443.63</v>
      </c>
      <c r="G417">
        <v>1437.94</v>
      </c>
      <c r="H417">
        <v>1432.22</v>
      </c>
      <c r="I417">
        <v>1426.48</v>
      </c>
      <c r="J417">
        <v>1420.73</v>
      </c>
      <c r="K417">
        <v>1414.95</v>
      </c>
      <c r="L417">
        <v>1409.15</v>
      </c>
    </row>
    <row r="418" spans="1:12" x14ac:dyDescent="0.15">
      <c r="A418">
        <v>2065</v>
      </c>
      <c r="B418">
        <v>1474.32</v>
      </c>
      <c r="C418">
        <v>1469.09</v>
      </c>
      <c r="D418">
        <v>1463.77</v>
      </c>
      <c r="E418">
        <v>1458.36</v>
      </c>
      <c r="F418">
        <v>1452.88</v>
      </c>
      <c r="G418">
        <v>1447.34</v>
      </c>
      <c r="H418">
        <v>1441.74</v>
      </c>
      <c r="I418">
        <v>1436.09</v>
      </c>
      <c r="J418">
        <v>1430.41</v>
      </c>
      <c r="K418">
        <v>1424.71</v>
      </c>
      <c r="L418">
        <v>1418.98</v>
      </c>
    </row>
    <row r="419" spans="1:12" x14ac:dyDescent="0.15">
      <c r="A419">
        <v>2070</v>
      </c>
      <c r="B419">
        <v>1482.16</v>
      </c>
      <c r="C419">
        <v>1477.22</v>
      </c>
      <c r="D419">
        <v>1472.11</v>
      </c>
      <c r="E419">
        <v>1466.89</v>
      </c>
      <c r="F419">
        <v>1461.59</v>
      </c>
      <c r="G419">
        <v>1456.21</v>
      </c>
      <c r="H419">
        <v>1450.76</v>
      </c>
      <c r="I419">
        <v>1445.25</v>
      </c>
      <c r="J419">
        <v>1439.69</v>
      </c>
      <c r="K419">
        <v>1434.07</v>
      </c>
      <c r="L419">
        <v>1428.42</v>
      </c>
    </row>
    <row r="420" spans="1:12" x14ac:dyDescent="0.15">
      <c r="A420">
        <v>2075</v>
      </c>
      <c r="B420">
        <v>1489.26</v>
      </c>
      <c r="C420">
        <v>1484.62</v>
      </c>
      <c r="D420">
        <v>1479.81</v>
      </c>
      <c r="E420">
        <v>1474.83</v>
      </c>
      <c r="F420">
        <v>1469.72</v>
      </c>
      <c r="G420">
        <v>1464.52</v>
      </c>
      <c r="H420">
        <v>1459.24</v>
      </c>
      <c r="I420">
        <v>1453.88</v>
      </c>
      <c r="J420">
        <v>1448.47</v>
      </c>
      <c r="K420">
        <v>1442.99</v>
      </c>
      <c r="L420">
        <v>1437.46</v>
      </c>
    </row>
    <row r="421" spans="1:12" x14ac:dyDescent="0.15">
      <c r="A421">
        <v>2080</v>
      </c>
      <c r="B421">
        <v>1495.56</v>
      </c>
      <c r="C421">
        <v>1491.28</v>
      </c>
      <c r="D421">
        <v>1486.77</v>
      </c>
      <c r="E421">
        <v>1482.09</v>
      </c>
      <c r="F421">
        <v>1477.24</v>
      </c>
      <c r="G421">
        <v>1472.24</v>
      </c>
      <c r="H421">
        <v>1467.15</v>
      </c>
      <c r="I421">
        <v>1461.98</v>
      </c>
      <c r="J421">
        <v>1456.72</v>
      </c>
      <c r="K421">
        <v>1451.39</v>
      </c>
      <c r="L421">
        <v>1446.01</v>
      </c>
    </row>
    <row r="422" spans="1:12" x14ac:dyDescent="0.15">
      <c r="A422">
        <v>2085</v>
      </c>
      <c r="B422">
        <v>1501.03</v>
      </c>
      <c r="C422">
        <v>1497.13</v>
      </c>
      <c r="D422">
        <v>1492.98</v>
      </c>
      <c r="E422">
        <v>1488.61</v>
      </c>
      <c r="F422">
        <v>1484.06</v>
      </c>
      <c r="G422">
        <v>1479.35</v>
      </c>
      <c r="H422">
        <v>1474.47</v>
      </c>
      <c r="I422">
        <v>1469.48</v>
      </c>
      <c r="J422">
        <v>1464.42</v>
      </c>
      <c r="K422">
        <v>1459.26</v>
      </c>
      <c r="L422">
        <v>1454.03</v>
      </c>
    </row>
    <row r="423" spans="1:12" x14ac:dyDescent="0.15">
      <c r="A423">
        <v>2090</v>
      </c>
      <c r="B423">
        <v>1505.65</v>
      </c>
      <c r="C423">
        <v>1502.18</v>
      </c>
      <c r="D423">
        <v>1498.42</v>
      </c>
      <c r="E423">
        <v>1494.42</v>
      </c>
      <c r="F423">
        <v>1490.18</v>
      </c>
      <c r="G423">
        <v>1485.76</v>
      </c>
      <c r="H423">
        <v>1481.18</v>
      </c>
      <c r="I423">
        <v>1476.43</v>
      </c>
      <c r="J423">
        <v>1471.55</v>
      </c>
      <c r="K423">
        <v>1466.59</v>
      </c>
      <c r="L423">
        <v>1461.54</v>
      </c>
    </row>
    <row r="424" spans="1:12" x14ac:dyDescent="0.15">
      <c r="A424">
        <v>2095</v>
      </c>
      <c r="B424">
        <v>1509.42</v>
      </c>
      <c r="C424">
        <v>1506.46</v>
      </c>
      <c r="D424">
        <v>1503.12</v>
      </c>
      <c r="E424">
        <v>1499.49</v>
      </c>
      <c r="F424">
        <v>1495.62</v>
      </c>
      <c r="G424">
        <v>1491.52</v>
      </c>
      <c r="H424">
        <v>1487.23</v>
      </c>
      <c r="I424">
        <v>1482.77</v>
      </c>
      <c r="J424">
        <v>1478.15</v>
      </c>
      <c r="K424">
        <v>1473.38</v>
      </c>
      <c r="L424">
        <v>1468.53</v>
      </c>
    </row>
    <row r="425" spans="1:12" x14ac:dyDescent="0.15">
      <c r="A425">
        <v>2096</v>
      </c>
      <c r="B425">
        <v>1510.34</v>
      </c>
      <c r="C425">
        <v>1507.53</v>
      </c>
      <c r="D425">
        <v>1504.34</v>
      </c>
      <c r="E425">
        <v>1500.82</v>
      </c>
      <c r="F425">
        <v>1497.06</v>
      </c>
      <c r="G425">
        <v>1493.05</v>
      </c>
      <c r="H425">
        <v>1488.85</v>
      </c>
      <c r="I425">
        <v>1484.47</v>
      </c>
      <c r="J425">
        <v>1479.94</v>
      </c>
      <c r="K425">
        <v>1475.24</v>
      </c>
      <c r="L425">
        <v>1470.44</v>
      </c>
    </row>
  </sheetData>
  <mergeCells count="1">
    <mergeCell ref="R1:V1"/>
  </mergeCells>
  <phoneticPr fontId="1" type="noConversion"/>
  <hyperlinks>
    <hyperlink ref="R4" location="SOUNDING!A1" display="Back" xr:uid="{00000000-0004-0000-0B00-000000000000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1" tint="0.34998626667073579"/>
  </sheetPr>
  <dimension ref="A1:W420"/>
  <sheetViews>
    <sheetView showRowColHeaders="0" workbookViewId="0">
      <pane xSplit="17" ySplit="4" topLeftCell="R402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5" x14ac:dyDescent="0.2"/>
  <cols>
    <col min="1" max="1" width="9" style="7"/>
    <col min="2" max="3" width="9" style="17"/>
    <col min="4" max="11" width="9" style="7"/>
    <col min="12" max="13" width="9" style="17"/>
    <col min="14" max="17" width="9" style="10" hidden="1" customWidth="1"/>
    <col min="18" max="16384" width="9" style="10"/>
  </cols>
  <sheetData>
    <row r="1" spans="1:23" ht="14.25" customHeight="1" x14ac:dyDescent="0.2">
      <c r="Q1" s="13"/>
      <c r="R1" s="214" t="s">
        <v>85</v>
      </c>
      <c r="S1" s="216"/>
      <c r="T1" s="216"/>
      <c r="U1" s="216"/>
      <c r="V1" s="216"/>
      <c r="W1" s="9"/>
    </row>
    <row r="2" spans="1:23" ht="14.25" customHeight="1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ht="14.25" customHeight="1" x14ac:dyDescent="0.2">
      <c r="A3" s="6" t="s">
        <v>87</v>
      </c>
      <c r="B3" s="17" t="s">
        <v>88</v>
      </c>
      <c r="C3" s="17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17" t="s">
        <v>88</v>
      </c>
    </row>
    <row r="4" spans="1:23" ht="14.25" customHeight="1" x14ac:dyDescent="0.2">
      <c r="A4" s="14"/>
      <c r="B4" s="19"/>
      <c r="C4" s="19"/>
      <c r="D4" s="15"/>
      <c r="E4" s="15"/>
      <c r="F4" s="15"/>
      <c r="G4" s="15"/>
      <c r="H4" s="15"/>
      <c r="I4" s="15"/>
      <c r="J4" s="15"/>
      <c r="K4" s="15"/>
      <c r="L4" s="19"/>
      <c r="R4" s="16" t="s">
        <v>90</v>
      </c>
    </row>
    <row r="5" spans="1:23" ht="14.25" customHeight="1" x14ac:dyDescent="0.2">
      <c r="A5">
        <v>0</v>
      </c>
      <c r="B5">
        <v>35.299999999999997</v>
      </c>
      <c r="C5">
        <v>23.49</v>
      </c>
      <c r="D5">
        <v>11.83</v>
      </c>
      <c r="E5">
        <v>3.61</v>
      </c>
      <c r="F5">
        <v>2.42</v>
      </c>
      <c r="G5">
        <v>2.08</v>
      </c>
      <c r="H5">
        <v>1.96</v>
      </c>
      <c r="I5">
        <v>1.92</v>
      </c>
      <c r="J5">
        <v>1.93</v>
      </c>
      <c r="K5">
        <v>1.96</v>
      </c>
      <c r="L5">
        <v>2.0099999999999998</v>
      </c>
    </row>
    <row r="6" spans="1:23" ht="14.25" customHeight="1" x14ac:dyDescent="0.2">
      <c r="A6">
        <v>5</v>
      </c>
      <c r="B6">
        <v>55.62</v>
      </c>
      <c r="C6">
        <v>43.69</v>
      </c>
      <c r="D6">
        <v>31.87</v>
      </c>
      <c r="E6">
        <v>20.190000000000001</v>
      </c>
      <c r="F6">
        <v>11.93</v>
      </c>
      <c r="G6">
        <v>8.9700000000000006</v>
      </c>
      <c r="H6">
        <v>7.53</v>
      </c>
      <c r="I6">
        <v>6.71</v>
      </c>
      <c r="J6">
        <v>6.19</v>
      </c>
      <c r="K6">
        <v>5.85</v>
      </c>
      <c r="L6">
        <v>5.61</v>
      </c>
    </row>
    <row r="7" spans="1:23" ht="14.25" customHeight="1" x14ac:dyDescent="0.2">
      <c r="A7">
        <v>10</v>
      </c>
      <c r="B7">
        <v>76.13</v>
      </c>
      <c r="C7">
        <v>64.099999999999994</v>
      </c>
      <c r="D7">
        <v>52.16</v>
      </c>
      <c r="E7">
        <v>40.33</v>
      </c>
      <c r="F7">
        <v>28.65</v>
      </c>
      <c r="G7">
        <v>20.72</v>
      </c>
      <c r="H7">
        <v>16.760000000000002</v>
      </c>
      <c r="I7">
        <v>14.42</v>
      </c>
      <c r="J7">
        <v>12.89</v>
      </c>
      <c r="K7">
        <v>11.82</v>
      </c>
      <c r="L7">
        <v>11.05</v>
      </c>
    </row>
    <row r="8" spans="1:23" ht="14.25" customHeight="1" x14ac:dyDescent="0.2">
      <c r="A8">
        <v>15</v>
      </c>
      <c r="B8">
        <v>96.8</v>
      </c>
      <c r="C8">
        <v>84.68</v>
      </c>
      <c r="D8">
        <v>72.64</v>
      </c>
      <c r="E8">
        <v>60.69</v>
      </c>
      <c r="F8">
        <v>48.85</v>
      </c>
      <c r="G8">
        <v>37.36</v>
      </c>
      <c r="H8">
        <v>29.68</v>
      </c>
      <c r="I8">
        <v>25.08</v>
      </c>
      <c r="J8">
        <v>22.06</v>
      </c>
      <c r="K8">
        <v>19.920000000000002</v>
      </c>
      <c r="L8">
        <v>18.34</v>
      </c>
    </row>
    <row r="9" spans="1:23" ht="14.25" customHeight="1" x14ac:dyDescent="0.2">
      <c r="A9">
        <v>20</v>
      </c>
      <c r="B9">
        <v>117.61</v>
      </c>
      <c r="C9">
        <v>105.41</v>
      </c>
      <c r="D9">
        <v>93.28</v>
      </c>
      <c r="E9">
        <v>81.23</v>
      </c>
      <c r="F9">
        <v>69.27</v>
      </c>
      <c r="G9">
        <v>57.43</v>
      </c>
      <c r="H9">
        <v>46.29</v>
      </c>
      <c r="I9">
        <v>38.729999999999997</v>
      </c>
      <c r="J9">
        <v>33.71</v>
      </c>
      <c r="K9">
        <v>30.14</v>
      </c>
      <c r="L9">
        <v>27.5</v>
      </c>
    </row>
    <row r="10" spans="1:23" ht="14.25" customHeight="1" x14ac:dyDescent="0.2">
      <c r="A10">
        <v>25</v>
      </c>
      <c r="B10">
        <v>138.54</v>
      </c>
      <c r="C10">
        <v>126.27</v>
      </c>
      <c r="D10">
        <v>114.06</v>
      </c>
      <c r="E10">
        <v>101.93</v>
      </c>
      <c r="F10">
        <v>89.87</v>
      </c>
      <c r="G10">
        <v>77.900000000000006</v>
      </c>
      <c r="H10">
        <v>66.05</v>
      </c>
      <c r="I10">
        <v>55.35</v>
      </c>
      <c r="J10">
        <v>47.86</v>
      </c>
      <c r="K10">
        <v>42.51</v>
      </c>
      <c r="L10">
        <v>38.53</v>
      </c>
    </row>
    <row r="11" spans="1:23" ht="14.25" customHeight="1" x14ac:dyDescent="0.2">
      <c r="A11">
        <v>30</v>
      </c>
      <c r="B11">
        <v>159.58000000000001</v>
      </c>
      <c r="C11">
        <v>147.25</v>
      </c>
      <c r="D11">
        <v>134.97</v>
      </c>
      <c r="E11">
        <v>122.75</v>
      </c>
      <c r="F11">
        <v>110.61</v>
      </c>
      <c r="G11">
        <v>98.55</v>
      </c>
      <c r="H11">
        <v>86.58</v>
      </c>
      <c r="I11">
        <v>74.73</v>
      </c>
      <c r="J11">
        <v>64.48</v>
      </c>
      <c r="K11">
        <v>57.04</v>
      </c>
      <c r="L11">
        <v>51.45</v>
      </c>
    </row>
    <row r="12" spans="1:23" ht="14.25" customHeight="1" x14ac:dyDescent="0.2">
      <c r="A12">
        <v>35</v>
      </c>
      <c r="B12">
        <v>180.72</v>
      </c>
      <c r="C12">
        <v>168.33</v>
      </c>
      <c r="D12">
        <v>155.99</v>
      </c>
      <c r="E12">
        <v>143.69999999999999</v>
      </c>
      <c r="F12">
        <v>131.47999999999999</v>
      </c>
      <c r="G12">
        <v>119.33</v>
      </c>
      <c r="H12">
        <v>107.27</v>
      </c>
      <c r="I12">
        <v>95.29</v>
      </c>
      <c r="J12">
        <v>83.59</v>
      </c>
      <c r="K12">
        <v>73.69</v>
      </c>
      <c r="L12">
        <v>66.27</v>
      </c>
    </row>
    <row r="13" spans="1:23" ht="14.25" customHeight="1" x14ac:dyDescent="0.2">
      <c r="A13">
        <v>40</v>
      </c>
      <c r="B13">
        <v>201.96</v>
      </c>
      <c r="C13">
        <v>189.51</v>
      </c>
      <c r="D13">
        <v>177.11</v>
      </c>
      <c r="E13">
        <v>164.76</v>
      </c>
      <c r="F13">
        <v>152.47</v>
      </c>
      <c r="G13">
        <v>140.25</v>
      </c>
      <c r="H13">
        <v>128.09</v>
      </c>
      <c r="I13">
        <v>116.02</v>
      </c>
      <c r="J13">
        <v>104.04</v>
      </c>
      <c r="K13">
        <v>92.54</v>
      </c>
      <c r="L13">
        <v>82.95</v>
      </c>
    </row>
    <row r="14" spans="1:23" ht="14.25" customHeight="1" x14ac:dyDescent="0.2">
      <c r="A14">
        <v>45</v>
      </c>
      <c r="B14">
        <v>223.28</v>
      </c>
      <c r="C14">
        <v>210.78</v>
      </c>
      <c r="D14">
        <v>198.33</v>
      </c>
      <c r="E14">
        <v>185.92</v>
      </c>
      <c r="F14">
        <v>173.57</v>
      </c>
      <c r="G14">
        <v>161.27000000000001</v>
      </c>
      <c r="H14">
        <v>149.04</v>
      </c>
      <c r="I14">
        <v>136.88</v>
      </c>
      <c r="J14">
        <v>124.8</v>
      </c>
      <c r="K14">
        <v>112.83</v>
      </c>
      <c r="L14">
        <v>101.52</v>
      </c>
    </row>
    <row r="15" spans="1:23" ht="14.25" customHeight="1" x14ac:dyDescent="0.2">
      <c r="A15">
        <v>50</v>
      </c>
      <c r="B15">
        <v>244.68</v>
      </c>
      <c r="C15">
        <v>232.14</v>
      </c>
      <c r="D15">
        <v>219.63</v>
      </c>
      <c r="E15">
        <v>207.17</v>
      </c>
      <c r="F15">
        <v>194.76</v>
      </c>
      <c r="G15">
        <v>182.4</v>
      </c>
      <c r="H15">
        <v>170.1</v>
      </c>
      <c r="I15">
        <v>157.86000000000001</v>
      </c>
      <c r="J15">
        <v>145.69999999999999</v>
      </c>
      <c r="K15">
        <v>133.62</v>
      </c>
      <c r="L15">
        <v>121.65</v>
      </c>
    </row>
    <row r="16" spans="1:23" ht="14.25" customHeight="1" x14ac:dyDescent="0.2">
      <c r="A16">
        <v>55</v>
      </c>
      <c r="B16">
        <v>266.16000000000003</v>
      </c>
      <c r="C16">
        <v>253.57</v>
      </c>
      <c r="D16">
        <v>241.02</v>
      </c>
      <c r="E16">
        <v>228.51</v>
      </c>
      <c r="F16">
        <v>216.04</v>
      </c>
      <c r="G16">
        <v>203.62</v>
      </c>
      <c r="H16">
        <v>191.26</v>
      </c>
      <c r="I16">
        <v>178.96</v>
      </c>
      <c r="J16">
        <v>166.72</v>
      </c>
      <c r="K16">
        <v>154.55000000000001</v>
      </c>
      <c r="L16">
        <v>142.47</v>
      </c>
    </row>
    <row r="17" spans="1:12" ht="14.25" customHeight="1" x14ac:dyDescent="0.2">
      <c r="A17">
        <v>60</v>
      </c>
      <c r="B17">
        <v>287.70999999999998</v>
      </c>
      <c r="C17">
        <v>275.08</v>
      </c>
      <c r="D17">
        <v>262.48</v>
      </c>
      <c r="E17">
        <v>249.92</v>
      </c>
      <c r="F17">
        <v>237.41</v>
      </c>
      <c r="G17">
        <v>224.94</v>
      </c>
      <c r="H17">
        <v>212.52</v>
      </c>
      <c r="I17">
        <v>200.15</v>
      </c>
      <c r="J17">
        <v>187.84</v>
      </c>
      <c r="K17">
        <v>175.6</v>
      </c>
      <c r="L17">
        <v>163.43</v>
      </c>
    </row>
    <row r="18" spans="1:12" ht="14.25" customHeight="1" x14ac:dyDescent="0.2">
      <c r="A18">
        <v>65</v>
      </c>
      <c r="B18">
        <v>309.32</v>
      </c>
      <c r="C18">
        <v>296.64999999999998</v>
      </c>
      <c r="D18">
        <v>284.01</v>
      </c>
      <c r="E18">
        <v>271.41000000000003</v>
      </c>
      <c r="F18">
        <v>258.85000000000002</v>
      </c>
      <c r="G18">
        <v>246.33</v>
      </c>
      <c r="H18">
        <v>233.86</v>
      </c>
      <c r="I18">
        <v>221.43</v>
      </c>
      <c r="J18">
        <v>209.06</v>
      </c>
      <c r="K18">
        <v>196.75</v>
      </c>
      <c r="L18">
        <v>184.5</v>
      </c>
    </row>
    <row r="19" spans="1:12" ht="14.25" customHeight="1" x14ac:dyDescent="0.2">
      <c r="A19">
        <v>70</v>
      </c>
      <c r="B19">
        <v>330.99</v>
      </c>
      <c r="C19">
        <v>318.29000000000002</v>
      </c>
      <c r="D19">
        <v>305.61</v>
      </c>
      <c r="E19">
        <v>292.97000000000003</v>
      </c>
      <c r="F19">
        <v>280.37</v>
      </c>
      <c r="G19">
        <v>267.8</v>
      </c>
      <c r="H19">
        <v>255.28</v>
      </c>
      <c r="I19">
        <v>242.8</v>
      </c>
      <c r="J19">
        <v>230.37</v>
      </c>
      <c r="K19">
        <v>218</v>
      </c>
      <c r="L19">
        <v>205.68</v>
      </c>
    </row>
    <row r="20" spans="1:12" ht="14.25" customHeight="1" x14ac:dyDescent="0.2">
      <c r="A20">
        <v>75</v>
      </c>
      <c r="B20">
        <v>352.72</v>
      </c>
      <c r="C20">
        <v>339.98</v>
      </c>
      <c r="D20">
        <v>327.27</v>
      </c>
      <c r="E20">
        <v>314.60000000000002</v>
      </c>
      <c r="F20">
        <v>301.95</v>
      </c>
      <c r="G20">
        <v>289.33999999999997</v>
      </c>
      <c r="H20">
        <v>276.77</v>
      </c>
      <c r="I20">
        <v>264.24</v>
      </c>
      <c r="J20">
        <v>251.76</v>
      </c>
      <c r="K20">
        <v>239.33</v>
      </c>
      <c r="L20">
        <v>226.95</v>
      </c>
    </row>
    <row r="21" spans="1:12" ht="14.25" customHeight="1" x14ac:dyDescent="0.2">
      <c r="A21">
        <v>80</v>
      </c>
      <c r="B21">
        <v>374.51</v>
      </c>
      <c r="C21">
        <v>361.74</v>
      </c>
      <c r="D21">
        <v>348.99</v>
      </c>
      <c r="E21">
        <v>336.28</v>
      </c>
      <c r="F21">
        <v>323.60000000000002</v>
      </c>
      <c r="G21">
        <v>310.95</v>
      </c>
      <c r="H21">
        <v>298.33999999999997</v>
      </c>
      <c r="I21">
        <v>285.76</v>
      </c>
      <c r="J21">
        <v>273.23</v>
      </c>
      <c r="K21">
        <v>260.75</v>
      </c>
      <c r="L21">
        <v>248.31</v>
      </c>
    </row>
    <row r="22" spans="1:12" ht="14.25" customHeight="1" x14ac:dyDescent="0.2">
      <c r="A22">
        <v>85</v>
      </c>
      <c r="B22">
        <v>396.34</v>
      </c>
      <c r="C22">
        <v>383.54</v>
      </c>
      <c r="D22">
        <v>370.77</v>
      </c>
      <c r="E22">
        <v>358.02</v>
      </c>
      <c r="F22">
        <v>345.3</v>
      </c>
      <c r="G22">
        <v>332.62</v>
      </c>
      <c r="H22">
        <v>319.95999999999998</v>
      </c>
      <c r="I22">
        <v>307.35000000000002</v>
      </c>
      <c r="J22">
        <v>294.77</v>
      </c>
      <c r="K22">
        <v>282.24</v>
      </c>
      <c r="L22">
        <v>269.75</v>
      </c>
    </row>
    <row r="23" spans="1:12" ht="14.25" customHeight="1" x14ac:dyDescent="0.2">
      <c r="A23">
        <v>90</v>
      </c>
      <c r="B23">
        <v>418.22</v>
      </c>
      <c r="C23">
        <v>405.39</v>
      </c>
      <c r="D23">
        <v>392.59</v>
      </c>
      <c r="E23">
        <v>379.81</v>
      </c>
      <c r="F23">
        <v>367.06</v>
      </c>
      <c r="G23">
        <v>354.34</v>
      </c>
      <c r="H23">
        <v>341.65</v>
      </c>
      <c r="I23">
        <v>329</v>
      </c>
      <c r="J23">
        <v>316.38</v>
      </c>
      <c r="K23">
        <v>303.8</v>
      </c>
      <c r="L23">
        <v>291.26</v>
      </c>
    </row>
    <row r="24" spans="1:12" ht="14.25" customHeight="1" x14ac:dyDescent="0.2">
      <c r="A24">
        <v>95</v>
      </c>
      <c r="B24">
        <v>440.14</v>
      </c>
      <c r="C24">
        <v>427.29</v>
      </c>
      <c r="D24">
        <v>414.46</v>
      </c>
      <c r="E24">
        <v>401.65</v>
      </c>
      <c r="F24">
        <v>388.87</v>
      </c>
      <c r="G24">
        <v>376.12</v>
      </c>
      <c r="H24">
        <v>363.4</v>
      </c>
      <c r="I24">
        <v>350.7</v>
      </c>
      <c r="J24">
        <v>338.05</v>
      </c>
      <c r="K24">
        <v>325.42</v>
      </c>
      <c r="L24">
        <v>312.83999999999997</v>
      </c>
    </row>
    <row r="25" spans="1:12" ht="14.25" customHeight="1" x14ac:dyDescent="0.2">
      <c r="A25">
        <v>100</v>
      </c>
      <c r="B25">
        <v>462.1</v>
      </c>
      <c r="C25">
        <v>449.23</v>
      </c>
      <c r="D25">
        <v>436.37</v>
      </c>
      <c r="E25">
        <v>423.54</v>
      </c>
      <c r="F25">
        <v>410.73</v>
      </c>
      <c r="G25">
        <v>397.95</v>
      </c>
      <c r="H25">
        <v>385.19</v>
      </c>
      <c r="I25">
        <v>372.47</v>
      </c>
      <c r="J25">
        <v>359.77</v>
      </c>
      <c r="K25">
        <v>347.11</v>
      </c>
      <c r="L25">
        <v>334.49</v>
      </c>
    </row>
    <row r="26" spans="1:12" ht="14.25" customHeight="1" x14ac:dyDescent="0.2">
      <c r="A26">
        <v>105</v>
      </c>
      <c r="B26">
        <v>484.1</v>
      </c>
      <c r="C26">
        <v>471.21</v>
      </c>
      <c r="D26">
        <v>458.33</v>
      </c>
      <c r="E26">
        <v>445.47</v>
      </c>
      <c r="F26">
        <v>432.63</v>
      </c>
      <c r="G26">
        <v>419.82</v>
      </c>
      <c r="H26">
        <v>407.04</v>
      </c>
      <c r="I26">
        <v>394.28</v>
      </c>
      <c r="J26">
        <v>381.55</v>
      </c>
      <c r="K26">
        <v>368.85</v>
      </c>
      <c r="L26">
        <v>356.19</v>
      </c>
    </row>
    <row r="27" spans="1:12" ht="14.25" customHeight="1" x14ac:dyDescent="0.2">
      <c r="A27">
        <v>110</v>
      </c>
      <c r="B27">
        <v>506.14</v>
      </c>
      <c r="C27">
        <v>493.22</v>
      </c>
      <c r="D27">
        <v>480.32</v>
      </c>
      <c r="E27">
        <v>467.44</v>
      </c>
      <c r="F27">
        <v>454.58</v>
      </c>
      <c r="G27">
        <v>441.74</v>
      </c>
      <c r="H27">
        <v>428.93</v>
      </c>
      <c r="I27">
        <v>416.14</v>
      </c>
      <c r="J27">
        <v>403.38</v>
      </c>
      <c r="K27">
        <v>390.65</v>
      </c>
      <c r="L27">
        <v>377.95</v>
      </c>
    </row>
    <row r="28" spans="1:12" ht="14.25" customHeight="1" x14ac:dyDescent="0.2">
      <c r="A28">
        <v>115</v>
      </c>
      <c r="B28">
        <v>528.20000000000005</v>
      </c>
      <c r="C28">
        <v>515.27</v>
      </c>
      <c r="D28">
        <v>502.34</v>
      </c>
      <c r="E28">
        <v>489.44</v>
      </c>
      <c r="F28">
        <v>476.56</v>
      </c>
      <c r="G28">
        <v>463.7</v>
      </c>
      <c r="H28">
        <v>450.86</v>
      </c>
      <c r="I28">
        <v>438.04</v>
      </c>
      <c r="J28">
        <v>425.25</v>
      </c>
      <c r="K28">
        <v>412.49</v>
      </c>
      <c r="L28">
        <v>399.76</v>
      </c>
    </row>
    <row r="29" spans="1:12" ht="14.25" customHeight="1" x14ac:dyDescent="0.2">
      <c r="A29">
        <v>120</v>
      </c>
      <c r="B29">
        <v>550.29999999999995</v>
      </c>
      <c r="C29">
        <v>537.34</v>
      </c>
      <c r="D29">
        <v>524.4</v>
      </c>
      <c r="E29">
        <v>511.48</v>
      </c>
      <c r="F29">
        <v>498.58</v>
      </c>
      <c r="G29">
        <v>485.69</v>
      </c>
      <c r="H29">
        <v>472.83</v>
      </c>
      <c r="I29">
        <v>459.99</v>
      </c>
      <c r="J29">
        <v>447.17</v>
      </c>
      <c r="K29">
        <v>434.38</v>
      </c>
      <c r="L29">
        <v>421.61</v>
      </c>
    </row>
    <row r="30" spans="1:12" ht="14.25" customHeight="1" x14ac:dyDescent="0.2">
      <c r="A30">
        <v>125</v>
      </c>
      <c r="B30">
        <v>572.41999999999996</v>
      </c>
      <c r="C30">
        <v>559.45000000000005</v>
      </c>
      <c r="D30">
        <v>546.49</v>
      </c>
      <c r="E30">
        <v>533.54999999999995</v>
      </c>
      <c r="F30">
        <v>520.63</v>
      </c>
      <c r="G30">
        <v>507.72</v>
      </c>
      <c r="H30">
        <v>494.83</v>
      </c>
      <c r="I30">
        <v>481.97</v>
      </c>
      <c r="J30">
        <v>469.13</v>
      </c>
      <c r="K30">
        <v>456.31</v>
      </c>
      <c r="L30">
        <v>443.51</v>
      </c>
    </row>
    <row r="31" spans="1:12" ht="14.25" customHeight="1" x14ac:dyDescent="0.2">
      <c r="A31">
        <v>130</v>
      </c>
      <c r="B31">
        <v>594.55999999999995</v>
      </c>
      <c r="C31">
        <v>581.58000000000004</v>
      </c>
      <c r="D31">
        <v>568.61</v>
      </c>
      <c r="E31">
        <v>555.65</v>
      </c>
      <c r="F31">
        <v>542.71</v>
      </c>
      <c r="G31">
        <v>529.78</v>
      </c>
      <c r="H31">
        <v>516.87</v>
      </c>
      <c r="I31">
        <v>503.99</v>
      </c>
      <c r="J31">
        <v>491.12</v>
      </c>
      <c r="K31">
        <v>478.27</v>
      </c>
      <c r="L31">
        <v>465.45</v>
      </c>
    </row>
    <row r="32" spans="1:12" ht="14.25" customHeight="1" x14ac:dyDescent="0.2">
      <c r="A32">
        <v>135</v>
      </c>
      <c r="B32">
        <v>616.73</v>
      </c>
      <c r="C32">
        <v>603.73</v>
      </c>
      <c r="D32">
        <v>590.74</v>
      </c>
      <c r="E32">
        <v>577.77</v>
      </c>
      <c r="F32">
        <v>564.80999999999995</v>
      </c>
      <c r="G32">
        <v>551.87</v>
      </c>
      <c r="H32">
        <v>538.94000000000005</v>
      </c>
      <c r="I32">
        <v>526.03</v>
      </c>
      <c r="J32">
        <v>513.15</v>
      </c>
      <c r="K32">
        <v>500.28</v>
      </c>
      <c r="L32">
        <v>487.43</v>
      </c>
    </row>
    <row r="33" spans="1:12" ht="14.25" customHeight="1" x14ac:dyDescent="0.2">
      <c r="A33">
        <v>140</v>
      </c>
      <c r="B33">
        <v>638.91</v>
      </c>
      <c r="C33">
        <v>625.9</v>
      </c>
      <c r="D33">
        <v>612.9</v>
      </c>
      <c r="E33">
        <v>599.91999999999996</v>
      </c>
      <c r="F33">
        <v>586.94000000000005</v>
      </c>
      <c r="G33">
        <v>573.98</v>
      </c>
      <c r="H33">
        <v>561.04</v>
      </c>
      <c r="I33">
        <v>548.11</v>
      </c>
      <c r="J33">
        <v>535.20000000000005</v>
      </c>
      <c r="K33">
        <v>522.30999999999995</v>
      </c>
      <c r="L33">
        <v>509.44</v>
      </c>
    </row>
    <row r="34" spans="1:12" ht="14.25" customHeight="1" x14ac:dyDescent="0.2">
      <c r="A34">
        <v>145</v>
      </c>
      <c r="B34">
        <v>661.11</v>
      </c>
      <c r="C34">
        <v>648.09</v>
      </c>
      <c r="D34">
        <v>635.08000000000004</v>
      </c>
      <c r="E34">
        <v>622.08000000000004</v>
      </c>
      <c r="F34">
        <v>609.1</v>
      </c>
      <c r="G34">
        <v>596.12</v>
      </c>
      <c r="H34">
        <v>583.16</v>
      </c>
      <c r="I34">
        <v>570.22</v>
      </c>
      <c r="J34">
        <v>557.29</v>
      </c>
      <c r="K34">
        <v>544.38</v>
      </c>
      <c r="L34">
        <v>531.48</v>
      </c>
    </row>
    <row r="35" spans="1:12" ht="14.25" customHeight="1" x14ac:dyDescent="0.2">
      <c r="A35">
        <v>150</v>
      </c>
      <c r="B35">
        <v>683.32</v>
      </c>
      <c r="C35">
        <v>670.29</v>
      </c>
      <c r="D35">
        <v>657.28</v>
      </c>
      <c r="E35">
        <v>644.27</v>
      </c>
      <c r="F35">
        <v>631.27</v>
      </c>
      <c r="G35">
        <v>618.28</v>
      </c>
      <c r="H35">
        <v>605.29999999999995</v>
      </c>
      <c r="I35">
        <v>592.34</v>
      </c>
      <c r="J35">
        <v>579.4</v>
      </c>
      <c r="K35">
        <v>566.47</v>
      </c>
      <c r="L35">
        <v>553.55999999999995</v>
      </c>
    </row>
    <row r="36" spans="1:12" ht="14.25" customHeight="1" x14ac:dyDescent="0.2">
      <c r="A36">
        <v>155</v>
      </c>
      <c r="B36">
        <v>705.43</v>
      </c>
      <c r="C36">
        <v>692.51</v>
      </c>
      <c r="D36">
        <v>679.48</v>
      </c>
      <c r="E36">
        <v>666.46</v>
      </c>
      <c r="F36">
        <v>653.45000000000005</v>
      </c>
      <c r="G36">
        <v>640.45000000000005</v>
      </c>
      <c r="H36">
        <v>627.47</v>
      </c>
      <c r="I36">
        <v>614.49</v>
      </c>
      <c r="J36">
        <v>601.53</v>
      </c>
      <c r="K36">
        <v>588.58000000000004</v>
      </c>
      <c r="L36">
        <v>575.65</v>
      </c>
    </row>
    <row r="37" spans="1:12" ht="14.25" customHeight="1" x14ac:dyDescent="0.2">
      <c r="A37">
        <v>160</v>
      </c>
      <c r="B37">
        <v>723.89</v>
      </c>
      <c r="C37">
        <v>714.74</v>
      </c>
      <c r="D37">
        <v>701.7</v>
      </c>
      <c r="E37">
        <v>688.68</v>
      </c>
      <c r="F37">
        <v>675.66</v>
      </c>
      <c r="G37">
        <v>662.65</v>
      </c>
      <c r="H37">
        <v>649.65</v>
      </c>
      <c r="I37">
        <v>636.66</v>
      </c>
      <c r="J37">
        <v>623.67999999999995</v>
      </c>
      <c r="K37">
        <v>610.72</v>
      </c>
      <c r="L37">
        <v>597.77</v>
      </c>
    </row>
    <row r="38" spans="1:12" ht="14.25" customHeight="1" x14ac:dyDescent="0.2">
      <c r="A38">
        <v>165</v>
      </c>
      <c r="B38">
        <v>736.76</v>
      </c>
      <c r="C38">
        <v>732.56</v>
      </c>
      <c r="D38">
        <v>723.93</v>
      </c>
      <c r="E38">
        <v>710.9</v>
      </c>
      <c r="F38">
        <v>697.87</v>
      </c>
      <c r="G38">
        <v>684.85</v>
      </c>
      <c r="H38">
        <v>671.82</v>
      </c>
      <c r="I38">
        <v>658.77</v>
      </c>
      <c r="J38">
        <v>645.73</v>
      </c>
      <c r="K38">
        <v>632.71</v>
      </c>
      <c r="L38">
        <v>619.70000000000005</v>
      </c>
    </row>
    <row r="39" spans="1:12" ht="14.25" customHeight="1" x14ac:dyDescent="0.2">
      <c r="A39">
        <v>170</v>
      </c>
      <c r="B39">
        <v>744.29</v>
      </c>
      <c r="C39">
        <v>740.52</v>
      </c>
      <c r="D39">
        <v>736.73</v>
      </c>
      <c r="E39">
        <v>730.32</v>
      </c>
      <c r="F39">
        <v>718.19</v>
      </c>
      <c r="G39">
        <v>705.42</v>
      </c>
      <c r="H39">
        <v>692.42</v>
      </c>
      <c r="I39">
        <v>679.43</v>
      </c>
      <c r="J39">
        <v>666.44</v>
      </c>
      <c r="K39">
        <v>653.47</v>
      </c>
      <c r="L39">
        <v>640.48</v>
      </c>
    </row>
    <row r="40" spans="1:12" ht="14.25" customHeight="1" x14ac:dyDescent="0.2">
      <c r="A40">
        <v>175</v>
      </c>
      <c r="B40">
        <v>750.65</v>
      </c>
      <c r="C40">
        <v>746.93</v>
      </c>
      <c r="D40">
        <v>743.17</v>
      </c>
      <c r="E40">
        <v>739.38</v>
      </c>
      <c r="F40">
        <v>732.89</v>
      </c>
      <c r="G40">
        <v>722.21</v>
      </c>
      <c r="H40">
        <v>710.28</v>
      </c>
      <c r="I40">
        <v>697.93</v>
      </c>
      <c r="J40">
        <v>685.59</v>
      </c>
      <c r="K40">
        <v>672.83</v>
      </c>
      <c r="L40">
        <v>659.86</v>
      </c>
    </row>
    <row r="41" spans="1:12" ht="14.25" customHeight="1" x14ac:dyDescent="0.2">
      <c r="A41">
        <v>180</v>
      </c>
      <c r="B41">
        <v>756.94</v>
      </c>
      <c r="C41">
        <v>753.26</v>
      </c>
      <c r="D41">
        <v>749.55</v>
      </c>
      <c r="E41">
        <v>745.8</v>
      </c>
      <c r="F41">
        <v>742.01</v>
      </c>
      <c r="G41">
        <v>735.21</v>
      </c>
      <c r="H41">
        <v>725.33</v>
      </c>
      <c r="I41">
        <v>714.08</v>
      </c>
      <c r="J41">
        <v>702.29</v>
      </c>
      <c r="K41">
        <v>690.02</v>
      </c>
      <c r="L41">
        <v>677.7</v>
      </c>
    </row>
    <row r="42" spans="1:12" ht="14.25" customHeight="1" x14ac:dyDescent="0.2">
      <c r="A42">
        <v>185</v>
      </c>
      <c r="B42">
        <v>763.15</v>
      </c>
      <c r="C42">
        <v>759.52</v>
      </c>
      <c r="D42">
        <v>755.85</v>
      </c>
      <c r="E42">
        <v>752.14</v>
      </c>
      <c r="F42">
        <v>748.4</v>
      </c>
      <c r="G42">
        <v>744.45</v>
      </c>
      <c r="H42">
        <v>737.51</v>
      </c>
      <c r="I42">
        <v>727.94</v>
      </c>
      <c r="J42">
        <v>717.7</v>
      </c>
      <c r="K42">
        <v>705.95</v>
      </c>
      <c r="L42">
        <v>694.17</v>
      </c>
    </row>
    <row r="43" spans="1:12" ht="14.25" customHeight="1" x14ac:dyDescent="0.2">
      <c r="A43">
        <v>190</v>
      </c>
      <c r="B43">
        <v>769.29</v>
      </c>
      <c r="C43">
        <v>765.7</v>
      </c>
      <c r="D43">
        <v>762.07</v>
      </c>
      <c r="E43">
        <v>758.41</v>
      </c>
      <c r="F43">
        <v>754.71</v>
      </c>
      <c r="G43">
        <v>750.97</v>
      </c>
      <c r="H43">
        <v>746.73</v>
      </c>
      <c r="I43">
        <v>739.78</v>
      </c>
      <c r="J43">
        <v>730.52</v>
      </c>
      <c r="K43">
        <v>720.29</v>
      </c>
      <c r="L43">
        <v>709.59</v>
      </c>
    </row>
    <row r="44" spans="1:12" ht="14.25" customHeight="1" x14ac:dyDescent="0.2">
      <c r="A44">
        <v>195</v>
      </c>
      <c r="B44">
        <v>775.36</v>
      </c>
      <c r="C44">
        <v>771.81</v>
      </c>
      <c r="D44">
        <v>768.22</v>
      </c>
      <c r="E44">
        <v>764.6</v>
      </c>
      <c r="F44">
        <v>760.94</v>
      </c>
      <c r="G44">
        <v>757.25</v>
      </c>
      <c r="H44">
        <v>753.52</v>
      </c>
      <c r="I44">
        <v>748.92</v>
      </c>
      <c r="J44">
        <v>742.03</v>
      </c>
      <c r="K44">
        <v>732.8</v>
      </c>
      <c r="L44">
        <v>722.85</v>
      </c>
    </row>
    <row r="45" spans="1:12" ht="14.25" customHeight="1" x14ac:dyDescent="0.2">
      <c r="A45">
        <v>200</v>
      </c>
      <c r="B45">
        <v>781.35</v>
      </c>
      <c r="C45">
        <v>777.84</v>
      </c>
      <c r="D45">
        <v>774.3</v>
      </c>
      <c r="E45">
        <v>770.72</v>
      </c>
      <c r="F45">
        <v>767.1</v>
      </c>
      <c r="G45">
        <v>763.45</v>
      </c>
      <c r="H45">
        <v>759.76</v>
      </c>
      <c r="I45">
        <v>756.04</v>
      </c>
      <c r="J45">
        <v>751.01</v>
      </c>
      <c r="K45">
        <v>744.25</v>
      </c>
      <c r="L45">
        <v>735.03</v>
      </c>
    </row>
    <row r="46" spans="1:12" ht="14.25" customHeight="1" x14ac:dyDescent="0.2">
      <c r="A46">
        <v>205</v>
      </c>
      <c r="B46">
        <v>787.26</v>
      </c>
      <c r="C46">
        <v>783.8</v>
      </c>
      <c r="D46">
        <v>780.3</v>
      </c>
      <c r="E46">
        <v>776.76</v>
      </c>
      <c r="F46">
        <v>773.19</v>
      </c>
      <c r="G46">
        <v>769.58</v>
      </c>
      <c r="H46">
        <v>765.93</v>
      </c>
      <c r="I46">
        <v>762.25</v>
      </c>
      <c r="J46">
        <v>758.4</v>
      </c>
      <c r="K46">
        <v>753.05</v>
      </c>
      <c r="L46">
        <v>746.29</v>
      </c>
    </row>
    <row r="47" spans="1:12" ht="14.25" customHeight="1" x14ac:dyDescent="0.2">
      <c r="A47">
        <v>210</v>
      </c>
      <c r="B47">
        <v>793.1</v>
      </c>
      <c r="C47">
        <v>789.68</v>
      </c>
      <c r="D47">
        <v>786.22</v>
      </c>
      <c r="E47">
        <v>782.73</v>
      </c>
      <c r="F47">
        <v>779.2</v>
      </c>
      <c r="G47">
        <v>775.63</v>
      </c>
      <c r="H47">
        <v>772.03</v>
      </c>
      <c r="I47">
        <v>768.39</v>
      </c>
      <c r="J47">
        <v>764.71</v>
      </c>
      <c r="K47">
        <v>760.71</v>
      </c>
      <c r="L47">
        <v>755.06</v>
      </c>
    </row>
    <row r="48" spans="1:12" ht="14.25" customHeight="1" x14ac:dyDescent="0.2">
      <c r="A48">
        <v>215</v>
      </c>
      <c r="B48">
        <v>798.87</v>
      </c>
      <c r="C48">
        <v>795.49</v>
      </c>
      <c r="D48">
        <v>792.08</v>
      </c>
      <c r="E48">
        <v>788.62</v>
      </c>
      <c r="F48">
        <v>785.14</v>
      </c>
      <c r="G48">
        <v>781.61</v>
      </c>
      <c r="H48">
        <v>778.05</v>
      </c>
      <c r="I48">
        <v>774.45</v>
      </c>
      <c r="J48">
        <v>770.82</v>
      </c>
      <c r="K48">
        <v>767.15</v>
      </c>
      <c r="L48">
        <v>762.99</v>
      </c>
    </row>
    <row r="49" spans="1:12" ht="14.25" customHeight="1" x14ac:dyDescent="0.2">
      <c r="A49">
        <v>220</v>
      </c>
      <c r="B49">
        <v>804.55</v>
      </c>
      <c r="C49">
        <v>801.22</v>
      </c>
      <c r="D49">
        <v>797.85</v>
      </c>
      <c r="E49">
        <v>794.44</v>
      </c>
      <c r="F49">
        <v>791</v>
      </c>
      <c r="G49">
        <v>787.52</v>
      </c>
      <c r="H49">
        <v>784</v>
      </c>
      <c r="I49">
        <v>780.44</v>
      </c>
      <c r="J49">
        <v>776.85</v>
      </c>
      <c r="K49">
        <v>773.23</v>
      </c>
      <c r="L49">
        <v>769.56</v>
      </c>
    </row>
    <row r="50" spans="1:12" ht="14.25" customHeight="1" x14ac:dyDescent="0.2">
      <c r="A50">
        <v>225</v>
      </c>
      <c r="B50">
        <v>810.17</v>
      </c>
      <c r="C50">
        <v>806.88</v>
      </c>
      <c r="D50">
        <v>803.55</v>
      </c>
      <c r="E50">
        <v>800.19</v>
      </c>
      <c r="F50">
        <v>796.78</v>
      </c>
      <c r="G50">
        <v>793.35</v>
      </c>
      <c r="H50">
        <v>789.87</v>
      </c>
      <c r="I50">
        <v>786.36</v>
      </c>
      <c r="J50">
        <v>782.81</v>
      </c>
      <c r="K50">
        <v>779.23</v>
      </c>
      <c r="L50">
        <v>775.61</v>
      </c>
    </row>
    <row r="51" spans="1:12" ht="14.25" customHeight="1" x14ac:dyDescent="0.2">
      <c r="A51">
        <v>230</v>
      </c>
      <c r="B51">
        <v>815.7</v>
      </c>
      <c r="C51">
        <v>812.46</v>
      </c>
      <c r="D51">
        <v>809.18</v>
      </c>
      <c r="E51">
        <v>805.85</v>
      </c>
      <c r="F51">
        <v>802.5</v>
      </c>
      <c r="G51">
        <v>799.1</v>
      </c>
      <c r="H51">
        <v>795.67</v>
      </c>
      <c r="I51">
        <v>792.2</v>
      </c>
      <c r="J51">
        <v>788.69</v>
      </c>
      <c r="K51">
        <v>785.15</v>
      </c>
      <c r="L51">
        <v>781.57</v>
      </c>
    </row>
    <row r="52" spans="1:12" ht="14.25" customHeight="1" x14ac:dyDescent="0.2">
      <c r="A52">
        <v>235</v>
      </c>
      <c r="B52">
        <v>821.17</v>
      </c>
      <c r="C52">
        <v>817.96</v>
      </c>
      <c r="D52">
        <v>814.72</v>
      </c>
      <c r="E52">
        <v>811.45</v>
      </c>
      <c r="F52">
        <v>808.13</v>
      </c>
      <c r="G52">
        <v>804.78</v>
      </c>
      <c r="H52">
        <v>801.39</v>
      </c>
      <c r="I52">
        <v>797.97</v>
      </c>
      <c r="J52">
        <v>794.5</v>
      </c>
      <c r="K52">
        <v>791</v>
      </c>
      <c r="L52">
        <v>787.47</v>
      </c>
    </row>
    <row r="53" spans="1:12" ht="14.25" customHeight="1" x14ac:dyDescent="0.2">
      <c r="A53">
        <v>240</v>
      </c>
      <c r="B53">
        <v>826.55</v>
      </c>
      <c r="C53">
        <v>823.39</v>
      </c>
      <c r="D53">
        <v>820.2</v>
      </c>
      <c r="E53">
        <v>816.97</v>
      </c>
      <c r="F53">
        <v>813.69</v>
      </c>
      <c r="G53">
        <v>810.39</v>
      </c>
      <c r="H53">
        <v>807.04</v>
      </c>
      <c r="I53">
        <v>803.66</v>
      </c>
      <c r="J53">
        <v>800.24</v>
      </c>
      <c r="K53">
        <v>796.78</v>
      </c>
      <c r="L53">
        <v>793.29</v>
      </c>
    </row>
    <row r="54" spans="1:12" ht="14.25" customHeight="1" x14ac:dyDescent="0.2">
      <c r="A54">
        <v>245</v>
      </c>
      <c r="B54">
        <v>831.86</v>
      </c>
      <c r="C54">
        <v>828.75</v>
      </c>
      <c r="D54">
        <v>825.59</v>
      </c>
      <c r="E54">
        <v>822.41</v>
      </c>
      <c r="F54">
        <v>819.18</v>
      </c>
      <c r="G54">
        <v>815.91</v>
      </c>
      <c r="H54">
        <v>812.61</v>
      </c>
      <c r="I54">
        <v>809.27</v>
      </c>
      <c r="J54">
        <v>805.9</v>
      </c>
      <c r="K54">
        <v>802.48</v>
      </c>
      <c r="L54">
        <v>799.03</v>
      </c>
    </row>
    <row r="55" spans="1:12" ht="14.25" customHeight="1" x14ac:dyDescent="0.2">
      <c r="A55">
        <v>250</v>
      </c>
      <c r="B55">
        <v>837.09</v>
      </c>
      <c r="C55">
        <v>834.02</v>
      </c>
      <c r="D55">
        <v>830.91</v>
      </c>
      <c r="E55">
        <v>827.77</v>
      </c>
      <c r="F55">
        <v>824.59</v>
      </c>
      <c r="G55">
        <v>821.37</v>
      </c>
      <c r="H55">
        <v>818.11</v>
      </c>
      <c r="I55">
        <v>814.81</v>
      </c>
      <c r="J55">
        <v>811.48</v>
      </c>
      <c r="K55">
        <v>808.11</v>
      </c>
      <c r="L55">
        <v>804.7</v>
      </c>
    </row>
    <row r="56" spans="1:12" ht="14.25" customHeight="1" x14ac:dyDescent="0.2">
      <c r="A56">
        <v>255</v>
      </c>
      <c r="B56">
        <v>842.25</v>
      </c>
      <c r="C56">
        <v>839.22</v>
      </c>
      <c r="D56">
        <v>836.16</v>
      </c>
      <c r="E56">
        <v>833.06</v>
      </c>
      <c r="F56">
        <v>829.92</v>
      </c>
      <c r="G56">
        <v>826.74</v>
      </c>
      <c r="H56">
        <v>823.53</v>
      </c>
      <c r="I56">
        <v>820.28</v>
      </c>
      <c r="J56">
        <v>816.99</v>
      </c>
      <c r="K56">
        <v>813.66</v>
      </c>
      <c r="L56">
        <v>810.3</v>
      </c>
    </row>
    <row r="57" spans="1:12" ht="14.25" customHeight="1" x14ac:dyDescent="0.2">
      <c r="A57">
        <v>260</v>
      </c>
      <c r="B57">
        <v>847.32</v>
      </c>
      <c r="C57">
        <v>844.35</v>
      </c>
      <c r="D57">
        <v>841.33</v>
      </c>
      <c r="E57">
        <v>838.27</v>
      </c>
      <c r="F57">
        <v>835.18</v>
      </c>
      <c r="G57">
        <v>832.05</v>
      </c>
      <c r="H57">
        <v>828.88</v>
      </c>
      <c r="I57">
        <v>825.67</v>
      </c>
      <c r="J57">
        <v>822.42</v>
      </c>
      <c r="K57">
        <v>819.14</v>
      </c>
      <c r="L57">
        <v>815.82</v>
      </c>
    </row>
    <row r="58" spans="1:12" ht="14.25" customHeight="1" x14ac:dyDescent="0.2">
      <c r="A58">
        <v>265</v>
      </c>
      <c r="B58">
        <v>852.33</v>
      </c>
      <c r="C58">
        <v>849.39</v>
      </c>
      <c r="D58">
        <v>846.42</v>
      </c>
      <c r="E58">
        <v>843.41</v>
      </c>
      <c r="F58">
        <v>840.36</v>
      </c>
      <c r="G58">
        <v>837.27</v>
      </c>
      <c r="H58">
        <v>834.14</v>
      </c>
      <c r="I58">
        <v>830.98</v>
      </c>
      <c r="J58">
        <v>827.78</v>
      </c>
      <c r="K58">
        <v>824.54</v>
      </c>
      <c r="L58">
        <v>821.26</v>
      </c>
    </row>
    <row r="59" spans="1:12" ht="14.25" customHeight="1" x14ac:dyDescent="0.2">
      <c r="A59">
        <v>270</v>
      </c>
      <c r="B59">
        <v>857.25</v>
      </c>
      <c r="C59">
        <v>854.36</v>
      </c>
      <c r="D59">
        <v>851.43</v>
      </c>
      <c r="E59">
        <v>848.47</v>
      </c>
      <c r="F59">
        <v>845.46</v>
      </c>
      <c r="G59">
        <v>842.42</v>
      </c>
      <c r="H59">
        <v>839.34</v>
      </c>
      <c r="I59">
        <v>836.22</v>
      </c>
      <c r="J59">
        <v>833.06</v>
      </c>
      <c r="K59">
        <v>829.86</v>
      </c>
      <c r="L59">
        <v>826.63</v>
      </c>
    </row>
    <row r="60" spans="1:12" ht="14.25" customHeight="1" x14ac:dyDescent="0.2">
      <c r="A60">
        <v>275</v>
      </c>
      <c r="B60">
        <v>862.1</v>
      </c>
      <c r="C60">
        <v>859.26</v>
      </c>
      <c r="D60">
        <v>856.37</v>
      </c>
      <c r="E60">
        <v>853.45</v>
      </c>
      <c r="F60">
        <v>850.49</v>
      </c>
      <c r="G60">
        <v>847.49</v>
      </c>
      <c r="H60">
        <v>844.45</v>
      </c>
      <c r="I60">
        <v>841.38</v>
      </c>
      <c r="J60">
        <v>838.26</v>
      </c>
      <c r="K60">
        <v>835.11</v>
      </c>
      <c r="L60">
        <v>831.92</v>
      </c>
    </row>
    <row r="61" spans="1:12" ht="14.25" customHeight="1" x14ac:dyDescent="0.2">
      <c r="A61">
        <v>280</v>
      </c>
      <c r="B61">
        <v>866.87</v>
      </c>
      <c r="C61">
        <v>864.07</v>
      </c>
      <c r="D61">
        <v>861.23</v>
      </c>
      <c r="E61">
        <v>858.36</v>
      </c>
      <c r="F61">
        <v>855.44</v>
      </c>
      <c r="G61">
        <v>852.49</v>
      </c>
      <c r="H61">
        <v>849.5</v>
      </c>
      <c r="I61">
        <v>846.46</v>
      </c>
      <c r="J61">
        <v>843.39</v>
      </c>
      <c r="K61">
        <v>840.29</v>
      </c>
      <c r="L61">
        <v>837.14</v>
      </c>
    </row>
    <row r="62" spans="1:12" ht="14.25" customHeight="1" x14ac:dyDescent="0.2">
      <c r="A62">
        <v>285</v>
      </c>
      <c r="B62">
        <v>871.56</v>
      </c>
      <c r="C62">
        <v>868.81</v>
      </c>
      <c r="D62">
        <v>866.02</v>
      </c>
      <c r="E62">
        <v>863.19</v>
      </c>
      <c r="F62">
        <v>860.32</v>
      </c>
      <c r="G62">
        <v>857.41</v>
      </c>
      <c r="H62">
        <v>854.46</v>
      </c>
      <c r="I62">
        <v>851.47</v>
      </c>
      <c r="J62">
        <v>848.45</v>
      </c>
      <c r="K62">
        <v>845.38</v>
      </c>
      <c r="L62">
        <v>842.28</v>
      </c>
    </row>
    <row r="63" spans="1:12" ht="14.25" customHeight="1" x14ac:dyDescent="0.2">
      <c r="A63">
        <v>290</v>
      </c>
      <c r="B63">
        <v>876.18</v>
      </c>
      <c r="C63">
        <v>873.47</v>
      </c>
      <c r="D63">
        <v>870.72</v>
      </c>
      <c r="E63">
        <v>867.94</v>
      </c>
      <c r="F63">
        <v>865.11</v>
      </c>
      <c r="G63">
        <v>862.25</v>
      </c>
      <c r="H63">
        <v>859.35</v>
      </c>
      <c r="I63">
        <v>856.4</v>
      </c>
      <c r="J63">
        <v>853.42</v>
      </c>
      <c r="K63">
        <v>850.4</v>
      </c>
      <c r="L63">
        <v>847.35</v>
      </c>
    </row>
    <row r="64" spans="1:12" ht="14.25" customHeight="1" x14ac:dyDescent="0.2">
      <c r="A64">
        <v>295</v>
      </c>
      <c r="B64">
        <v>880.72</v>
      </c>
      <c r="C64">
        <v>878.06</v>
      </c>
      <c r="D64">
        <v>875.35</v>
      </c>
      <c r="E64">
        <v>872.62</v>
      </c>
      <c r="F64">
        <v>869.84</v>
      </c>
      <c r="G64">
        <v>867.02</v>
      </c>
      <c r="H64">
        <v>864.16</v>
      </c>
      <c r="I64">
        <v>861.26</v>
      </c>
      <c r="J64">
        <v>858.32</v>
      </c>
      <c r="K64">
        <v>855.35</v>
      </c>
      <c r="L64">
        <v>852.34</v>
      </c>
    </row>
    <row r="65" spans="1:12" ht="14.25" customHeight="1" x14ac:dyDescent="0.2">
      <c r="A65">
        <v>300</v>
      </c>
      <c r="B65">
        <v>885.18</v>
      </c>
      <c r="C65">
        <v>882.56</v>
      </c>
      <c r="D65">
        <v>879.91</v>
      </c>
      <c r="E65">
        <v>877.21</v>
      </c>
      <c r="F65">
        <v>874.48</v>
      </c>
      <c r="G65">
        <v>871.7</v>
      </c>
      <c r="H65">
        <v>868.89</v>
      </c>
      <c r="I65">
        <v>866.04</v>
      </c>
      <c r="J65">
        <v>863.15</v>
      </c>
      <c r="K65">
        <v>860.22</v>
      </c>
      <c r="L65">
        <v>857.25</v>
      </c>
    </row>
    <row r="66" spans="1:12" ht="14.25" customHeight="1" x14ac:dyDescent="0.2">
      <c r="A66">
        <v>305</v>
      </c>
      <c r="B66">
        <v>889.57</v>
      </c>
      <c r="C66">
        <v>886.99</v>
      </c>
      <c r="D66">
        <v>884.38</v>
      </c>
      <c r="E66">
        <v>881.73</v>
      </c>
      <c r="F66">
        <v>879.04</v>
      </c>
      <c r="G66">
        <v>876.32</v>
      </c>
      <c r="H66">
        <v>873.55</v>
      </c>
      <c r="I66">
        <v>870.74</v>
      </c>
      <c r="J66">
        <v>867.89</v>
      </c>
      <c r="K66">
        <v>865.01</v>
      </c>
      <c r="L66">
        <v>862.09</v>
      </c>
    </row>
    <row r="67" spans="1:12" ht="14.25" customHeight="1" x14ac:dyDescent="0.2">
      <c r="A67">
        <v>310</v>
      </c>
      <c r="B67">
        <v>893.87</v>
      </c>
      <c r="C67">
        <v>891.35</v>
      </c>
      <c r="D67">
        <v>888.78</v>
      </c>
      <c r="E67">
        <v>886.18</v>
      </c>
      <c r="F67">
        <v>883.53</v>
      </c>
      <c r="G67">
        <v>880.85</v>
      </c>
      <c r="H67">
        <v>878.13</v>
      </c>
      <c r="I67">
        <v>875.37</v>
      </c>
      <c r="J67">
        <v>872.56</v>
      </c>
      <c r="K67">
        <v>869.72</v>
      </c>
      <c r="L67">
        <v>866.85</v>
      </c>
    </row>
    <row r="68" spans="1:12" ht="14.25" customHeight="1" x14ac:dyDescent="0.2">
      <c r="A68">
        <v>315</v>
      </c>
      <c r="B68">
        <v>898.1</v>
      </c>
      <c r="C68">
        <v>895.62</v>
      </c>
      <c r="D68">
        <v>893.1</v>
      </c>
      <c r="E68">
        <v>890.54</v>
      </c>
      <c r="F68">
        <v>887.95</v>
      </c>
      <c r="G68">
        <v>885.31</v>
      </c>
      <c r="H68">
        <v>882.63</v>
      </c>
      <c r="I68">
        <v>879.91</v>
      </c>
      <c r="J68">
        <v>877.16</v>
      </c>
      <c r="K68">
        <v>874.36</v>
      </c>
      <c r="L68">
        <v>871.53</v>
      </c>
    </row>
    <row r="69" spans="1:12" ht="14.25" customHeight="1" x14ac:dyDescent="0.2">
      <c r="A69">
        <v>320</v>
      </c>
      <c r="B69">
        <v>902.25</v>
      </c>
      <c r="C69">
        <v>899.82</v>
      </c>
      <c r="D69">
        <v>897.34</v>
      </c>
      <c r="E69">
        <v>894.83</v>
      </c>
      <c r="F69">
        <v>892.28</v>
      </c>
      <c r="G69">
        <v>889.69</v>
      </c>
      <c r="H69">
        <v>887.06</v>
      </c>
      <c r="I69">
        <v>884.38</v>
      </c>
      <c r="J69">
        <v>881.67</v>
      </c>
      <c r="K69">
        <v>878.92</v>
      </c>
      <c r="L69">
        <v>876.13</v>
      </c>
    </row>
    <row r="70" spans="1:12" ht="14.25" customHeight="1" x14ac:dyDescent="0.2">
      <c r="A70">
        <v>325</v>
      </c>
      <c r="B70">
        <v>906.33</v>
      </c>
      <c r="C70">
        <v>903.94</v>
      </c>
      <c r="D70">
        <v>901.51</v>
      </c>
      <c r="E70">
        <v>899.05</v>
      </c>
      <c r="F70">
        <v>896.54</v>
      </c>
      <c r="G70">
        <v>893.99</v>
      </c>
      <c r="H70">
        <v>891.4</v>
      </c>
      <c r="I70">
        <v>888.78</v>
      </c>
      <c r="J70">
        <v>886.11</v>
      </c>
      <c r="K70">
        <v>883.41</v>
      </c>
      <c r="L70">
        <v>880.66</v>
      </c>
    </row>
    <row r="71" spans="1:12" ht="14.25" customHeight="1" x14ac:dyDescent="0.2">
      <c r="A71">
        <v>330</v>
      </c>
      <c r="B71">
        <v>910.33</v>
      </c>
      <c r="C71">
        <v>907.98</v>
      </c>
      <c r="D71">
        <v>905.6</v>
      </c>
      <c r="E71">
        <v>903.18</v>
      </c>
      <c r="F71">
        <v>900.72</v>
      </c>
      <c r="G71">
        <v>898.22</v>
      </c>
      <c r="H71">
        <v>895.68</v>
      </c>
      <c r="I71">
        <v>893.1</v>
      </c>
      <c r="J71">
        <v>890.48</v>
      </c>
      <c r="K71">
        <v>887.82</v>
      </c>
      <c r="L71">
        <v>885.12</v>
      </c>
    </row>
    <row r="72" spans="1:12" ht="14.25" customHeight="1" x14ac:dyDescent="0.2">
      <c r="A72">
        <v>335</v>
      </c>
      <c r="B72">
        <v>914.25</v>
      </c>
      <c r="C72">
        <v>911.95</v>
      </c>
      <c r="D72">
        <v>909.61</v>
      </c>
      <c r="E72">
        <v>907.24</v>
      </c>
      <c r="F72">
        <v>904.82</v>
      </c>
      <c r="G72">
        <v>902.37</v>
      </c>
      <c r="H72">
        <v>899.87</v>
      </c>
      <c r="I72">
        <v>897.33</v>
      </c>
      <c r="J72">
        <v>894.76</v>
      </c>
      <c r="K72">
        <v>892.15</v>
      </c>
      <c r="L72">
        <v>889.49</v>
      </c>
    </row>
    <row r="73" spans="1:12" ht="14.25" customHeight="1" x14ac:dyDescent="0.2">
      <c r="A73">
        <v>340</v>
      </c>
      <c r="B73">
        <v>918.09</v>
      </c>
      <c r="C73">
        <v>915.84</v>
      </c>
      <c r="D73">
        <v>913.54</v>
      </c>
      <c r="E73">
        <v>911.22</v>
      </c>
      <c r="F73">
        <v>908.85</v>
      </c>
      <c r="G73">
        <v>906.44</v>
      </c>
      <c r="H73">
        <v>903.99</v>
      </c>
      <c r="I73">
        <v>901.5</v>
      </c>
      <c r="J73">
        <v>898.97</v>
      </c>
      <c r="K73">
        <v>896.4</v>
      </c>
      <c r="L73">
        <v>893.79</v>
      </c>
    </row>
    <row r="74" spans="1:12" ht="14.25" customHeight="1" x14ac:dyDescent="0.2">
      <c r="A74">
        <v>345</v>
      </c>
      <c r="B74">
        <v>921.85</v>
      </c>
      <c r="C74">
        <v>919.65</v>
      </c>
      <c r="D74">
        <v>917.4</v>
      </c>
      <c r="E74">
        <v>915.12</v>
      </c>
      <c r="F74">
        <v>912.79</v>
      </c>
      <c r="G74">
        <v>910.43</v>
      </c>
      <c r="H74">
        <v>908.03</v>
      </c>
      <c r="I74">
        <v>905.58</v>
      </c>
      <c r="J74">
        <v>903.1</v>
      </c>
      <c r="K74">
        <v>900.57</v>
      </c>
      <c r="L74">
        <v>898.01</v>
      </c>
    </row>
    <row r="75" spans="1:12" ht="14.25" customHeight="1" x14ac:dyDescent="0.2">
      <c r="A75">
        <v>350</v>
      </c>
      <c r="B75">
        <v>925.54</v>
      </c>
      <c r="C75">
        <v>923.38</v>
      </c>
      <c r="D75">
        <v>921.18</v>
      </c>
      <c r="E75">
        <v>918.94</v>
      </c>
      <c r="F75">
        <v>916.66</v>
      </c>
      <c r="G75">
        <v>914.35</v>
      </c>
      <c r="H75">
        <v>911.99</v>
      </c>
      <c r="I75">
        <v>909.59</v>
      </c>
      <c r="J75">
        <v>907.15</v>
      </c>
      <c r="K75">
        <v>904.67</v>
      </c>
      <c r="L75">
        <v>902.16</v>
      </c>
    </row>
    <row r="76" spans="1:12" ht="14.25" customHeight="1" x14ac:dyDescent="0.2">
      <c r="A76">
        <v>355</v>
      </c>
      <c r="B76">
        <v>929.15</v>
      </c>
      <c r="C76">
        <v>927.04</v>
      </c>
      <c r="D76">
        <v>924.88</v>
      </c>
      <c r="E76">
        <v>922.69</v>
      </c>
      <c r="F76">
        <v>920.46</v>
      </c>
      <c r="G76">
        <v>918.18</v>
      </c>
      <c r="H76">
        <v>915.87</v>
      </c>
      <c r="I76">
        <v>913.52</v>
      </c>
      <c r="J76">
        <v>911.13</v>
      </c>
      <c r="K76">
        <v>908.69</v>
      </c>
      <c r="L76">
        <v>906.22</v>
      </c>
    </row>
    <row r="77" spans="1:12" ht="14.25" customHeight="1" x14ac:dyDescent="0.2">
      <c r="A77">
        <v>360</v>
      </c>
      <c r="B77">
        <v>932.68</v>
      </c>
      <c r="C77">
        <v>930.62</v>
      </c>
      <c r="D77">
        <v>928.5</v>
      </c>
      <c r="E77">
        <v>926.36</v>
      </c>
      <c r="F77">
        <v>924.17</v>
      </c>
      <c r="G77">
        <v>921.94</v>
      </c>
      <c r="H77">
        <v>919.68</v>
      </c>
      <c r="I77">
        <v>917.37</v>
      </c>
      <c r="J77">
        <v>915.02</v>
      </c>
      <c r="K77">
        <v>912.64</v>
      </c>
      <c r="L77">
        <v>910.21</v>
      </c>
    </row>
    <row r="78" spans="1:12" ht="14.25" customHeight="1" x14ac:dyDescent="0.2">
      <c r="A78">
        <v>365</v>
      </c>
      <c r="B78">
        <v>936.13</v>
      </c>
      <c r="C78">
        <v>934.11</v>
      </c>
      <c r="D78">
        <v>932.05</v>
      </c>
      <c r="E78">
        <v>929.95</v>
      </c>
      <c r="F78">
        <v>927.81</v>
      </c>
      <c r="G78">
        <v>925.63</v>
      </c>
      <c r="H78">
        <v>923.41</v>
      </c>
      <c r="I78">
        <v>921.15</v>
      </c>
      <c r="J78">
        <v>918.84</v>
      </c>
      <c r="K78">
        <v>916.5</v>
      </c>
      <c r="L78">
        <v>914.12</v>
      </c>
    </row>
    <row r="79" spans="1:12" ht="14.25" customHeight="1" x14ac:dyDescent="0.2">
      <c r="A79">
        <v>370</v>
      </c>
      <c r="B79">
        <v>939.51</v>
      </c>
      <c r="C79">
        <v>937.54</v>
      </c>
      <c r="D79">
        <v>935.52</v>
      </c>
      <c r="E79">
        <v>933.47</v>
      </c>
      <c r="F79">
        <v>931.37</v>
      </c>
      <c r="G79">
        <v>929.23</v>
      </c>
      <c r="H79">
        <v>927.06</v>
      </c>
      <c r="I79">
        <v>924.84</v>
      </c>
      <c r="J79">
        <v>922.59</v>
      </c>
      <c r="K79">
        <v>920.29</v>
      </c>
      <c r="L79">
        <v>917.96</v>
      </c>
    </row>
    <row r="80" spans="1:12" ht="14.25" customHeight="1" x14ac:dyDescent="0.2">
      <c r="A80">
        <v>375</v>
      </c>
      <c r="B80">
        <v>942.81</v>
      </c>
      <c r="C80">
        <v>940.88</v>
      </c>
      <c r="D80">
        <v>938.91</v>
      </c>
      <c r="E80">
        <v>936.9</v>
      </c>
      <c r="F80">
        <v>934.85</v>
      </c>
      <c r="G80">
        <v>932.76</v>
      </c>
      <c r="H80">
        <v>930.63</v>
      </c>
      <c r="I80">
        <v>928.46</v>
      </c>
      <c r="J80">
        <v>926.25</v>
      </c>
      <c r="K80">
        <v>924</v>
      </c>
      <c r="L80">
        <v>921.72</v>
      </c>
    </row>
    <row r="81" spans="1:12" ht="14.25" customHeight="1" x14ac:dyDescent="0.2">
      <c r="A81">
        <v>380</v>
      </c>
      <c r="B81">
        <v>946.03</v>
      </c>
      <c r="C81">
        <v>944.15</v>
      </c>
      <c r="D81">
        <v>942.22</v>
      </c>
      <c r="E81">
        <v>940.26</v>
      </c>
      <c r="F81">
        <v>938.26</v>
      </c>
      <c r="G81">
        <v>936.21</v>
      </c>
      <c r="H81">
        <v>934.13</v>
      </c>
      <c r="I81">
        <v>932.01</v>
      </c>
      <c r="J81">
        <v>929.84</v>
      </c>
      <c r="K81">
        <v>927.64</v>
      </c>
      <c r="L81">
        <v>925.39</v>
      </c>
    </row>
    <row r="82" spans="1:12" ht="14.25" customHeight="1" x14ac:dyDescent="0.2">
      <c r="A82">
        <v>385</v>
      </c>
      <c r="B82">
        <v>949.17</v>
      </c>
      <c r="C82">
        <v>947.34</v>
      </c>
      <c r="D82">
        <v>945.46</v>
      </c>
      <c r="E82">
        <v>943.54</v>
      </c>
      <c r="F82">
        <v>941.58</v>
      </c>
      <c r="G82">
        <v>939.59</v>
      </c>
      <c r="H82">
        <v>937.55</v>
      </c>
      <c r="I82">
        <v>935.47</v>
      </c>
      <c r="J82">
        <v>933.35</v>
      </c>
      <c r="K82">
        <v>931.19</v>
      </c>
      <c r="L82">
        <v>929</v>
      </c>
    </row>
    <row r="83" spans="1:12" ht="14.25" customHeight="1" x14ac:dyDescent="0.2">
      <c r="A83">
        <v>390</v>
      </c>
      <c r="B83">
        <v>952.24</v>
      </c>
      <c r="C83">
        <v>950.45</v>
      </c>
      <c r="D83">
        <v>948.61</v>
      </c>
      <c r="E83">
        <v>946.75</v>
      </c>
      <c r="F83">
        <v>944.83</v>
      </c>
      <c r="G83">
        <v>942.88</v>
      </c>
      <c r="H83">
        <v>940.89</v>
      </c>
      <c r="I83">
        <v>938.86</v>
      </c>
      <c r="J83">
        <v>936.79</v>
      </c>
      <c r="K83">
        <v>934.67</v>
      </c>
      <c r="L83">
        <v>932.52</v>
      </c>
    </row>
    <row r="84" spans="1:12" ht="14.25" customHeight="1" x14ac:dyDescent="0.2">
      <c r="A84">
        <v>395</v>
      </c>
      <c r="B84">
        <v>955.23</v>
      </c>
      <c r="C84">
        <v>953.48</v>
      </c>
      <c r="D84">
        <v>951.69</v>
      </c>
      <c r="E84">
        <v>949.87</v>
      </c>
      <c r="F84">
        <v>948.01</v>
      </c>
      <c r="G84">
        <v>946.1</v>
      </c>
      <c r="H84">
        <v>944.15</v>
      </c>
      <c r="I84">
        <v>942.17</v>
      </c>
      <c r="J84">
        <v>940.14</v>
      </c>
      <c r="K84">
        <v>938.07</v>
      </c>
      <c r="L84">
        <v>935.97</v>
      </c>
    </row>
    <row r="85" spans="1:12" ht="14.25" customHeight="1" x14ac:dyDescent="0.2">
      <c r="A85">
        <v>400</v>
      </c>
      <c r="B85">
        <v>958.14</v>
      </c>
      <c r="C85">
        <v>956.44</v>
      </c>
      <c r="D85">
        <v>954.7</v>
      </c>
      <c r="E85">
        <v>952.92</v>
      </c>
      <c r="F85">
        <v>951.1</v>
      </c>
      <c r="G85">
        <v>949.24</v>
      </c>
      <c r="H85">
        <v>947.34</v>
      </c>
      <c r="I85">
        <v>945.4</v>
      </c>
      <c r="J85">
        <v>943.42</v>
      </c>
      <c r="K85">
        <v>941.4</v>
      </c>
      <c r="L85">
        <v>939.34</v>
      </c>
    </row>
    <row r="86" spans="1:12" ht="14.25" customHeight="1" x14ac:dyDescent="0.2">
      <c r="A86">
        <v>405</v>
      </c>
      <c r="B86">
        <v>960.97</v>
      </c>
      <c r="C86">
        <v>959.31</v>
      </c>
      <c r="D86">
        <v>957.62</v>
      </c>
      <c r="E86">
        <v>955.89</v>
      </c>
      <c r="F86">
        <v>954.12</v>
      </c>
      <c r="G86">
        <v>952.3</v>
      </c>
      <c r="H86">
        <v>950.45</v>
      </c>
      <c r="I86">
        <v>948.55</v>
      </c>
      <c r="J86">
        <v>946.62</v>
      </c>
      <c r="K86">
        <v>944.64</v>
      </c>
      <c r="L86">
        <v>942.63</v>
      </c>
    </row>
    <row r="87" spans="1:12" ht="14.25" customHeight="1" x14ac:dyDescent="0.2">
      <c r="A87">
        <v>410</v>
      </c>
      <c r="B87">
        <v>963.72</v>
      </c>
      <c r="C87">
        <v>962.11</v>
      </c>
      <c r="D87">
        <v>960.47</v>
      </c>
      <c r="E87">
        <v>958.78</v>
      </c>
      <c r="F87">
        <v>957.05</v>
      </c>
      <c r="G87">
        <v>955.29</v>
      </c>
      <c r="H87">
        <v>953.48</v>
      </c>
      <c r="I87">
        <v>951.63</v>
      </c>
      <c r="J87">
        <v>949.74</v>
      </c>
      <c r="K87">
        <v>947.81</v>
      </c>
      <c r="L87">
        <v>945.84</v>
      </c>
    </row>
    <row r="88" spans="1:12" ht="14.25" customHeight="1" x14ac:dyDescent="0.2">
      <c r="A88">
        <v>415</v>
      </c>
      <c r="B88">
        <v>966.4</v>
      </c>
      <c r="C88">
        <v>964.84</v>
      </c>
      <c r="D88">
        <v>963.23</v>
      </c>
      <c r="E88">
        <v>961.6</v>
      </c>
      <c r="F88">
        <v>959.91</v>
      </c>
      <c r="G88">
        <v>958.19</v>
      </c>
      <c r="H88">
        <v>956.43</v>
      </c>
      <c r="I88">
        <v>954.63</v>
      </c>
      <c r="J88">
        <v>952.79</v>
      </c>
      <c r="K88">
        <v>950.9</v>
      </c>
      <c r="L88">
        <v>948.98</v>
      </c>
    </row>
    <row r="89" spans="1:12" ht="14.25" customHeight="1" x14ac:dyDescent="0.2">
      <c r="A89">
        <v>420</v>
      </c>
      <c r="B89">
        <v>969</v>
      </c>
      <c r="C89">
        <v>967.48</v>
      </c>
      <c r="D89">
        <v>965.93</v>
      </c>
      <c r="E89">
        <v>964.33</v>
      </c>
      <c r="F89">
        <v>962.7</v>
      </c>
      <c r="G89">
        <v>961.02</v>
      </c>
      <c r="H89">
        <v>959.31</v>
      </c>
      <c r="I89">
        <v>957.55</v>
      </c>
      <c r="J89">
        <v>955.75</v>
      </c>
      <c r="K89">
        <v>953.92</v>
      </c>
      <c r="L89">
        <v>952.04</v>
      </c>
    </row>
    <row r="90" spans="1:12" ht="14.25" customHeight="1" x14ac:dyDescent="0.2">
      <c r="A90">
        <v>425</v>
      </c>
      <c r="B90">
        <v>971.52</v>
      </c>
      <c r="C90">
        <v>970.05</v>
      </c>
      <c r="D90">
        <v>968.54</v>
      </c>
      <c r="E90">
        <v>966.99</v>
      </c>
      <c r="F90">
        <v>965.4</v>
      </c>
      <c r="G90">
        <v>963.77</v>
      </c>
      <c r="H90">
        <v>962.1</v>
      </c>
      <c r="I90">
        <v>960.39</v>
      </c>
      <c r="J90">
        <v>958.64</v>
      </c>
      <c r="K90">
        <v>956.85</v>
      </c>
      <c r="L90">
        <v>955.02</v>
      </c>
    </row>
    <row r="91" spans="1:12" ht="14.25" customHeight="1" x14ac:dyDescent="0.2">
      <c r="A91">
        <v>430</v>
      </c>
      <c r="B91">
        <v>973.96</v>
      </c>
      <c r="C91">
        <v>972.54</v>
      </c>
      <c r="D91">
        <v>971.07</v>
      </c>
      <c r="E91">
        <v>969.57</v>
      </c>
      <c r="F91">
        <v>968.03</v>
      </c>
      <c r="G91">
        <v>966.45</v>
      </c>
      <c r="H91">
        <v>964.82</v>
      </c>
      <c r="I91">
        <v>963.16</v>
      </c>
      <c r="J91">
        <v>961.45</v>
      </c>
      <c r="K91">
        <v>959.71</v>
      </c>
      <c r="L91">
        <v>957.93</v>
      </c>
    </row>
    <row r="92" spans="1:12" ht="14.25" customHeight="1" x14ac:dyDescent="0.2">
      <c r="A92">
        <v>435</v>
      </c>
      <c r="B92">
        <v>976.32</v>
      </c>
      <c r="C92">
        <v>974.95</v>
      </c>
      <c r="D92">
        <v>973.53</v>
      </c>
      <c r="E92">
        <v>972.08</v>
      </c>
      <c r="F92">
        <v>970.58</v>
      </c>
      <c r="G92">
        <v>969.04</v>
      </c>
      <c r="H92">
        <v>967.46</v>
      </c>
      <c r="I92">
        <v>965.85</v>
      </c>
      <c r="J92">
        <v>964.19</v>
      </c>
      <c r="K92">
        <v>962.49</v>
      </c>
      <c r="L92">
        <v>960.75</v>
      </c>
    </row>
    <row r="93" spans="1:12" ht="14.25" customHeight="1" x14ac:dyDescent="0.2">
      <c r="A93">
        <v>440</v>
      </c>
      <c r="B93">
        <v>978.61</v>
      </c>
      <c r="C93">
        <v>977.28</v>
      </c>
      <c r="D93">
        <v>975.91</v>
      </c>
      <c r="E93">
        <v>974.5</v>
      </c>
      <c r="F93">
        <v>973.05</v>
      </c>
      <c r="G93">
        <v>971.56</v>
      </c>
      <c r="H93">
        <v>970.03</v>
      </c>
      <c r="I93">
        <v>968.46</v>
      </c>
      <c r="J93">
        <v>966.84</v>
      </c>
      <c r="K93">
        <v>965.19</v>
      </c>
      <c r="L93">
        <v>963.5</v>
      </c>
    </row>
    <row r="94" spans="1:12" ht="14.25" customHeight="1" x14ac:dyDescent="0.2">
      <c r="A94">
        <v>445</v>
      </c>
      <c r="B94">
        <v>980.82</v>
      </c>
      <c r="C94">
        <v>979.54</v>
      </c>
      <c r="D94">
        <v>978.21</v>
      </c>
      <c r="E94">
        <v>976.85</v>
      </c>
      <c r="F94">
        <v>975.44</v>
      </c>
      <c r="G94">
        <v>974</v>
      </c>
      <c r="H94">
        <v>972.51</v>
      </c>
      <c r="I94">
        <v>970.99</v>
      </c>
      <c r="J94">
        <v>969.42</v>
      </c>
      <c r="K94">
        <v>967.82</v>
      </c>
      <c r="L94">
        <v>966.17</v>
      </c>
    </row>
    <row r="95" spans="1:12" ht="14.25" customHeight="1" x14ac:dyDescent="0.2">
      <c r="A95">
        <v>450</v>
      </c>
      <c r="B95">
        <v>982.95</v>
      </c>
      <c r="C95">
        <v>981.71</v>
      </c>
      <c r="D95">
        <v>980.43</v>
      </c>
      <c r="E95">
        <v>979.12</v>
      </c>
      <c r="F95">
        <v>977.76</v>
      </c>
      <c r="G95">
        <v>976.36</v>
      </c>
      <c r="H95">
        <v>974.92</v>
      </c>
      <c r="I95">
        <v>973.44</v>
      </c>
      <c r="J95">
        <v>971.92</v>
      </c>
      <c r="K95">
        <v>970.36</v>
      </c>
      <c r="L95">
        <v>968.76</v>
      </c>
    </row>
    <row r="96" spans="1:12" ht="14.25" customHeight="1" x14ac:dyDescent="0.2">
      <c r="A96">
        <v>455</v>
      </c>
      <c r="B96">
        <v>985</v>
      </c>
      <c r="C96">
        <v>983.81</v>
      </c>
      <c r="D96">
        <v>982.58</v>
      </c>
      <c r="E96">
        <v>981.31</v>
      </c>
      <c r="F96">
        <v>980</v>
      </c>
      <c r="G96">
        <v>978.65</v>
      </c>
      <c r="H96">
        <v>977.25</v>
      </c>
      <c r="I96">
        <v>975.82</v>
      </c>
      <c r="J96">
        <v>974.35</v>
      </c>
      <c r="K96">
        <v>972.83</v>
      </c>
      <c r="L96">
        <v>971.28</v>
      </c>
    </row>
    <row r="97" spans="1:12" ht="14.25" customHeight="1" x14ac:dyDescent="0.2">
      <c r="A97">
        <v>460</v>
      </c>
      <c r="B97">
        <v>986.98</v>
      </c>
      <c r="C97">
        <v>985.83</v>
      </c>
      <c r="D97">
        <v>984.65</v>
      </c>
      <c r="E97">
        <v>983.42</v>
      </c>
      <c r="F97">
        <v>982.16</v>
      </c>
      <c r="G97">
        <v>980.85</v>
      </c>
      <c r="H97">
        <v>979.51</v>
      </c>
      <c r="I97">
        <v>978.12</v>
      </c>
      <c r="J97">
        <v>976.69</v>
      </c>
      <c r="K97">
        <v>975.22</v>
      </c>
      <c r="L97">
        <v>973.72</v>
      </c>
    </row>
    <row r="98" spans="1:12" ht="14.25" customHeight="1" x14ac:dyDescent="0.2">
      <c r="A98">
        <v>465</v>
      </c>
      <c r="B98">
        <v>988.87</v>
      </c>
      <c r="C98">
        <v>987.77</v>
      </c>
      <c r="D98">
        <v>986.63</v>
      </c>
      <c r="E98">
        <v>985.46</v>
      </c>
      <c r="F98">
        <v>984.24</v>
      </c>
      <c r="G98">
        <v>982.98</v>
      </c>
      <c r="H98">
        <v>981.68</v>
      </c>
      <c r="I98">
        <v>980.34</v>
      </c>
      <c r="J98">
        <v>978.96</v>
      </c>
      <c r="K98">
        <v>977.54</v>
      </c>
      <c r="L98">
        <v>976.08</v>
      </c>
    </row>
    <row r="99" spans="1:12" ht="14.25" customHeight="1" x14ac:dyDescent="0.2">
      <c r="A99">
        <v>470</v>
      </c>
      <c r="B99">
        <v>990.69</v>
      </c>
      <c r="C99">
        <v>989.64</v>
      </c>
      <c r="D99">
        <v>988.55</v>
      </c>
      <c r="E99">
        <v>987.42</v>
      </c>
      <c r="F99">
        <v>986.24</v>
      </c>
      <c r="G99">
        <v>985.03</v>
      </c>
      <c r="H99">
        <v>983.78</v>
      </c>
      <c r="I99">
        <v>982.48</v>
      </c>
      <c r="J99">
        <v>981.15</v>
      </c>
      <c r="K99">
        <v>979.77</v>
      </c>
      <c r="L99">
        <v>978.36</v>
      </c>
    </row>
    <row r="100" spans="1:12" ht="14.25" customHeight="1" x14ac:dyDescent="0.2">
      <c r="A100">
        <v>475</v>
      </c>
      <c r="B100">
        <v>992.43</v>
      </c>
      <c r="C100">
        <v>991.43</v>
      </c>
      <c r="D100">
        <v>990.38</v>
      </c>
      <c r="E100">
        <v>989.3</v>
      </c>
      <c r="F100">
        <v>988.17</v>
      </c>
      <c r="G100">
        <v>987</v>
      </c>
      <c r="H100">
        <v>985.79</v>
      </c>
      <c r="I100">
        <v>984.55</v>
      </c>
      <c r="J100">
        <v>983.26</v>
      </c>
      <c r="K100">
        <v>981.93</v>
      </c>
      <c r="L100">
        <v>980.56</v>
      </c>
    </row>
    <row r="101" spans="1:12" ht="14.25" customHeight="1" x14ac:dyDescent="0.2">
      <c r="A101">
        <v>480</v>
      </c>
      <c r="B101">
        <v>994.09</v>
      </c>
      <c r="C101">
        <v>993.13</v>
      </c>
      <c r="D101">
        <v>992.13</v>
      </c>
      <c r="E101">
        <v>991.1</v>
      </c>
      <c r="F101">
        <v>990.02</v>
      </c>
      <c r="G101">
        <v>988.9</v>
      </c>
      <c r="H101">
        <v>987.74</v>
      </c>
      <c r="I101">
        <v>986.53</v>
      </c>
      <c r="J101">
        <v>985.29</v>
      </c>
      <c r="K101">
        <v>984.01</v>
      </c>
      <c r="L101">
        <v>982.69</v>
      </c>
    </row>
    <row r="102" spans="1:12" ht="14.25" customHeight="1" x14ac:dyDescent="0.2">
      <c r="A102">
        <v>485</v>
      </c>
      <c r="B102">
        <v>995.67</v>
      </c>
      <c r="C102">
        <v>994.76</v>
      </c>
      <c r="D102">
        <v>993.81</v>
      </c>
      <c r="E102">
        <v>992.82</v>
      </c>
      <c r="F102">
        <v>991.79</v>
      </c>
      <c r="G102">
        <v>990.71</v>
      </c>
      <c r="H102">
        <v>989.6</v>
      </c>
      <c r="I102">
        <v>988.44</v>
      </c>
      <c r="J102">
        <v>987.25</v>
      </c>
      <c r="K102">
        <v>986.01</v>
      </c>
      <c r="L102">
        <v>984.73</v>
      </c>
    </row>
    <row r="103" spans="1:12" ht="14.25" customHeight="1" x14ac:dyDescent="0.2">
      <c r="A103">
        <v>490</v>
      </c>
      <c r="B103">
        <v>997.18</v>
      </c>
      <c r="C103">
        <v>996.32</v>
      </c>
      <c r="D103">
        <v>995.41</v>
      </c>
      <c r="E103">
        <v>994.47</v>
      </c>
      <c r="F103">
        <v>993.48</v>
      </c>
      <c r="G103">
        <v>992.45</v>
      </c>
      <c r="H103">
        <v>991.38</v>
      </c>
      <c r="I103">
        <v>990.27</v>
      </c>
      <c r="J103">
        <v>989.12</v>
      </c>
      <c r="K103">
        <v>987.93</v>
      </c>
      <c r="L103">
        <v>986.7</v>
      </c>
    </row>
    <row r="104" spans="1:12" ht="14.25" customHeight="1" x14ac:dyDescent="0.2">
      <c r="A104">
        <v>495</v>
      </c>
      <c r="B104">
        <v>998.61</v>
      </c>
      <c r="C104">
        <v>997.79</v>
      </c>
      <c r="D104">
        <v>996.93</v>
      </c>
      <c r="E104">
        <v>996.03</v>
      </c>
      <c r="F104">
        <v>995.09</v>
      </c>
      <c r="G104">
        <v>994.11</v>
      </c>
      <c r="H104">
        <v>993.09</v>
      </c>
      <c r="I104">
        <v>992.03</v>
      </c>
      <c r="J104">
        <v>990.92</v>
      </c>
      <c r="K104">
        <v>989.78</v>
      </c>
      <c r="L104">
        <v>988.6</v>
      </c>
    </row>
    <row r="105" spans="1:12" ht="14.25" customHeight="1" x14ac:dyDescent="0.2">
      <c r="A105">
        <v>500</v>
      </c>
      <c r="B105">
        <v>999.96</v>
      </c>
      <c r="C105">
        <v>999.19</v>
      </c>
      <c r="D105">
        <v>998.37</v>
      </c>
      <c r="E105">
        <v>997.52</v>
      </c>
      <c r="F105">
        <v>996.63</v>
      </c>
      <c r="G105">
        <v>995.69</v>
      </c>
      <c r="H105">
        <v>994.72</v>
      </c>
      <c r="I105">
        <v>993.7</v>
      </c>
      <c r="J105">
        <v>992.64</v>
      </c>
      <c r="K105">
        <v>991.55</v>
      </c>
      <c r="L105">
        <v>990.41</v>
      </c>
    </row>
    <row r="106" spans="1:12" ht="14.25" customHeight="1" x14ac:dyDescent="0.2">
      <c r="A106">
        <v>505</v>
      </c>
      <c r="B106">
        <v>1001.24</v>
      </c>
      <c r="C106">
        <v>1000.51</v>
      </c>
      <c r="D106">
        <v>999.74</v>
      </c>
      <c r="E106">
        <v>998.93</v>
      </c>
      <c r="F106">
        <v>998.09</v>
      </c>
      <c r="G106">
        <v>997.2</v>
      </c>
      <c r="H106">
        <v>996.27</v>
      </c>
      <c r="I106">
        <v>995.3</v>
      </c>
      <c r="J106">
        <v>994.29</v>
      </c>
      <c r="K106">
        <v>993.24</v>
      </c>
      <c r="L106">
        <v>992.15</v>
      </c>
    </row>
    <row r="107" spans="1:12" ht="14.25" customHeight="1" x14ac:dyDescent="0.2">
      <c r="A107">
        <v>510</v>
      </c>
      <c r="B107">
        <v>1002.44</v>
      </c>
      <c r="C107">
        <v>1001.76</v>
      </c>
      <c r="D107">
        <v>1001.03</v>
      </c>
      <c r="E107">
        <v>1000.27</v>
      </c>
      <c r="F107">
        <v>999.47</v>
      </c>
      <c r="G107">
        <v>998.62</v>
      </c>
      <c r="H107">
        <v>997.74</v>
      </c>
      <c r="I107">
        <v>996.82</v>
      </c>
      <c r="J107">
        <v>995.85</v>
      </c>
      <c r="K107">
        <v>994.85</v>
      </c>
      <c r="L107">
        <v>993.8</v>
      </c>
    </row>
    <row r="108" spans="1:12" ht="14.25" customHeight="1" x14ac:dyDescent="0.2">
      <c r="A108">
        <v>515</v>
      </c>
      <c r="B108">
        <v>1003.57</v>
      </c>
      <c r="C108">
        <v>1002.93</v>
      </c>
      <c r="D108">
        <v>1002.25</v>
      </c>
      <c r="E108">
        <v>1001.53</v>
      </c>
      <c r="F108">
        <v>1000.77</v>
      </c>
      <c r="G108">
        <v>999.98</v>
      </c>
      <c r="H108">
        <v>999.14</v>
      </c>
      <c r="I108">
        <v>998.26</v>
      </c>
      <c r="J108">
        <v>997.35</v>
      </c>
      <c r="K108">
        <v>996.39</v>
      </c>
      <c r="L108">
        <v>995.39</v>
      </c>
    </row>
    <row r="109" spans="1:12" ht="14.25" customHeight="1" x14ac:dyDescent="0.2">
      <c r="A109">
        <v>520</v>
      </c>
      <c r="B109">
        <v>1004.63</v>
      </c>
      <c r="C109">
        <v>1004.03</v>
      </c>
      <c r="D109">
        <v>1003.39</v>
      </c>
      <c r="E109">
        <v>1002.72</v>
      </c>
      <c r="F109">
        <v>1002.01</v>
      </c>
      <c r="G109">
        <v>1001.25</v>
      </c>
      <c r="H109">
        <v>1000.46</v>
      </c>
      <c r="I109">
        <v>999.63</v>
      </c>
      <c r="J109">
        <v>998.76</v>
      </c>
      <c r="K109">
        <v>997.85</v>
      </c>
      <c r="L109">
        <v>996.9</v>
      </c>
    </row>
    <row r="110" spans="1:12" ht="14.25" customHeight="1" x14ac:dyDescent="0.2">
      <c r="A110">
        <v>525</v>
      </c>
      <c r="B110">
        <v>1005.61</v>
      </c>
      <c r="C110">
        <v>1005.06</v>
      </c>
      <c r="D110">
        <v>1004.46</v>
      </c>
      <c r="E110">
        <v>1003.83</v>
      </c>
      <c r="F110">
        <v>1003.16</v>
      </c>
      <c r="G110">
        <v>1002.46</v>
      </c>
      <c r="H110">
        <v>1001.71</v>
      </c>
      <c r="I110">
        <v>1000.93</v>
      </c>
      <c r="J110">
        <v>1000.1</v>
      </c>
      <c r="K110">
        <v>999.24</v>
      </c>
      <c r="L110">
        <v>998.33</v>
      </c>
    </row>
    <row r="111" spans="1:12" ht="14.25" customHeight="1" x14ac:dyDescent="0.2">
      <c r="A111">
        <v>530</v>
      </c>
      <c r="B111">
        <v>1006.52</v>
      </c>
      <c r="C111">
        <v>1006.01</v>
      </c>
      <c r="D111">
        <v>1005.46</v>
      </c>
      <c r="E111">
        <v>1004.87</v>
      </c>
      <c r="F111">
        <v>1004.25</v>
      </c>
      <c r="G111">
        <v>1003.59</v>
      </c>
      <c r="H111">
        <v>1002.88</v>
      </c>
      <c r="I111">
        <v>1002.14</v>
      </c>
      <c r="J111">
        <v>1001.36</v>
      </c>
      <c r="K111">
        <v>1000.54</v>
      </c>
      <c r="L111">
        <v>999.68</v>
      </c>
    </row>
    <row r="112" spans="1:12" ht="14.25" customHeight="1" x14ac:dyDescent="0.2">
      <c r="A112">
        <v>535</v>
      </c>
      <c r="B112">
        <v>1007.35</v>
      </c>
      <c r="C112">
        <v>1006.89</v>
      </c>
      <c r="D112">
        <v>1006.38</v>
      </c>
      <c r="E112">
        <v>1005.84</v>
      </c>
      <c r="F112">
        <v>1005.26</v>
      </c>
      <c r="G112">
        <v>1004.64</v>
      </c>
      <c r="H112">
        <v>1003.98</v>
      </c>
      <c r="I112">
        <v>1003.28</v>
      </c>
      <c r="J112">
        <v>1002.55</v>
      </c>
      <c r="K112">
        <v>1001.78</v>
      </c>
      <c r="L112">
        <v>1000.96</v>
      </c>
    </row>
    <row r="113" spans="1:12" ht="14.25" customHeight="1" x14ac:dyDescent="0.2">
      <c r="A113">
        <v>540</v>
      </c>
      <c r="B113">
        <v>1008.11</v>
      </c>
      <c r="C113">
        <v>1007.69</v>
      </c>
      <c r="D113">
        <v>1007.23</v>
      </c>
      <c r="E113">
        <v>1006.73</v>
      </c>
      <c r="F113">
        <v>1006.19</v>
      </c>
      <c r="G113">
        <v>1005.62</v>
      </c>
      <c r="H113">
        <v>1005.01</v>
      </c>
      <c r="I113">
        <v>1004.35</v>
      </c>
      <c r="J113">
        <v>1003.66</v>
      </c>
      <c r="K113">
        <v>1002.94</v>
      </c>
      <c r="L113">
        <v>1002.17</v>
      </c>
    </row>
    <row r="114" spans="1:12" ht="14.25" customHeight="1" x14ac:dyDescent="0.2">
      <c r="A114">
        <v>545</v>
      </c>
      <c r="B114">
        <v>1008.8</v>
      </c>
      <c r="C114">
        <v>1008.42</v>
      </c>
      <c r="D114">
        <v>1008</v>
      </c>
      <c r="E114">
        <v>1007.55</v>
      </c>
      <c r="F114">
        <v>1007.06</v>
      </c>
      <c r="G114">
        <v>1006.53</v>
      </c>
      <c r="H114">
        <v>1005.96</v>
      </c>
      <c r="I114">
        <v>1005.35</v>
      </c>
      <c r="J114">
        <v>1004.7</v>
      </c>
      <c r="K114">
        <v>1004.02</v>
      </c>
      <c r="L114">
        <v>1003.3</v>
      </c>
    </row>
    <row r="115" spans="1:12" ht="14.25" customHeight="1" x14ac:dyDescent="0.2">
      <c r="A115">
        <v>550</v>
      </c>
      <c r="B115">
        <v>1009.41</v>
      </c>
      <c r="C115">
        <v>1009.08</v>
      </c>
      <c r="D115">
        <v>1008.7</v>
      </c>
      <c r="E115">
        <v>1008.3</v>
      </c>
      <c r="F115">
        <v>1007.85</v>
      </c>
      <c r="G115">
        <v>1007.36</v>
      </c>
      <c r="H115">
        <v>1006.83</v>
      </c>
      <c r="I115">
        <v>1006.27</v>
      </c>
      <c r="J115">
        <v>1005.67</v>
      </c>
      <c r="K115">
        <v>1005.03</v>
      </c>
      <c r="L115">
        <v>1004.35</v>
      </c>
    </row>
    <row r="116" spans="1:12" ht="14.25" customHeight="1" x14ac:dyDescent="0.2">
      <c r="A116">
        <v>555</v>
      </c>
      <c r="B116">
        <v>1009.95</v>
      </c>
      <c r="C116">
        <v>1009.66</v>
      </c>
      <c r="D116">
        <v>1009.33</v>
      </c>
      <c r="E116">
        <v>1008.97</v>
      </c>
      <c r="F116">
        <v>1008.56</v>
      </c>
      <c r="G116">
        <v>1008.12</v>
      </c>
      <c r="H116">
        <v>1007.64</v>
      </c>
      <c r="I116">
        <v>1007.12</v>
      </c>
      <c r="J116">
        <v>1006.56</v>
      </c>
      <c r="K116">
        <v>1005.96</v>
      </c>
      <c r="L116">
        <v>1005.33</v>
      </c>
    </row>
    <row r="117" spans="1:12" ht="14.25" customHeight="1" x14ac:dyDescent="0.2">
      <c r="A117">
        <v>560</v>
      </c>
      <c r="B117">
        <v>1010.41</v>
      </c>
      <c r="C117">
        <v>1010.17</v>
      </c>
      <c r="D117">
        <v>1009.88</v>
      </c>
      <c r="E117">
        <v>1009.56</v>
      </c>
      <c r="F117">
        <v>1009.2</v>
      </c>
      <c r="G117">
        <v>1008.8</v>
      </c>
      <c r="H117">
        <v>1008.36</v>
      </c>
      <c r="I117">
        <v>1007.89</v>
      </c>
      <c r="J117">
        <v>1007.38</v>
      </c>
      <c r="K117">
        <v>1006.82</v>
      </c>
      <c r="L117">
        <v>1006.23</v>
      </c>
    </row>
    <row r="118" spans="1:12" ht="14.25" customHeight="1" x14ac:dyDescent="0.2">
      <c r="A118">
        <v>565</v>
      </c>
      <c r="B118">
        <v>1010.8</v>
      </c>
      <c r="C118">
        <v>1010.6</v>
      </c>
      <c r="D118">
        <v>1010.36</v>
      </c>
      <c r="E118">
        <v>1010.08</v>
      </c>
      <c r="F118">
        <v>1009.77</v>
      </c>
      <c r="G118">
        <v>1009.41</v>
      </c>
      <c r="H118">
        <v>1009.02</v>
      </c>
      <c r="I118">
        <v>1008.59</v>
      </c>
      <c r="J118">
        <v>1008.12</v>
      </c>
      <c r="K118">
        <v>1007.61</v>
      </c>
      <c r="L118">
        <v>1007.07</v>
      </c>
    </row>
    <row r="119" spans="1:12" ht="14.25" customHeight="1" x14ac:dyDescent="0.2">
      <c r="A119">
        <v>570</v>
      </c>
      <c r="B119">
        <v>1011.12</v>
      </c>
      <c r="C119">
        <v>1010.96</v>
      </c>
      <c r="D119">
        <v>1010.76</v>
      </c>
      <c r="E119">
        <v>1010.53</v>
      </c>
      <c r="F119">
        <v>1010.26</v>
      </c>
      <c r="G119">
        <v>1009.95</v>
      </c>
      <c r="H119">
        <v>1009.6</v>
      </c>
      <c r="I119">
        <v>1009.21</v>
      </c>
      <c r="J119">
        <v>1008.79</v>
      </c>
      <c r="K119">
        <v>1008.32</v>
      </c>
      <c r="L119">
        <v>1007.82</v>
      </c>
    </row>
    <row r="120" spans="1:12" ht="14.25" customHeight="1" x14ac:dyDescent="0.2">
      <c r="A120">
        <v>575</v>
      </c>
      <c r="B120">
        <v>1011.36</v>
      </c>
      <c r="C120">
        <v>1011.24</v>
      </c>
      <c r="D120">
        <v>1011.09</v>
      </c>
      <c r="E120">
        <v>1010.9</v>
      </c>
      <c r="F120">
        <v>1010.68</v>
      </c>
      <c r="G120">
        <v>1010.41</v>
      </c>
      <c r="H120">
        <v>1010.11</v>
      </c>
      <c r="I120">
        <v>1009.76</v>
      </c>
      <c r="J120">
        <v>1009.38</v>
      </c>
      <c r="K120">
        <v>1008.96</v>
      </c>
      <c r="L120">
        <v>1008.5</v>
      </c>
    </row>
    <row r="121" spans="1:12" ht="14.25" customHeight="1" x14ac:dyDescent="0.2">
      <c r="A121">
        <v>580</v>
      </c>
      <c r="B121">
        <v>1011.45</v>
      </c>
      <c r="C121">
        <v>1011.46</v>
      </c>
      <c r="D121">
        <v>1011.35</v>
      </c>
      <c r="E121">
        <v>1011.2</v>
      </c>
      <c r="F121">
        <v>1011.02</v>
      </c>
      <c r="G121">
        <v>1010.8</v>
      </c>
      <c r="H121">
        <v>1010.54</v>
      </c>
      <c r="I121">
        <v>1010.24</v>
      </c>
      <c r="J121">
        <v>1009.9</v>
      </c>
      <c r="K121">
        <v>1009.53</v>
      </c>
      <c r="L121">
        <v>1009.11</v>
      </c>
    </row>
    <row r="122" spans="1:12" ht="14.25" customHeight="1" x14ac:dyDescent="0.2">
      <c r="A122">
        <v>585</v>
      </c>
      <c r="B122">
        <v>1011.65</v>
      </c>
      <c r="C122">
        <v>1011.51</v>
      </c>
      <c r="D122">
        <v>1011.53</v>
      </c>
      <c r="E122">
        <v>1011.43</v>
      </c>
      <c r="F122">
        <v>1011.29</v>
      </c>
      <c r="G122">
        <v>1011.11</v>
      </c>
      <c r="H122">
        <v>1010.9</v>
      </c>
      <c r="I122">
        <v>1010.64</v>
      </c>
      <c r="J122">
        <v>1010.35</v>
      </c>
      <c r="K122">
        <v>1010.02</v>
      </c>
      <c r="L122">
        <v>1009.65</v>
      </c>
    </row>
    <row r="123" spans="1:12" ht="14.25" customHeight="1" x14ac:dyDescent="0.2">
      <c r="A123">
        <v>590</v>
      </c>
      <c r="B123">
        <v>1011.73</v>
      </c>
      <c r="C123">
        <v>1011.68</v>
      </c>
      <c r="D123">
        <v>1011.64</v>
      </c>
      <c r="E123">
        <v>1011.58</v>
      </c>
      <c r="F123">
        <v>1011.48</v>
      </c>
      <c r="G123">
        <v>1011.35</v>
      </c>
      <c r="H123">
        <v>1011.18</v>
      </c>
      <c r="I123">
        <v>1010.97</v>
      </c>
      <c r="J123">
        <v>1010.72</v>
      </c>
      <c r="K123">
        <v>1010.44</v>
      </c>
      <c r="L123">
        <v>1010.11</v>
      </c>
    </row>
    <row r="124" spans="1:12" ht="14.25" customHeight="1" x14ac:dyDescent="0.2">
      <c r="A124">
        <v>595</v>
      </c>
      <c r="B124">
        <v>1011.81</v>
      </c>
      <c r="C124">
        <v>1011.76</v>
      </c>
      <c r="D124">
        <v>1011.71</v>
      </c>
      <c r="E124">
        <v>1011.54</v>
      </c>
      <c r="F124">
        <v>1011.62</v>
      </c>
      <c r="G124">
        <v>1011.52</v>
      </c>
      <c r="H124">
        <v>1011.39</v>
      </c>
      <c r="I124">
        <v>1011.23</v>
      </c>
      <c r="J124">
        <v>1011.02</v>
      </c>
      <c r="K124">
        <v>1010.78</v>
      </c>
      <c r="L124">
        <v>1010.5</v>
      </c>
    </row>
    <row r="125" spans="1:12" ht="14.25" customHeight="1" x14ac:dyDescent="0.2">
      <c r="A125">
        <v>600</v>
      </c>
      <c r="B125">
        <v>1011.88</v>
      </c>
      <c r="C125">
        <v>1011.84</v>
      </c>
      <c r="D125">
        <v>1011.79</v>
      </c>
      <c r="E125">
        <v>1011.75</v>
      </c>
      <c r="F125">
        <v>1011.62</v>
      </c>
      <c r="G125">
        <v>1011.64</v>
      </c>
      <c r="H125">
        <v>1011.56</v>
      </c>
      <c r="I125">
        <v>1011.43</v>
      </c>
      <c r="J125">
        <v>1011.27</v>
      </c>
      <c r="K125">
        <v>1011.07</v>
      </c>
      <c r="L125">
        <v>1010.83</v>
      </c>
    </row>
    <row r="126" spans="1:12" ht="14.25" customHeight="1" x14ac:dyDescent="0.2">
      <c r="A126">
        <v>605</v>
      </c>
      <c r="B126">
        <v>1011.96</v>
      </c>
      <c r="C126">
        <v>1011.91</v>
      </c>
      <c r="D126">
        <v>1011.87</v>
      </c>
      <c r="E126">
        <v>1011.82</v>
      </c>
      <c r="F126">
        <v>1011.78</v>
      </c>
      <c r="G126">
        <v>1011.65</v>
      </c>
      <c r="H126">
        <v>1011.67</v>
      </c>
      <c r="I126">
        <v>1011.57</v>
      </c>
      <c r="J126">
        <v>1011.46</v>
      </c>
      <c r="K126">
        <v>1011.3</v>
      </c>
      <c r="L126">
        <v>1011.11</v>
      </c>
    </row>
    <row r="127" spans="1:12" ht="14.25" customHeight="1" x14ac:dyDescent="0.2">
      <c r="A127">
        <v>610</v>
      </c>
      <c r="B127">
        <v>1012.03</v>
      </c>
      <c r="C127">
        <v>1011.99</v>
      </c>
      <c r="D127">
        <v>1011.94</v>
      </c>
      <c r="E127">
        <v>1011.9</v>
      </c>
      <c r="F127">
        <v>1011.85</v>
      </c>
      <c r="G127">
        <v>1011.81</v>
      </c>
      <c r="H127">
        <v>1011.68</v>
      </c>
      <c r="I127">
        <v>1011.7</v>
      </c>
      <c r="J127">
        <v>1011.6</v>
      </c>
      <c r="K127">
        <v>1011.48</v>
      </c>
      <c r="L127">
        <v>1011.33</v>
      </c>
    </row>
    <row r="128" spans="1:12" ht="14.25" customHeight="1" x14ac:dyDescent="0.2">
      <c r="A128">
        <v>615</v>
      </c>
      <c r="B128">
        <v>1012.11</v>
      </c>
      <c r="C128">
        <v>1012.07</v>
      </c>
      <c r="D128">
        <v>1012.02</v>
      </c>
      <c r="E128">
        <v>1011.97</v>
      </c>
      <c r="F128">
        <v>1011.93</v>
      </c>
      <c r="G128">
        <v>1011.88</v>
      </c>
      <c r="H128">
        <v>1011.84</v>
      </c>
      <c r="I128">
        <v>1011.71</v>
      </c>
      <c r="J128">
        <v>1011.72</v>
      </c>
      <c r="K128">
        <v>1011.63</v>
      </c>
      <c r="L128">
        <v>1011.5</v>
      </c>
    </row>
    <row r="129" spans="1:12" ht="14.25" customHeight="1" x14ac:dyDescent="0.2">
      <c r="A129">
        <v>620</v>
      </c>
      <c r="B129">
        <v>1012.19</v>
      </c>
      <c r="C129">
        <v>1012.14</v>
      </c>
      <c r="D129">
        <v>1012.1</v>
      </c>
      <c r="E129">
        <v>1012.05</v>
      </c>
      <c r="F129">
        <v>1012</v>
      </c>
      <c r="G129">
        <v>1011.96</v>
      </c>
      <c r="H129">
        <v>1011.91</v>
      </c>
      <c r="I129">
        <v>1011.87</v>
      </c>
      <c r="J129">
        <v>1011.69</v>
      </c>
      <c r="K129">
        <v>1011.74</v>
      </c>
      <c r="L129">
        <v>1011.66</v>
      </c>
    </row>
    <row r="130" spans="1:12" ht="14.25" customHeight="1" x14ac:dyDescent="0.2">
      <c r="A130">
        <v>625</v>
      </c>
      <c r="B130">
        <v>1012.26</v>
      </c>
      <c r="C130">
        <v>1012.22</v>
      </c>
      <c r="D130">
        <v>1012.17</v>
      </c>
      <c r="E130">
        <v>1012.13</v>
      </c>
      <c r="F130">
        <v>1012.08</v>
      </c>
      <c r="G130">
        <v>1012.04</v>
      </c>
      <c r="H130">
        <v>1011.99</v>
      </c>
      <c r="I130">
        <v>1011.94</v>
      </c>
      <c r="J130">
        <v>1011.9</v>
      </c>
      <c r="K130">
        <v>1011.77</v>
      </c>
      <c r="L130">
        <v>1011.72</v>
      </c>
    </row>
    <row r="131" spans="1:12" ht="14.25" customHeight="1" x14ac:dyDescent="0.2">
      <c r="A131">
        <v>630</v>
      </c>
      <c r="B131">
        <v>1012.34</v>
      </c>
      <c r="C131">
        <v>1012.29</v>
      </c>
      <c r="D131">
        <v>1012.25</v>
      </c>
      <c r="E131">
        <v>1012.2</v>
      </c>
      <c r="F131">
        <v>1012.16</v>
      </c>
      <c r="G131">
        <v>1012.11</v>
      </c>
      <c r="H131">
        <v>1012.07</v>
      </c>
      <c r="I131">
        <v>1012.02</v>
      </c>
      <c r="J131">
        <v>1011.97</v>
      </c>
      <c r="K131">
        <v>1011.93</v>
      </c>
      <c r="L131">
        <v>1011.79</v>
      </c>
    </row>
    <row r="132" spans="1:12" ht="14.25" customHeight="1" x14ac:dyDescent="0.2">
      <c r="A132">
        <v>635</v>
      </c>
      <c r="B132">
        <v>1012.42</v>
      </c>
      <c r="C132">
        <v>1012.37</v>
      </c>
      <c r="D132">
        <v>1012.32</v>
      </c>
      <c r="E132">
        <v>1012.28</v>
      </c>
      <c r="F132">
        <v>1012.23</v>
      </c>
      <c r="G132">
        <v>1012.19</v>
      </c>
      <c r="H132">
        <v>1012.14</v>
      </c>
      <c r="I132">
        <v>1012.1</v>
      </c>
      <c r="J132">
        <v>1012.05</v>
      </c>
      <c r="K132">
        <v>1012.01</v>
      </c>
      <c r="L132">
        <v>1011.96</v>
      </c>
    </row>
    <row r="133" spans="1:12" ht="14.25" customHeight="1" x14ac:dyDescent="0.2">
      <c r="A133">
        <v>640</v>
      </c>
      <c r="B133">
        <v>1012.49</v>
      </c>
      <c r="C133">
        <v>1012.45</v>
      </c>
      <c r="D133">
        <v>1012.4</v>
      </c>
      <c r="E133">
        <v>1012.36</v>
      </c>
      <c r="F133">
        <v>1012.31</v>
      </c>
      <c r="G133">
        <v>1012.26</v>
      </c>
      <c r="H133">
        <v>1012.22</v>
      </c>
      <c r="I133">
        <v>1012.17</v>
      </c>
      <c r="J133">
        <v>1012.13</v>
      </c>
      <c r="K133">
        <v>1012.08</v>
      </c>
      <c r="L133">
        <v>1012.04</v>
      </c>
    </row>
    <row r="134" spans="1:12" ht="14.25" customHeight="1" x14ac:dyDescent="0.2">
      <c r="A134">
        <v>645</v>
      </c>
      <c r="B134">
        <v>1012.57</v>
      </c>
      <c r="C134">
        <v>1012.52</v>
      </c>
      <c r="D134">
        <v>1012.48</v>
      </c>
      <c r="E134">
        <v>1012.43</v>
      </c>
      <c r="F134">
        <v>1012.39</v>
      </c>
      <c r="G134">
        <v>1012.34</v>
      </c>
      <c r="H134">
        <v>1012.3</v>
      </c>
      <c r="I134">
        <v>1012.25</v>
      </c>
      <c r="J134">
        <v>1012.2</v>
      </c>
      <c r="K134">
        <v>1012.16</v>
      </c>
      <c r="L134">
        <v>1012.11</v>
      </c>
    </row>
    <row r="135" spans="1:12" ht="14.25" customHeight="1" x14ac:dyDescent="0.2">
      <c r="A135">
        <v>650</v>
      </c>
      <c r="B135">
        <v>1012.64</v>
      </c>
      <c r="C135">
        <v>1012.6</v>
      </c>
      <c r="D135">
        <v>1012.55</v>
      </c>
      <c r="E135">
        <v>1012.51</v>
      </c>
      <c r="F135">
        <v>1012.46</v>
      </c>
      <c r="G135">
        <v>1012.42</v>
      </c>
      <c r="H135">
        <v>1012.37</v>
      </c>
      <c r="I135">
        <v>1012.33</v>
      </c>
      <c r="J135">
        <v>1012.28</v>
      </c>
      <c r="K135">
        <v>1012.23</v>
      </c>
      <c r="L135">
        <v>1012.19</v>
      </c>
    </row>
    <row r="136" spans="1:12" ht="14.25" customHeight="1" x14ac:dyDescent="0.2">
      <c r="A136">
        <v>655</v>
      </c>
      <c r="B136">
        <v>1012.72</v>
      </c>
      <c r="C136">
        <v>1012.68</v>
      </c>
      <c r="D136">
        <v>1012.63</v>
      </c>
      <c r="E136">
        <v>1012.58</v>
      </c>
      <c r="F136">
        <v>1012.54</v>
      </c>
      <c r="G136">
        <v>1012.49</v>
      </c>
      <c r="H136">
        <v>1012.45</v>
      </c>
      <c r="I136">
        <v>1012.4</v>
      </c>
      <c r="J136">
        <v>1012.36</v>
      </c>
      <c r="K136">
        <v>1012.31</v>
      </c>
      <c r="L136">
        <v>1012.27</v>
      </c>
    </row>
    <row r="137" spans="1:12" ht="14.25" customHeight="1" x14ac:dyDescent="0.2">
      <c r="A137">
        <v>660</v>
      </c>
      <c r="B137">
        <v>1012.8</v>
      </c>
      <c r="C137">
        <v>1012.75</v>
      </c>
      <c r="D137">
        <v>1012.71</v>
      </c>
      <c r="E137">
        <v>1012.66</v>
      </c>
      <c r="F137">
        <v>1012.62</v>
      </c>
      <c r="G137">
        <v>1012.57</v>
      </c>
      <c r="H137">
        <v>1012.52</v>
      </c>
      <c r="I137">
        <v>1012.48</v>
      </c>
      <c r="J137">
        <v>1012.43</v>
      </c>
      <c r="K137">
        <v>1012.39</v>
      </c>
      <c r="L137">
        <v>1012.34</v>
      </c>
    </row>
    <row r="138" spans="1:12" ht="14.25" customHeight="1" x14ac:dyDescent="0.2">
      <c r="A138">
        <v>665</v>
      </c>
      <c r="B138">
        <v>1012.87</v>
      </c>
      <c r="C138">
        <v>1012.83</v>
      </c>
      <c r="D138">
        <v>1012.78</v>
      </c>
      <c r="E138">
        <v>1012.74</v>
      </c>
      <c r="F138">
        <v>1012.69</v>
      </c>
      <c r="G138">
        <v>1012.65</v>
      </c>
      <c r="H138">
        <v>1012.6</v>
      </c>
      <c r="I138">
        <v>1012.55</v>
      </c>
      <c r="J138">
        <v>1012.51</v>
      </c>
      <c r="K138">
        <v>1012.46</v>
      </c>
      <c r="L138">
        <v>1012.42</v>
      </c>
    </row>
    <row r="139" spans="1:12" ht="14.25" customHeight="1" x14ac:dyDescent="0.2">
      <c r="A139">
        <v>670</v>
      </c>
      <c r="B139">
        <v>1012.95</v>
      </c>
      <c r="C139">
        <v>1012.9</v>
      </c>
      <c r="D139">
        <v>1012.86</v>
      </c>
      <c r="E139">
        <v>1012.81</v>
      </c>
      <c r="F139">
        <v>1012.77</v>
      </c>
      <c r="G139">
        <v>1012.72</v>
      </c>
      <c r="H139">
        <v>1012.68</v>
      </c>
      <c r="I139">
        <v>1012.63</v>
      </c>
      <c r="J139">
        <v>1012.59</v>
      </c>
      <c r="K139">
        <v>1012.54</v>
      </c>
      <c r="L139">
        <v>1012.49</v>
      </c>
    </row>
    <row r="140" spans="1:12" ht="14.25" customHeight="1" x14ac:dyDescent="0.2">
      <c r="A140">
        <v>675</v>
      </c>
      <c r="B140">
        <v>1013.03</v>
      </c>
      <c r="C140">
        <v>1012.98</v>
      </c>
      <c r="D140">
        <v>1012.93</v>
      </c>
      <c r="E140">
        <v>1012.89</v>
      </c>
      <c r="F140">
        <v>1012.84</v>
      </c>
      <c r="G140">
        <v>1012.8</v>
      </c>
      <c r="H140">
        <v>1012.75</v>
      </c>
      <c r="I140">
        <v>1012.71</v>
      </c>
      <c r="J140">
        <v>1012.66</v>
      </c>
      <c r="K140">
        <v>1012.62</v>
      </c>
      <c r="L140">
        <v>1012.57</v>
      </c>
    </row>
    <row r="141" spans="1:12" ht="14.25" customHeight="1" x14ac:dyDescent="0.2">
      <c r="A141">
        <v>680</v>
      </c>
      <c r="B141">
        <v>1013.1</v>
      </c>
      <c r="C141">
        <v>1013.06</v>
      </c>
      <c r="D141">
        <v>1013.01</v>
      </c>
      <c r="E141">
        <v>1012.97</v>
      </c>
      <c r="F141">
        <v>1012.92</v>
      </c>
      <c r="G141">
        <v>1012.87</v>
      </c>
      <c r="H141">
        <v>1012.83</v>
      </c>
      <c r="I141">
        <v>1012.78</v>
      </c>
      <c r="J141">
        <v>1012.74</v>
      </c>
      <c r="K141">
        <v>1012.69</v>
      </c>
      <c r="L141">
        <v>1012.65</v>
      </c>
    </row>
    <row r="142" spans="1:12" ht="14.25" customHeight="1" x14ac:dyDescent="0.2">
      <c r="A142">
        <v>685</v>
      </c>
      <c r="B142">
        <v>1013.18</v>
      </c>
      <c r="C142">
        <v>1013.13</v>
      </c>
      <c r="D142">
        <v>1013.09</v>
      </c>
      <c r="E142">
        <v>1013.04</v>
      </c>
      <c r="F142">
        <v>1013</v>
      </c>
      <c r="G142">
        <v>1012.95</v>
      </c>
      <c r="H142">
        <v>1012.91</v>
      </c>
      <c r="I142">
        <v>1012.86</v>
      </c>
      <c r="J142">
        <v>1012.81</v>
      </c>
      <c r="K142">
        <v>1012.77</v>
      </c>
      <c r="L142">
        <v>1012.72</v>
      </c>
    </row>
    <row r="143" spans="1:12" ht="14.25" customHeight="1" x14ac:dyDescent="0.2">
      <c r="A143">
        <v>690</v>
      </c>
      <c r="B143">
        <v>1013.25</v>
      </c>
      <c r="C143">
        <v>1013.21</v>
      </c>
      <c r="D143">
        <v>1013.16</v>
      </c>
      <c r="E143">
        <v>1013.12</v>
      </c>
      <c r="F143">
        <v>1013.07</v>
      </c>
      <c r="G143">
        <v>1013.03</v>
      </c>
      <c r="H143">
        <v>1012.98</v>
      </c>
      <c r="I143">
        <v>1012.94</v>
      </c>
      <c r="J143">
        <v>1012.89</v>
      </c>
      <c r="K143">
        <v>1012.84</v>
      </c>
      <c r="L143">
        <v>1012.8</v>
      </c>
    </row>
    <row r="144" spans="1:12" ht="14.25" customHeight="1" x14ac:dyDescent="0.2">
      <c r="A144">
        <v>695</v>
      </c>
      <c r="B144">
        <v>1013.33</v>
      </c>
      <c r="C144">
        <v>1013.29</v>
      </c>
      <c r="D144">
        <v>1013.24</v>
      </c>
      <c r="E144">
        <v>1013.19</v>
      </c>
      <c r="F144">
        <v>1013.15</v>
      </c>
      <c r="G144">
        <v>1013.1</v>
      </c>
      <c r="H144">
        <v>1013.06</v>
      </c>
      <c r="I144">
        <v>1013.01</v>
      </c>
      <c r="J144">
        <v>1012.97</v>
      </c>
      <c r="K144">
        <v>1012.92</v>
      </c>
      <c r="L144">
        <v>1012.88</v>
      </c>
    </row>
    <row r="145" spans="1:12" ht="14.25" customHeight="1" x14ac:dyDescent="0.2">
      <c r="A145">
        <v>700</v>
      </c>
      <c r="B145">
        <v>1013.41</v>
      </c>
      <c r="C145">
        <v>1013.36</v>
      </c>
      <c r="D145">
        <v>1013.32</v>
      </c>
      <c r="E145">
        <v>1013.27</v>
      </c>
      <c r="F145">
        <v>1013.23</v>
      </c>
      <c r="G145">
        <v>1013.18</v>
      </c>
      <c r="H145">
        <v>1013.13</v>
      </c>
      <c r="I145">
        <v>1013.09</v>
      </c>
      <c r="J145">
        <v>1013.04</v>
      </c>
      <c r="K145">
        <v>1013</v>
      </c>
      <c r="L145">
        <v>1012.95</v>
      </c>
    </row>
    <row r="146" spans="1:12" ht="14.25" customHeight="1" x14ac:dyDescent="0.2">
      <c r="A146">
        <v>705</v>
      </c>
      <c r="B146">
        <v>1013.48</v>
      </c>
      <c r="C146">
        <v>1013.44</v>
      </c>
      <c r="D146">
        <v>1013.39</v>
      </c>
      <c r="E146">
        <v>1013.35</v>
      </c>
      <c r="F146">
        <v>1013.3</v>
      </c>
      <c r="G146">
        <v>1013.26</v>
      </c>
      <c r="H146">
        <v>1013.21</v>
      </c>
      <c r="I146">
        <v>1013.16</v>
      </c>
      <c r="J146">
        <v>1013.12</v>
      </c>
      <c r="K146">
        <v>1013.07</v>
      </c>
      <c r="L146">
        <v>1013.03</v>
      </c>
    </row>
    <row r="147" spans="1:12" ht="14.25" customHeight="1" x14ac:dyDescent="0.2">
      <c r="A147">
        <v>710</v>
      </c>
      <c r="B147">
        <v>1013.56</v>
      </c>
      <c r="C147">
        <v>1013.51</v>
      </c>
      <c r="D147">
        <v>1013.47</v>
      </c>
      <c r="E147">
        <v>1013.42</v>
      </c>
      <c r="F147">
        <v>1013.38</v>
      </c>
      <c r="G147">
        <v>1013.33</v>
      </c>
      <c r="H147">
        <v>1013.29</v>
      </c>
      <c r="I147">
        <v>1013.24</v>
      </c>
      <c r="J147">
        <v>1013.2</v>
      </c>
      <c r="K147">
        <v>1013.15</v>
      </c>
      <c r="L147">
        <v>1013.1</v>
      </c>
    </row>
    <row r="148" spans="1:12" ht="14.25" customHeight="1" x14ac:dyDescent="0.2">
      <c r="A148">
        <v>715</v>
      </c>
      <c r="B148">
        <v>1013.64</v>
      </c>
      <c r="C148">
        <v>1013.59</v>
      </c>
      <c r="D148">
        <v>1013.55</v>
      </c>
      <c r="E148">
        <v>1013.5</v>
      </c>
      <c r="F148">
        <v>1013.45</v>
      </c>
      <c r="G148">
        <v>1013.41</v>
      </c>
      <c r="H148">
        <v>1013.36</v>
      </c>
      <c r="I148">
        <v>1013.32</v>
      </c>
      <c r="J148">
        <v>1013.27</v>
      </c>
      <c r="K148">
        <v>1013.23</v>
      </c>
      <c r="L148">
        <v>1013.18</v>
      </c>
    </row>
    <row r="149" spans="1:12" ht="14.25" customHeight="1" x14ac:dyDescent="0.2">
      <c r="A149">
        <v>720</v>
      </c>
      <c r="B149">
        <v>1013.71</v>
      </c>
      <c r="C149">
        <v>1013.67</v>
      </c>
      <c r="D149">
        <v>1013.62</v>
      </c>
      <c r="E149">
        <v>1013.58</v>
      </c>
      <c r="F149">
        <v>1013.53</v>
      </c>
      <c r="G149">
        <v>1013.48</v>
      </c>
      <c r="H149">
        <v>1013.44</v>
      </c>
      <c r="I149">
        <v>1013.39</v>
      </c>
      <c r="J149">
        <v>1013.35</v>
      </c>
      <c r="K149">
        <v>1013.3</v>
      </c>
      <c r="L149">
        <v>1013.26</v>
      </c>
    </row>
    <row r="150" spans="1:12" ht="14.25" customHeight="1" x14ac:dyDescent="0.2">
      <c r="A150">
        <v>725</v>
      </c>
      <c r="B150">
        <v>1013.79</v>
      </c>
      <c r="C150">
        <v>1013.74</v>
      </c>
      <c r="D150">
        <v>1013.7</v>
      </c>
      <c r="E150">
        <v>1013.65</v>
      </c>
      <c r="F150">
        <v>1013.61</v>
      </c>
      <c r="G150">
        <v>1013.56</v>
      </c>
      <c r="H150">
        <v>1013.52</v>
      </c>
      <c r="I150">
        <v>1013.47</v>
      </c>
      <c r="J150">
        <v>1013.42</v>
      </c>
      <c r="K150">
        <v>1013.38</v>
      </c>
      <c r="L150">
        <v>1013.33</v>
      </c>
    </row>
    <row r="151" spans="1:12" ht="14.25" customHeight="1" x14ac:dyDescent="0.2">
      <c r="A151">
        <v>730</v>
      </c>
      <c r="B151">
        <v>1013.87</v>
      </c>
      <c r="C151">
        <v>1013.82</v>
      </c>
      <c r="D151">
        <v>1013.77</v>
      </c>
      <c r="E151">
        <v>1013.73</v>
      </c>
      <c r="F151">
        <v>1013.68</v>
      </c>
      <c r="G151">
        <v>1013.64</v>
      </c>
      <c r="H151">
        <v>1013.59</v>
      </c>
      <c r="I151">
        <v>1013.55</v>
      </c>
      <c r="J151">
        <v>1013.5</v>
      </c>
      <c r="K151">
        <v>1013.46</v>
      </c>
      <c r="L151">
        <v>1013.41</v>
      </c>
    </row>
    <row r="152" spans="1:12" ht="14.25" customHeight="1" x14ac:dyDescent="0.2">
      <c r="A152">
        <v>735</v>
      </c>
      <c r="B152">
        <v>1013.94</v>
      </c>
      <c r="C152">
        <v>1013.9</v>
      </c>
      <c r="D152">
        <v>1013.85</v>
      </c>
      <c r="E152">
        <v>1013.8</v>
      </c>
      <c r="F152">
        <v>1013.76</v>
      </c>
      <c r="G152">
        <v>1013.71</v>
      </c>
      <c r="H152">
        <v>1013.67</v>
      </c>
      <c r="I152">
        <v>1013.62</v>
      </c>
      <c r="J152">
        <v>1013.58</v>
      </c>
      <c r="K152">
        <v>1013.53</v>
      </c>
      <c r="L152">
        <v>1013.49</v>
      </c>
    </row>
    <row r="153" spans="1:12" ht="14.25" customHeight="1" x14ac:dyDescent="0.2">
      <c r="A153">
        <v>740</v>
      </c>
      <c r="B153">
        <v>1014.02</v>
      </c>
      <c r="C153">
        <v>1013.97</v>
      </c>
      <c r="D153">
        <v>1013.93</v>
      </c>
      <c r="E153">
        <v>1013.88</v>
      </c>
      <c r="F153">
        <v>1013.84</v>
      </c>
      <c r="G153">
        <v>1013.79</v>
      </c>
      <c r="H153">
        <v>1013.74</v>
      </c>
      <c r="I153">
        <v>1013.7</v>
      </c>
      <c r="J153">
        <v>1013.65</v>
      </c>
      <c r="K153">
        <v>1013.61</v>
      </c>
      <c r="L153">
        <v>1013.56</v>
      </c>
    </row>
    <row r="154" spans="1:12" ht="14.25" customHeight="1" x14ac:dyDescent="0.2">
      <c r="A154">
        <v>745</v>
      </c>
      <c r="B154">
        <v>1014.09</v>
      </c>
      <c r="C154">
        <v>1014.05</v>
      </c>
      <c r="D154">
        <v>1014</v>
      </c>
      <c r="E154">
        <v>1013.96</v>
      </c>
      <c r="F154">
        <v>1013.91</v>
      </c>
      <c r="G154">
        <v>1013.87</v>
      </c>
      <c r="H154">
        <v>1013.82</v>
      </c>
      <c r="I154">
        <v>1013.78</v>
      </c>
      <c r="J154">
        <v>1013.73</v>
      </c>
      <c r="K154">
        <v>1013.68</v>
      </c>
      <c r="L154">
        <v>1013.64</v>
      </c>
    </row>
    <row r="155" spans="1:12" ht="14.25" customHeight="1" x14ac:dyDescent="0.2">
      <c r="A155">
        <v>750</v>
      </c>
      <c r="B155">
        <v>1014.17</v>
      </c>
      <c r="C155">
        <v>1014.12</v>
      </c>
      <c r="D155">
        <v>1014.08</v>
      </c>
      <c r="E155">
        <v>1014.03</v>
      </c>
      <c r="F155">
        <v>1013.99</v>
      </c>
      <c r="G155">
        <v>1013.94</v>
      </c>
      <c r="H155">
        <v>1013.9</v>
      </c>
      <c r="I155">
        <v>1013.85</v>
      </c>
      <c r="J155">
        <v>1013.81</v>
      </c>
      <c r="K155">
        <v>1013.76</v>
      </c>
      <c r="L155">
        <v>1013.71</v>
      </c>
    </row>
    <row r="156" spans="1:12" ht="14.25" customHeight="1" x14ac:dyDescent="0.2">
      <c r="A156">
        <v>755</v>
      </c>
      <c r="B156">
        <v>1014.25</v>
      </c>
      <c r="C156">
        <v>1014.2</v>
      </c>
      <c r="D156">
        <v>1014.16</v>
      </c>
      <c r="E156">
        <v>1014.11</v>
      </c>
      <c r="F156">
        <v>1014.06</v>
      </c>
      <c r="G156">
        <v>1014.02</v>
      </c>
      <c r="H156">
        <v>1013.97</v>
      </c>
      <c r="I156">
        <v>1013.93</v>
      </c>
      <c r="J156">
        <v>1013.88</v>
      </c>
      <c r="K156">
        <v>1013.84</v>
      </c>
      <c r="L156">
        <v>1013.79</v>
      </c>
    </row>
    <row r="157" spans="1:12" ht="14.25" customHeight="1" x14ac:dyDescent="0.2">
      <c r="A157">
        <v>760</v>
      </c>
      <c r="B157">
        <v>1014.32</v>
      </c>
      <c r="C157">
        <v>1014.28</v>
      </c>
      <c r="D157">
        <v>1014.23</v>
      </c>
      <c r="E157">
        <v>1014.19</v>
      </c>
      <c r="F157">
        <v>1014.14</v>
      </c>
      <c r="G157">
        <v>1014.1</v>
      </c>
      <c r="H157">
        <v>1014.05</v>
      </c>
      <c r="I157">
        <v>1014</v>
      </c>
      <c r="J157">
        <v>1013.96</v>
      </c>
      <c r="K157">
        <v>1013.91</v>
      </c>
      <c r="L157">
        <v>1013.87</v>
      </c>
    </row>
    <row r="158" spans="1:12" ht="14.25" customHeight="1" x14ac:dyDescent="0.2">
      <c r="A158">
        <v>765</v>
      </c>
      <c r="B158">
        <v>1014.4</v>
      </c>
      <c r="C158">
        <v>1014.35</v>
      </c>
      <c r="D158">
        <v>1014.31</v>
      </c>
      <c r="E158">
        <v>1014.26</v>
      </c>
      <c r="F158">
        <v>1014.22</v>
      </c>
      <c r="G158">
        <v>1014.17</v>
      </c>
      <c r="H158">
        <v>1014.13</v>
      </c>
      <c r="I158">
        <v>1014.08</v>
      </c>
      <c r="J158">
        <v>1014.03</v>
      </c>
      <c r="K158">
        <v>1013.99</v>
      </c>
      <c r="L158">
        <v>1013.94</v>
      </c>
    </row>
    <row r="159" spans="1:12" ht="14.25" customHeight="1" x14ac:dyDescent="0.2">
      <c r="A159">
        <v>770</v>
      </c>
      <c r="B159">
        <v>1014.48</v>
      </c>
      <c r="C159">
        <v>1014.43</v>
      </c>
      <c r="D159">
        <v>1014.38</v>
      </c>
      <c r="E159">
        <v>1014.34</v>
      </c>
      <c r="F159">
        <v>1014.29</v>
      </c>
      <c r="G159">
        <v>1014.25</v>
      </c>
      <c r="H159">
        <v>1014.2</v>
      </c>
      <c r="I159">
        <v>1014.16</v>
      </c>
      <c r="J159">
        <v>1014.11</v>
      </c>
      <c r="K159">
        <v>1014.07</v>
      </c>
      <c r="L159">
        <v>1014.02</v>
      </c>
    </row>
    <row r="160" spans="1:12" ht="14.25" customHeight="1" x14ac:dyDescent="0.2">
      <c r="A160">
        <v>775</v>
      </c>
      <c r="B160">
        <v>1014.55</v>
      </c>
      <c r="C160">
        <v>1014.51</v>
      </c>
      <c r="D160">
        <v>1014.46</v>
      </c>
      <c r="E160">
        <v>1014.42</v>
      </c>
      <c r="F160">
        <v>1014.37</v>
      </c>
      <c r="G160">
        <v>1014.32</v>
      </c>
      <c r="H160">
        <v>1014.28</v>
      </c>
      <c r="I160">
        <v>1014.23</v>
      </c>
      <c r="J160">
        <v>1014.19</v>
      </c>
      <c r="K160">
        <v>1014.14</v>
      </c>
      <c r="L160">
        <v>1014.1</v>
      </c>
    </row>
    <row r="161" spans="1:12" ht="14.25" customHeight="1" x14ac:dyDescent="0.2">
      <c r="A161">
        <v>780</v>
      </c>
      <c r="B161">
        <v>1014.63</v>
      </c>
      <c r="C161">
        <v>1014.58</v>
      </c>
      <c r="D161">
        <v>1014.54</v>
      </c>
      <c r="E161">
        <v>1014.49</v>
      </c>
      <c r="F161">
        <v>1014.45</v>
      </c>
      <c r="G161">
        <v>1014.4</v>
      </c>
      <c r="H161">
        <v>1014.35</v>
      </c>
      <c r="I161">
        <v>1014.31</v>
      </c>
      <c r="J161">
        <v>1014.26</v>
      </c>
      <c r="K161">
        <v>1014.22</v>
      </c>
      <c r="L161">
        <v>1014.17</v>
      </c>
    </row>
    <row r="162" spans="1:12" ht="14.25" customHeight="1" x14ac:dyDescent="0.2">
      <c r="A162">
        <v>785</v>
      </c>
      <c r="B162">
        <v>1014.7</v>
      </c>
      <c r="C162">
        <v>1014.66</v>
      </c>
      <c r="D162">
        <v>1014.61</v>
      </c>
      <c r="E162">
        <v>1014.57</v>
      </c>
      <c r="F162">
        <v>1014.52</v>
      </c>
      <c r="G162">
        <v>1014.48</v>
      </c>
      <c r="H162">
        <v>1014.43</v>
      </c>
      <c r="I162">
        <v>1014.39</v>
      </c>
      <c r="J162">
        <v>1014.34</v>
      </c>
      <c r="K162">
        <v>1014.29</v>
      </c>
      <c r="L162">
        <v>1014.25</v>
      </c>
    </row>
    <row r="163" spans="1:12" ht="14.25" customHeight="1" x14ac:dyDescent="0.2">
      <c r="A163">
        <v>790</v>
      </c>
      <c r="B163">
        <v>1014.78</v>
      </c>
      <c r="C163">
        <v>1014.73</v>
      </c>
      <c r="D163">
        <v>1014.69</v>
      </c>
      <c r="E163">
        <v>1014.64</v>
      </c>
      <c r="F163">
        <v>1014.6</v>
      </c>
      <c r="G163">
        <v>1014.55</v>
      </c>
      <c r="H163">
        <v>1014.51</v>
      </c>
      <c r="I163">
        <v>1014.46</v>
      </c>
      <c r="J163">
        <v>1014.42</v>
      </c>
      <c r="K163">
        <v>1014.37</v>
      </c>
      <c r="L163">
        <v>1014.32</v>
      </c>
    </row>
    <row r="164" spans="1:12" ht="14.25" customHeight="1" x14ac:dyDescent="0.2">
      <c r="A164">
        <v>795</v>
      </c>
      <c r="B164">
        <v>1014.86</v>
      </c>
      <c r="C164">
        <v>1014.81</v>
      </c>
      <c r="D164">
        <v>1014.77</v>
      </c>
      <c r="E164">
        <v>1014.72</v>
      </c>
      <c r="F164">
        <v>1014.67</v>
      </c>
      <c r="G164">
        <v>1014.63</v>
      </c>
      <c r="H164">
        <v>1014.58</v>
      </c>
      <c r="I164">
        <v>1014.54</v>
      </c>
      <c r="J164">
        <v>1014.49</v>
      </c>
      <c r="K164">
        <v>1014.45</v>
      </c>
      <c r="L164">
        <v>1014.4</v>
      </c>
    </row>
    <row r="165" spans="1:12" ht="14.25" customHeight="1" x14ac:dyDescent="0.2">
      <c r="A165">
        <v>800</v>
      </c>
      <c r="B165">
        <v>1014.93</v>
      </c>
      <c r="C165">
        <v>1014.89</v>
      </c>
      <c r="D165">
        <v>1014.84</v>
      </c>
      <c r="E165">
        <v>1014.8</v>
      </c>
      <c r="F165">
        <v>1014.75</v>
      </c>
      <c r="G165">
        <v>1014.71</v>
      </c>
      <c r="H165">
        <v>1014.66</v>
      </c>
      <c r="I165">
        <v>1014.61</v>
      </c>
      <c r="J165">
        <v>1014.57</v>
      </c>
      <c r="K165">
        <v>1014.52</v>
      </c>
      <c r="L165">
        <v>1014.48</v>
      </c>
    </row>
    <row r="166" spans="1:12" ht="14.25" customHeight="1" x14ac:dyDescent="0.2">
      <c r="A166">
        <v>805</v>
      </c>
      <c r="B166">
        <v>1015.01</v>
      </c>
      <c r="C166">
        <v>1014.96</v>
      </c>
      <c r="D166">
        <v>1014.92</v>
      </c>
      <c r="E166">
        <v>1014.87</v>
      </c>
      <c r="F166">
        <v>1014.83</v>
      </c>
      <c r="G166">
        <v>1014.78</v>
      </c>
      <c r="H166">
        <v>1014.74</v>
      </c>
      <c r="I166">
        <v>1014.69</v>
      </c>
      <c r="J166">
        <v>1014.64</v>
      </c>
      <c r="K166">
        <v>1014.6</v>
      </c>
      <c r="L166">
        <v>1014.55</v>
      </c>
    </row>
    <row r="167" spans="1:12" ht="14.25" customHeight="1" x14ac:dyDescent="0.2">
      <c r="A167">
        <v>810</v>
      </c>
      <c r="B167">
        <v>1015.09</v>
      </c>
      <c r="C167">
        <v>1015.04</v>
      </c>
      <c r="D167">
        <v>1014.99</v>
      </c>
      <c r="E167">
        <v>1014.95</v>
      </c>
      <c r="F167">
        <v>1014.9</v>
      </c>
      <c r="G167">
        <v>1014.86</v>
      </c>
      <c r="H167">
        <v>1014.81</v>
      </c>
      <c r="I167">
        <v>1014.77</v>
      </c>
      <c r="J167">
        <v>1014.72</v>
      </c>
      <c r="K167">
        <v>1014.68</v>
      </c>
      <c r="L167">
        <v>1014.63</v>
      </c>
    </row>
    <row r="168" spans="1:12" ht="14.25" customHeight="1" x14ac:dyDescent="0.2">
      <c r="A168">
        <v>815</v>
      </c>
      <c r="B168">
        <v>1015.16</v>
      </c>
      <c r="C168">
        <v>1015.12</v>
      </c>
      <c r="D168">
        <v>1015.07</v>
      </c>
      <c r="E168">
        <v>1015.03</v>
      </c>
      <c r="F168">
        <v>1014.98</v>
      </c>
      <c r="G168">
        <v>1014.93</v>
      </c>
      <c r="H168">
        <v>1014.89</v>
      </c>
      <c r="I168">
        <v>1014.84</v>
      </c>
      <c r="J168">
        <v>1014.8</v>
      </c>
      <c r="K168">
        <v>1014.75</v>
      </c>
      <c r="L168">
        <v>1014.71</v>
      </c>
    </row>
    <row r="169" spans="1:12" ht="14.25" customHeight="1" x14ac:dyDescent="0.2">
      <c r="A169">
        <v>820</v>
      </c>
      <c r="B169">
        <v>1015.24</v>
      </c>
      <c r="C169">
        <v>1015.19</v>
      </c>
      <c r="D169">
        <v>1015.15</v>
      </c>
      <c r="E169">
        <v>1015.1</v>
      </c>
      <c r="F169">
        <v>1015.06</v>
      </c>
      <c r="G169">
        <v>1015.01</v>
      </c>
      <c r="H169">
        <v>1014.97</v>
      </c>
      <c r="I169">
        <v>1014.92</v>
      </c>
      <c r="J169">
        <v>1014.87</v>
      </c>
      <c r="K169">
        <v>1014.83</v>
      </c>
      <c r="L169">
        <v>1014.78</v>
      </c>
    </row>
    <row r="170" spans="1:12" ht="14.25" customHeight="1" x14ac:dyDescent="0.2">
      <c r="A170">
        <v>825</v>
      </c>
      <c r="B170">
        <v>1015.31</v>
      </c>
      <c r="C170">
        <v>1015.27</v>
      </c>
      <c r="D170">
        <v>1015.22</v>
      </c>
      <c r="E170">
        <v>1015.18</v>
      </c>
      <c r="F170">
        <v>1015.13</v>
      </c>
      <c r="G170">
        <v>1015.09</v>
      </c>
      <c r="H170">
        <v>1015.04</v>
      </c>
      <c r="I170">
        <v>1015</v>
      </c>
      <c r="J170">
        <v>1014.95</v>
      </c>
      <c r="K170">
        <v>1014.9</v>
      </c>
      <c r="L170">
        <v>1014.86</v>
      </c>
    </row>
    <row r="171" spans="1:12" ht="14.25" customHeight="1" x14ac:dyDescent="0.2">
      <c r="A171">
        <v>830</v>
      </c>
      <c r="B171">
        <v>1015.39</v>
      </c>
      <c r="C171">
        <v>1015.35</v>
      </c>
      <c r="D171">
        <v>1015.3</v>
      </c>
      <c r="E171">
        <v>1015.25</v>
      </c>
      <c r="F171">
        <v>1015.21</v>
      </c>
      <c r="G171">
        <v>1015.16</v>
      </c>
      <c r="H171">
        <v>1015.12</v>
      </c>
      <c r="I171">
        <v>1015.07</v>
      </c>
      <c r="J171">
        <v>1015.03</v>
      </c>
      <c r="K171">
        <v>1014.98</v>
      </c>
      <c r="L171">
        <v>1014.94</v>
      </c>
    </row>
    <row r="172" spans="1:12" ht="14.25" customHeight="1" x14ac:dyDescent="0.2">
      <c r="A172">
        <v>835</v>
      </c>
      <c r="B172">
        <v>1015.47</v>
      </c>
      <c r="C172">
        <v>1015.42</v>
      </c>
      <c r="D172">
        <v>1015.38</v>
      </c>
      <c r="E172">
        <v>1015.33</v>
      </c>
      <c r="F172">
        <v>1015.29</v>
      </c>
      <c r="G172">
        <v>1015.24</v>
      </c>
      <c r="H172">
        <v>1015.19</v>
      </c>
      <c r="I172">
        <v>1015.15</v>
      </c>
      <c r="J172">
        <v>1015.1</v>
      </c>
      <c r="K172">
        <v>1015.06</v>
      </c>
      <c r="L172">
        <v>1015.01</v>
      </c>
    </row>
    <row r="173" spans="1:12" ht="14.25" customHeight="1" x14ac:dyDescent="0.2">
      <c r="A173">
        <v>840</v>
      </c>
      <c r="B173">
        <v>1015.54</v>
      </c>
      <c r="C173">
        <v>1015.5</v>
      </c>
      <c r="D173">
        <v>1015.45</v>
      </c>
      <c r="E173">
        <v>1015.41</v>
      </c>
      <c r="F173">
        <v>1015.36</v>
      </c>
      <c r="G173">
        <v>1015.32</v>
      </c>
      <c r="H173">
        <v>1015.27</v>
      </c>
      <c r="I173">
        <v>1015.22</v>
      </c>
      <c r="J173">
        <v>1015.18</v>
      </c>
      <c r="K173">
        <v>1015.13</v>
      </c>
      <c r="L173">
        <v>1015.09</v>
      </c>
    </row>
    <row r="174" spans="1:12" ht="14.25" customHeight="1" x14ac:dyDescent="0.2">
      <c r="A174">
        <v>845</v>
      </c>
      <c r="B174">
        <v>1015.62</v>
      </c>
      <c r="C174">
        <v>1015.57</v>
      </c>
      <c r="D174">
        <v>1015.53</v>
      </c>
      <c r="E174">
        <v>1015.48</v>
      </c>
      <c r="F174">
        <v>1015.44</v>
      </c>
      <c r="G174">
        <v>1015.39</v>
      </c>
      <c r="H174">
        <v>1015.35</v>
      </c>
      <c r="I174">
        <v>1015.3</v>
      </c>
      <c r="J174">
        <v>1015.26</v>
      </c>
      <c r="K174">
        <v>1015.21</v>
      </c>
      <c r="L174">
        <v>1015.16</v>
      </c>
    </row>
    <row r="175" spans="1:12" ht="14.25" customHeight="1" x14ac:dyDescent="0.2">
      <c r="A175">
        <v>850</v>
      </c>
      <c r="B175">
        <v>1015.7</v>
      </c>
      <c r="C175">
        <v>1015.65</v>
      </c>
      <c r="D175">
        <v>1015.6</v>
      </c>
      <c r="E175">
        <v>1015.56</v>
      </c>
      <c r="F175">
        <v>1015.51</v>
      </c>
      <c r="G175">
        <v>1015.47</v>
      </c>
      <c r="H175">
        <v>1015.42</v>
      </c>
      <c r="I175">
        <v>1015.38</v>
      </c>
      <c r="J175">
        <v>1015.33</v>
      </c>
      <c r="K175">
        <v>1015.29</v>
      </c>
      <c r="L175">
        <v>1015.24</v>
      </c>
    </row>
    <row r="176" spans="1:12" ht="14.25" customHeight="1" x14ac:dyDescent="0.2">
      <c r="A176">
        <v>855</v>
      </c>
      <c r="B176">
        <v>1015.77</v>
      </c>
      <c r="C176">
        <v>1015.73</v>
      </c>
      <c r="D176">
        <v>1015.68</v>
      </c>
      <c r="E176">
        <v>1015.64</v>
      </c>
      <c r="F176">
        <v>1015.59</v>
      </c>
      <c r="G176">
        <v>1015.54</v>
      </c>
      <c r="H176">
        <v>1015.5</v>
      </c>
      <c r="I176">
        <v>1015.45</v>
      </c>
      <c r="J176">
        <v>1015.41</v>
      </c>
      <c r="K176">
        <v>1015.36</v>
      </c>
      <c r="L176">
        <v>1015.32</v>
      </c>
    </row>
    <row r="177" spans="1:12" ht="14.25" customHeight="1" x14ac:dyDescent="0.2">
      <c r="A177">
        <v>860</v>
      </c>
      <c r="B177">
        <v>1015.85</v>
      </c>
      <c r="C177">
        <v>1015.8</v>
      </c>
      <c r="D177">
        <v>1015.76</v>
      </c>
      <c r="E177">
        <v>1015.71</v>
      </c>
      <c r="F177">
        <v>1015.67</v>
      </c>
      <c r="G177">
        <v>1015.62</v>
      </c>
      <c r="H177">
        <v>1015.58</v>
      </c>
      <c r="I177">
        <v>1015.53</v>
      </c>
      <c r="J177">
        <v>1015.48</v>
      </c>
      <c r="K177">
        <v>1015.44</v>
      </c>
      <c r="L177">
        <v>1015.39</v>
      </c>
    </row>
    <row r="178" spans="1:12" ht="14.25" customHeight="1" x14ac:dyDescent="0.2">
      <c r="A178">
        <v>865</v>
      </c>
      <c r="B178">
        <v>1015.92</v>
      </c>
      <c r="C178">
        <v>1015.88</v>
      </c>
      <c r="D178">
        <v>1015.83</v>
      </c>
      <c r="E178">
        <v>1015.79</v>
      </c>
      <c r="F178">
        <v>1015.74</v>
      </c>
      <c r="G178">
        <v>1015.7</v>
      </c>
      <c r="H178">
        <v>1015.65</v>
      </c>
      <c r="I178">
        <v>1015.61</v>
      </c>
      <c r="J178">
        <v>1015.56</v>
      </c>
      <c r="K178">
        <v>1015.51</v>
      </c>
      <c r="L178">
        <v>1015.47</v>
      </c>
    </row>
    <row r="179" spans="1:12" ht="14.25" customHeight="1" x14ac:dyDescent="0.2">
      <c r="A179">
        <v>870</v>
      </c>
      <c r="B179">
        <v>1016</v>
      </c>
      <c r="C179">
        <v>1015.96</v>
      </c>
      <c r="D179">
        <v>1015.91</v>
      </c>
      <c r="E179">
        <v>1015.86</v>
      </c>
      <c r="F179">
        <v>1015.82</v>
      </c>
      <c r="G179">
        <v>1015.77</v>
      </c>
      <c r="H179">
        <v>1015.73</v>
      </c>
      <c r="I179">
        <v>1015.68</v>
      </c>
      <c r="J179">
        <v>1015.64</v>
      </c>
      <c r="K179">
        <v>1015.59</v>
      </c>
      <c r="L179">
        <v>1015.55</v>
      </c>
    </row>
    <row r="180" spans="1:12" ht="14.25" customHeight="1" x14ac:dyDescent="0.2">
      <c r="A180">
        <v>875</v>
      </c>
      <c r="B180">
        <v>1016.08</v>
      </c>
      <c r="C180">
        <v>1016.03</v>
      </c>
      <c r="D180">
        <v>1015.99</v>
      </c>
      <c r="E180">
        <v>1015.94</v>
      </c>
      <c r="F180">
        <v>1015.9</v>
      </c>
      <c r="G180">
        <v>1015.85</v>
      </c>
      <c r="H180">
        <v>1015.8</v>
      </c>
      <c r="I180">
        <v>1015.76</v>
      </c>
      <c r="J180">
        <v>1015.71</v>
      </c>
      <c r="K180">
        <v>1015.67</v>
      </c>
      <c r="L180">
        <v>1015.62</v>
      </c>
    </row>
    <row r="181" spans="1:12" ht="14.25" customHeight="1" x14ac:dyDescent="0.2">
      <c r="A181">
        <v>880</v>
      </c>
      <c r="B181">
        <v>1016.15</v>
      </c>
      <c r="C181">
        <v>1016.11</v>
      </c>
      <c r="D181">
        <v>1016.06</v>
      </c>
      <c r="E181">
        <v>1016.02</v>
      </c>
      <c r="F181">
        <v>1015.97</v>
      </c>
      <c r="G181">
        <v>1015.93</v>
      </c>
      <c r="H181">
        <v>1015.88</v>
      </c>
      <c r="I181">
        <v>1015.83</v>
      </c>
      <c r="J181">
        <v>1015.79</v>
      </c>
      <c r="K181">
        <v>1015.74</v>
      </c>
      <c r="L181">
        <v>1015.7</v>
      </c>
    </row>
    <row r="182" spans="1:12" ht="14.25" customHeight="1" x14ac:dyDescent="0.2">
      <c r="A182">
        <v>885</v>
      </c>
      <c r="B182">
        <v>1016.23</v>
      </c>
      <c r="C182">
        <v>1016.18</v>
      </c>
      <c r="D182">
        <v>1016.14</v>
      </c>
      <c r="E182">
        <v>1016.09</v>
      </c>
      <c r="F182">
        <v>1016.05</v>
      </c>
      <c r="G182">
        <v>1016</v>
      </c>
      <c r="H182">
        <v>1015.96</v>
      </c>
      <c r="I182">
        <v>1015.91</v>
      </c>
      <c r="J182">
        <v>1015.87</v>
      </c>
      <c r="K182">
        <v>1015.82</v>
      </c>
      <c r="L182">
        <v>1015.77</v>
      </c>
    </row>
    <row r="183" spans="1:12" ht="14.25" customHeight="1" x14ac:dyDescent="0.2">
      <c r="A183">
        <v>890</v>
      </c>
      <c r="B183">
        <v>1016.31</v>
      </c>
      <c r="C183">
        <v>1016.26</v>
      </c>
      <c r="D183">
        <v>1016.22</v>
      </c>
      <c r="E183">
        <v>1016.17</v>
      </c>
      <c r="F183">
        <v>1016.12</v>
      </c>
      <c r="G183">
        <v>1016.08</v>
      </c>
      <c r="H183">
        <v>1016.03</v>
      </c>
      <c r="I183">
        <v>1015.99</v>
      </c>
      <c r="J183">
        <v>1015.94</v>
      </c>
      <c r="K183">
        <v>1015.9</v>
      </c>
      <c r="L183">
        <v>1015.85</v>
      </c>
    </row>
    <row r="184" spans="1:12" ht="14.25" customHeight="1" x14ac:dyDescent="0.2">
      <c r="A184">
        <v>895</v>
      </c>
      <c r="B184">
        <v>1016.38</v>
      </c>
      <c r="C184">
        <v>1016.34</v>
      </c>
      <c r="D184">
        <v>1016.29</v>
      </c>
      <c r="E184">
        <v>1016.25</v>
      </c>
      <c r="F184">
        <v>1016.2</v>
      </c>
      <c r="G184">
        <v>1016.15</v>
      </c>
      <c r="H184">
        <v>1016.11</v>
      </c>
      <c r="I184">
        <v>1016.06</v>
      </c>
      <c r="J184">
        <v>1016.02</v>
      </c>
      <c r="K184">
        <v>1015.97</v>
      </c>
      <c r="L184">
        <v>1015.93</v>
      </c>
    </row>
    <row r="185" spans="1:12" ht="14.25" customHeight="1" x14ac:dyDescent="0.2">
      <c r="A185">
        <v>900</v>
      </c>
      <c r="B185">
        <v>1016.46</v>
      </c>
      <c r="C185">
        <v>1016.41</v>
      </c>
      <c r="D185">
        <v>1016.37</v>
      </c>
      <c r="E185">
        <v>1016.32</v>
      </c>
      <c r="F185">
        <v>1016.28</v>
      </c>
      <c r="G185">
        <v>1016.23</v>
      </c>
      <c r="H185">
        <v>1016.19</v>
      </c>
      <c r="I185">
        <v>1016.14</v>
      </c>
      <c r="J185">
        <v>1016.09</v>
      </c>
      <c r="K185">
        <v>1016.05</v>
      </c>
      <c r="L185">
        <v>1016</v>
      </c>
    </row>
    <row r="186" spans="1:12" ht="14.25" customHeight="1" x14ac:dyDescent="0.2">
      <c r="A186">
        <v>905</v>
      </c>
      <c r="B186">
        <v>1016.54</v>
      </c>
      <c r="C186">
        <v>1016.49</v>
      </c>
      <c r="D186">
        <v>1016.44</v>
      </c>
      <c r="E186">
        <v>1016.4</v>
      </c>
      <c r="F186">
        <v>1016.35</v>
      </c>
      <c r="G186">
        <v>1016.31</v>
      </c>
      <c r="H186">
        <v>1016.26</v>
      </c>
      <c r="I186">
        <v>1016.22</v>
      </c>
      <c r="J186">
        <v>1016.17</v>
      </c>
      <c r="K186">
        <v>1016.13</v>
      </c>
      <c r="L186">
        <v>1016.08</v>
      </c>
    </row>
    <row r="187" spans="1:12" ht="14.25" customHeight="1" x14ac:dyDescent="0.2">
      <c r="A187">
        <v>910</v>
      </c>
      <c r="B187">
        <v>1016.61</v>
      </c>
      <c r="C187">
        <v>1016.57</v>
      </c>
      <c r="D187">
        <v>1016.52</v>
      </c>
      <c r="E187">
        <v>1016.47</v>
      </c>
      <c r="F187">
        <v>1016.43</v>
      </c>
      <c r="G187">
        <v>1016.38</v>
      </c>
      <c r="H187">
        <v>1016.34</v>
      </c>
      <c r="I187">
        <v>1016.29</v>
      </c>
      <c r="J187">
        <v>1016.25</v>
      </c>
      <c r="K187">
        <v>1016.2</v>
      </c>
      <c r="L187">
        <v>1016.16</v>
      </c>
    </row>
    <row r="188" spans="1:12" ht="14.25" customHeight="1" x14ac:dyDescent="0.2">
      <c r="A188">
        <v>915</v>
      </c>
      <c r="B188">
        <v>1016.69</v>
      </c>
      <c r="C188">
        <v>1016.64</v>
      </c>
      <c r="D188">
        <v>1016.6</v>
      </c>
      <c r="E188">
        <v>1016.55</v>
      </c>
      <c r="F188">
        <v>1016.51</v>
      </c>
      <c r="G188">
        <v>1016.46</v>
      </c>
      <c r="H188">
        <v>1016.41</v>
      </c>
      <c r="I188">
        <v>1016.37</v>
      </c>
      <c r="J188">
        <v>1016.32</v>
      </c>
      <c r="K188">
        <v>1016.28</v>
      </c>
      <c r="L188">
        <v>1016.23</v>
      </c>
    </row>
    <row r="189" spans="1:12" ht="14.25" customHeight="1" x14ac:dyDescent="0.2">
      <c r="A189">
        <v>920</v>
      </c>
      <c r="B189">
        <v>1016.76</v>
      </c>
      <c r="C189">
        <v>1016.72</v>
      </c>
      <c r="D189">
        <v>1016.67</v>
      </c>
      <c r="E189">
        <v>1016.63</v>
      </c>
      <c r="F189">
        <v>1016.58</v>
      </c>
      <c r="G189">
        <v>1016.54</v>
      </c>
      <c r="H189">
        <v>1016.49</v>
      </c>
      <c r="I189">
        <v>1016.45</v>
      </c>
      <c r="J189">
        <v>1016.4</v>
      </c>
      <c r="K189">
        <v>1016.35</v>
      </c>
      <c r="L189">
        <v>1016.31</v>
      </c>
    </row>
    <row r="190" spans="1:12" ht="14.25" customHeight="1" x14ac:dyDescent="0.2">
      <c r="A190">
        <v>925</v>
      </c>
      <c r="B190">
        <v>1016.84</v>
      </c>
      <c r="C190">
        <v>1016.79</v>
      </c>
      <c r="D190">
        <v>1016.75</v>
      </c>
      <c r="E190">
        <v>1016.7</v>
      </c>
      <c r="F190">
        <v>1016.66</v>
      </c>
      <c r="G190">
        <v>1016.61</v>
      </c>
      <c r="H190">
        <v>1016.57</v>
      </c>
      <c r="I190">
        <v>1016.52</v>
      </c>
      <c r="J190">
        <v>1016.48</v>
      </c>
      <c r="K190">
        <v>1016.43</v>
      </c>
      <c r="L190">
        <v>1016.38</v>
      </c>
    </row>
    <row r="191" spans="1:12" ht="14.25" customHeight="1" x14ac:dyDescent="0.2">
      <c r="A191">
        <v>930</v>
      </c>
      <c r="B191">
        <v>1016.92</v>
      </c>
      <c r="C191">
        <v>1016.87</v>
      </c>
      <c r="D191">
        <v>1016.83</v>
      </c>
      <c r="E191">
        <v>1016.78</v>
      </c>
      <c r="F191">
        <v>1016.73</v>
      </c>
      <c r="G191">
        <v>1016.69</v>
      </c>
      <c r="H191">
        <v>1016.64</v>
      </c>
      <c r="I191">
        <v>1016.6</v>
      </c>
      <c r="J191">
        <v>1016.55</v>
      </c>
      <c r="K191">
        <v>1016.51</v>
      </c>
      <c r="L191">
        <v>1016.46</v>
      </c>
    </row>
    <row r="192" spans="1:12" ht="14.25" customHeight="1" x14ac:dyDescent="0.2">
      <c r="A192">
        <v>935</v>
      </c>
      <c r="B192">
        <v>1016.99</v>
      </c>
      <c r="C192">
        <v>1016.95</v>
      </c>
      <c r="D192">
        <v>1016.9</v>
      </c>
      <c r="E192">
        <v>1016.86</v>
      </c>
      <c r="F192">
        <v>1016.81</v>
      </c>
      <c r="G192">
        <v>1016.77</v>
      </c>
      <c r="H192">
        <v>1016.72</v>
      </c>
      <c r="I192">
        <v>1016.67</v>
      </c>
      <c r="J192">
        <v>1016.63</v>
      </c>
      <c r="K192">
        <v>1016.58</v>
      </c>
      <c r="L192">
        <v>1016.54</v>
      </c>
    </row>
    <row r="193" spans="1:12" ht="14.25" customHeight="1" x14ac:dyDescent="0.2">
      <c r="A193">
        <v>940</v>
      </c>
      <c r="B193">
        <v>1017.07</v>
      </c>
      <c r="C193">
        <v>1017.02</v>
      </c>
      <c r="D193">
        <v>1016.98</v>
      </c>
      <c r="E193">
        <v>1016.93</v>
      </c>
      <c r="F193">
        <v>1016.89</v>
      </c>
      <c r="G193">
        <v>1016.84</v>
      </c>
      <c r="H193">
        <v>1016.8</v>
      </c>
      <c r="I193">
        <v>1016.75</v>
      </c>
      <c r="J193">
        <v>1016.7</v>
      </c>
      <c r="K193">
        <v>1016.66</v>
      </c>
      <c r="L193">
        <v>1016.61</v>
      </c>
    </row>
    <row r="194" spans="1:12" ht="14.25" customHeight="1" x14ac:dyDescent="0.2">
      <c r="A194">
        <v>945</v>
      </c>
      <c r="B194">
        <v>1017.15</v>
      </c>
      <c r="C194">
        <v>1017.1</v>
      </c>
      <c r="D194">
        <v>1017.05</v>
      </c>
      <c r="E194">
        <v>1017.01</v>
      </c>
      <c r="F194">
        <v>1016.96</v>
      </c>
      <c r="G194">
        <v>1016.92</v>
      </c>
      <c r="H194">
        <v>1016.87</v>
      </c>
      <c r="I194">
        <v>1016.83</v>
      </c>
      <c r="J194">
        <v>1016.78</v>
      </c>
      <c r="K194">
        <v>1016.74</v>
      </c>
      <c r="L194">
        <v>1016.69</v>
      </c>
    </row>
    <row r="195" spans="1:12" ht="14.25" customHeight="1" x14ac:dyDescent="0.2">
      <c r="A195">
        <v>950</v>
      </c>
      <c r="B195">
        <v>1017.22</v>
      </c>
      <c r="C195">
        <v>1017.18</v>
      </c>
      <c r="D195">
        <v>1017.13</v>
      </c>
      <c r="E195">
        <v>1017.09</v>
      </c>
      <c r="F195">
        <v>1017.04</v>
      </c>
      <c r="G195">
        <v>1016.99</v>
      </c>
      <c r="H195">
        <v>1016.95</v>
      </c>
      <c r="I195">
        <v>1016.9</v>
      </c>
      <c r="J195">
        <v>1016.86</v>
      </c>
      <c r="K195">
        <v>1016.81</v>
      </c>
      <c r="L195">
        <v>1016.77</v>
      </c>
    </row>
    <row r="196" spans="1:12" ht="14.25" customHeight="1" x14ac:dyDescent="0.2">
      <c r="A196">
        <v>955</v>
      </c>
      <c r="B196">
        <v>1017.3</v>
      </c>
      <c r="C196">
        <v>1017.25</v>
      </c>
      <c r="D196">
        <v>1017.21</v>
      </c>
      <c r="E196">
        <v>1017.16</v>
      </c>
      <c r="F196">
        <v>1017.12</v>
      </c>
      <c r="G196">
        <v>1017.07</v>
      </c>
      <c r="H196">
        <v>1017.02</v>
      </c>
      <c r="I196">
        <v>1016.98</v>
      </c>
      <c r="J196">
        <v>1016.93</v>
      </c>
      <c r="K196">
        <v>1016.89</v>
      </c>
      <c r="L196">
        <v>1016.84</v>
      </c>
    </row>
    <row r="197" spans="1:12" ht="14.25" customHeight="1" x14ac:dyDescent="0.2">
      <c r="A197">
        <v>960</v>
      </c>
      <c r="B197">
        <v>1017.37</v>
      </c>
      <c r="C197">
        <v>1017.33</v>
      </c>
      <c r="D197">
        <v>1017.28</v>
      </c>
      <c r="E197">
        <v>1017.24</v>
      </c>
      <c r="F197">
        <v>1017.19</v>
      </c>
      <c r="G197">
        <v>1017.15</v>
      </c>
      <c r="H197">
        <v>1017.1</v>
      </c>
      <c r="I197">
        <v>1017.06</v>
      </c>
      <c r="J197">
        <v>1017.01</v>
      </c>
      <c r="K197">
        <v>1016.96</v>
      </c>
      <c r="L197">
        <v>1016.92</v>
      </c>
    </row>
    <row r="198" spans="1:12" ht="14.25" customHeight="1" x14ac:dyDescent="0.2">
      <c r="A198">
        <v>965</v>
      </c>
      <c r="B198">
        <v>1017.45</v>
      </c>
      <c r="C198">
        <v>1017.4</v>
      </c>
      <c r="D198">
        <v>1017.36</v>
      </c>
      <c r="E198">
        <v>1017.31</v>
      </c>
      <c r="F198">
        <v>1017.27</v>
      </c>
      <c r="G198">
        <v>1017.22</v>
      </c>
      <c r="H198">
        <v>1017.18</v>
      </c>
      <c r="I198">
        <v>1017.13</v>
      </c>
      <c r="J198">
        <v>1017.09</v>
      </c>
      <c r="K198">
        <v>1017.04</v>
      </c>
      <c r="L198">
        <v>1016.99</v>
      </c>
    </row>
    <row r="199" spans="1:12" ht="14.25" customHeight="1" x14ac:dyDescent="0.2">
      <c r="A199">
        <v>970</v>
      </c>
      <c r="B199">
        <v>1017.53</v>
      </c>
      <c r="C199">
        <v>1017.48</v>
      </c>
      <c r="D199">
        <v>1017.44</v>
      </c>
      <c r="E199">
        <v>1017.39</v>
      </c>
      <c r="F199">
        <v>1017.34</v>
      </c>
      <c r="G199">
        <v>1017.3</v>
      </c>
      <c r="H199">
        <v>1017.25</v>
      </c>
      <c r="I199">
        <v>1017.21</v>
      </c>
      <c r="J199">
        <v>1017.16</v>
      </c>
      <c r="K199">
        <v>1017.12</v>
      </c>
      <c r="L199">
        <v>1017.07</v>
      </c>
    </row>
    <row r="200" spans="1:12" ht="14.25" customHeight="1" x14ac:dyDescent="0.2">
      <c r="A200">
        <v>975</v>
      </c>
      <c r="B200">
        <v>1017.6</v>
      </c>
      <c r="C200">
        <v>1017.56</v>
      </c>
      <c r="D200">
        <v>1017.51</v>
      </c>
      <c r="E200">
        <v>1017.47</v>
      </c>
      <c r="F200">
        <v>1017.42</v>
      </c>
      <c r="G200">
        <v>1017.38</v>
      </c>
      <c r="H200">
        <v>1017.33</v>
      </c>
      <c r="I200">
        <v>1017.28</v>
      </c>
      <c r="J200">
        <v>1017.24</v>
      </c>
      <c r="K200">
        <v>1017.19</v>
      </c>
      <c r="L200">
        <v>1017.15</v>
      </c>
    </row>
    <row r="201" spans="1:12" ht="14.25" customHeight="1" x14ac:dyDescent="0.2">
      <c r="A201">
        <v>980</v>
      </c>
      <c r="B201">
        <v>1017.68</v>
      </c>
      <c r="C201">
        <v>1017.63</v>
      </c>
      <c r="D201">
        <v>1017.59</v>
      </c>
      <c r="E201">
        <v>1017.54</v>
      </c>
      <c r="F201">
        <v>1017.5</v>
      </c>
      <c r="G201">
        <v>1017.45</v>
      </c>
      <c r="H201">
        <v>1017.41</v>
      </c>
      <c r="I201">
        <v>1017.36</v>
      </c>
      <c r="J201">
        <v>1017.31</v>
      </c>
      <c r="K201">
        <v>1017.27</v>
      </c>
      <c r="L201">
        <v>1017.22</v>
      </c>
    </row>
    <row r="202" spans="1:12" ht="14.25" customHeight="1" x14ac:dyDescent="0.2">
      <c r="A202">
        <v>985</v>
      </c>
      <c r="B202">
        <v>1017.76</v>
      </c>
      <c r="C202">
        <v>1017.71</v>
      </c>
      <c r="D202">
        <v>1017.66</v>
      </c>
      <c r="E202">
        <v>1017.62</v>
      </c>
      <c r="F202">
        <v>1017.57</v>
      </c>
      <c r="G202">
        <v>1017.53</v>
      </c>
      <c r="H202">
        <v>1017.48</v>
      </c>
      <c r="I202">
        <v>1017.44</v>
      </c>
      <c r="J202">
        <v>1017.39</v>
      </c>
      <c r="K202">
        <v>1017.35</v>
      </c>
      <c r="L202">
        <v>1017.3</v>
      </c>
    </row>
    <row r="203" spans="1:12" ht="14.25" customHeight="1" x14ac:dyDescent="0.2">
      <c r="A203">
        <v>990</v>
      </c>
      <c r="B203">
        <v>1017.83</v>
      </c>
      <c r="C203">
        <v>1017.79</v>
      </c>
      <c r="D203">
        <v>1017.74</v>
      </c>
      <c r="E203">
        <v>1017.7</v>
      </c>
      <c r="F203">
        <v>1017.65</v>
      </c>
      <c r="G203">
        <v>1017.6</v>
      </c>
      <c r="H203">
        <v>1017.56</v>
      </c>
      <c r="I203">
        <v>1017.51</v>
      </c>
      <c r="J203">
        <v>1017.47</v>
      </c>
      <c r="K203">
        <v>1017.42</v>
      </c>
      <c r="L203">
        <v>1017.38</v>
      </c>
    </row>
    <row r="204" spans="1:12" ht="14.25" customHeight="1" x14ac:dyDescent="0.2">
      <c r="A204">
        <v>995</v>
      </c>
      <c r="B204">
        <v>1017.91</v>
      </c>
      <c r="C204">
        <v>1017.86</v>
      </c>
      <c r="D204">
        <v>1017.82</v>
      </c>
      <c r="E204">
        <v>1017.77</v>
      </c>
      <c r="F204">
        <v>1017.73</v>
      </c>
      <c r="G204">
        <v>1017.68</v>
      </c>
      <c r="H204">
        <v>1017.64</v>
      </c>
      <c r="I204">
        <v>1017.59</v>
      </c>
      <c r="J204">
        <v>1017.54</v>
      </c>
      <c r="K204">
        <v>1017.5</v>
      </c>
      <c r="L204">
        <v>1017.45</v>
      </c>
    </row>
    <row r="205" spans="1:12" ht="14.25" customHeight="1" x14ac:dyDescent="0.2">
      <c r="A205">
        <v>1000</v>
      </c>
      <c r="B205">
        <v>1017.98</v>
      </c>
      <c r="C205">
        <v>1017.94</v>
      </c>
      <c r="D205">
        <v>1017.89</v>
      </c>
      <c r="E205">
        <v>1017.85</v>
      </c>
      <c r="F205">
        <v>1017.8</v>
      </c>
      <c r="G205">
        <v>1017.76</v>
      </c>
      <c r="H205">
        <v>1017.71</v>
      </c>
      <c r="I205">
        <v>1017.67</v>
      </c>
      <c r="J205">
        <v>1017.62</v>
      </c>
      <c r="K205">
        <v>1017.57</v>
      </c>
      <c r="L205">
        <v>1017.53</v>
      </c>
    </row>
    <row r="206" spans="1:12" ht="14.25" customHeight="1" x14ac:dyDescent="0.2">
      <c r="A206">
        <v>1005</v>
      </c>
      <c r="B206">
        <v>1018.06</v>
      </c>
      <c r="C206">
        <v>1018.02</v>
      </c>
      <c r="D206">
        <v>1017.97</v>
      </c>
      <c r="E206">
        <v>1017.92</v>
      </c>
      <c r="F206">
        <v>1017.88</v>
      </c>
      <c r="G206">
        <v>1017.83</v>
      </c>
      <c r="H206">
        <v>1017.79</v>
      </c>
      <c r="I206">
        <v>1017.74</v>
      </c>
      <c r="J206">
        <v>1017.7</v>
      </c>
      <c r="K206">
        <v>1017.65</v>
      </c>
      <c r="L206">
        <v>1017.61</v>
      </c>
    </row>
    <row r="207" spans="1:12" ht="14.25" customHeight="1" x14ac:dyDescent="0.2">
      <c r="A207">
        <v>1010</v>
      </c>
      <c r="B207">
        <v>1018.14</v>
      </c>
      <c r="C207">
        <v>1018.09</v>
      </c>
      <c r="D207">
        <v>1018.05</v>
      </c>
      <c r="E207">
        <v>1018</v>
      </c>
      <c r="F207">
        <v>1017.96</v>
      </c>
      <c r="G207">
        <v>1017.91</v>
      </c>
      <c r="H207">
        <v>1017.86</v>
      </c>
      <c r="I207">
        <v>1017.82</v>
      </c>
      <c r="J207">
        <v>1017.77</v>
      </c>
      <c r="K207">
        <v>1017.73</v>
      </c>
      <c r="L207">
        <v>1017.68</v>
      </c>
    </row>
    <row r="208" spans="1:12" ht="14.25" customHeight="1" x14ac:dyDescent="0.2">
      <c r="A208">
        <v>1015</v>
      </c>
      <c r="B208">
        <v>1018.21</v>
      </c>
      <c r="C208">
        <v>1018.17</v>
      </c>
      <c r="D208">
        <v>1018.12</v>
      </c>
      <c r="E208">
        <v>1018.08</v>
      </c>
      <c r="F208">
        <v>1018.03</v>
      </c>
      <c r="G208">
        <v>1017.99</v>
      </c>
      <c r="H208">
        <v>1017.94</v>
      </c>
      <c r="I208">
        <v>1017.89</v>
      </c>
      <c r="J208">
        <v>1017.85</v>
      </c>
      <c r="K208">
        <v>1017.8</v>
      </c>
      <c r="L208">
        <v>1017.76</v>
      </c>
    </row>
    <row r="209" spans="1:12" ht="14.25" customHeight="1" x14ac:dyDescent="0.2">
      <c r="A209">
        <v>1020</v>
      </c>
      <c r="B209">
        <v>1018.29</v>
      </c>
      <c r="C209">
        <v>1018.24</v>
      </c>
      <c r="D209">
        <v>1018.2</v>
      </c>
      <c r="E209">
        <v>1018.15</v>
      </c>
      <c r="F209">
        <v>1018.11</v>
      </c>
      <c r="G209">
        <v>1018.06</v>
      </c>
      <c r="H209">
        <v>1018.02</v>
      </c>
      <c r="I209">
        <v>1017.97</v>
      </c>
      <c r="J209">
        <v>1017.93</v>
      </c>
      <c r="K209">
        <v>1017.88</v>
      </c>
      <c r="L209">
        <v>1017.83</v>
      </c>
    </row>
    <row r="210" spans="1:12" ht="14.25" customHeight="1" x14ac:dyDescent="0.2">
      <c r="A210">
        <v>1025</v>
      </c>
      <c r="B210">
        <v>1018.37</v>
      </c>
      <c r="C210">
        <v>1018.32</v>
      </c>
      <c r="D210">
        <v>1018.27</v>
      </c>
      <c r="E210">
        <v>1018.23</v>
      </c>
      <c r="F210">
        <v>1018.18</v>
      </c>
      <c r="G210">
        <v>1018.14</v>
      </c>
      <c r="H210">
        <v>1018.09</v>
      </c>
      <c r="I210">
        <v>1018.05</v>
      </c>
      <c r="J210">
        <v>1018</v>
      </c>
      <c r="K210">
        <v>1017.96</v>
      </c>
      <c r="L210">
        <v>1017.91</v>
      </c>
    </row>
    <row r="211" spans="1:12" ht="14.25" customHeight="1" x14ac:dyDescent="0.2">
      <c r="A211">
        <v>1030</v>
      </c>
      <c r="B211">
        <v>1018.44</v>
      </c>
      <c r="C211">
        <v>1018.4</v>
      </c>
      <c r="D211">
        <v>1018.35</v>
      </c>
      <c r="E211">
        <v>1018.31</v>
      </c>
      <c r="F211">
        <v>1018.26</v>
      </c>
      <c r="G211">
        <v>1018.21</v>
      </c>
      <c r="H211">
        <v>1018.17</v>
      </c>
      <c r="I211">
        <v>1018.12</v>
      </c>
      <c r="J211">
        <v>1018.08</v>
      </c>
      <c r="K211">
        <v>1018.03</v>
      </c>
      <c r="L211">
        <v>1017.99</v>
      </c>
    </row>
    <row r="212" spans="1:12" ht="14.25" customHeight="1" x14ac:dyDescent="0.2">
      <c r="A212">
        <v>1035</v>
      </c>
      <c r="B212">
        <v>1018.52</v>
      </c>
      <c r="C212">
        <v>1018.47</v>
      </c>
      <c r="D212">
        <v>1018.43</v>
      </c>
      <c r="E212">
        <v>1018.38</v>
      </c>
      <c r="F212">
        <v>1018.34</v>
      </c>
      <c r="G212">
        <v>1018.29</v>
      </c>
      <c r="H212">
        <v>1018.25</v>
      </c>
      <c r="I212">
        <v>1018.2</v>
      </c>
      <c r="J212">
        <v>1018.15</v>
      </c>
      <c r="K212">
        <v>1018.11</v>
      </c>
      <c r="L212">
        <v>1018.06</v>
      </c>
    </row>
    <row r="213" spans="1:12" ht="14.25" customHeight="1" x14ac:dyDescent="0.2">
      <c r="A213">
        <v>1040</v>
      </c>
      <c r="B213">
        <v>1018.59</v>
      </c>
      <c r="C213">
        <v>1018.55</v>
      </c>
      <c r="D213">
        <v>1018.5</v>
      </c>
      <c r="E213">
        <v>1018.46</v>
      </c>
      <c r="F213">
        <v>1018.41</v>
      </c>
      <c r="G213">
        <v>1018.37</v>
      </c>
      <c r="H213">
        <v>1018.32</v>
      </c>
      <c r="I213">
        <v>1018.28</v>
      </c>
      <c r="J213">
        <v>1018.23</v>
      </c>
      <c r="K213">
        <v>1018.18</v>
      </c>
      <c r="L213">
        <v>1018.14</v>
      </c>
    </row>
    <row r="214" spans="1:12" ht="14.25" customHeight="1" x14ac:dyDescent="0.2">
      <c r="A214">
        <v>1045</v>
      </c>
      <c r="B214">
        <v>1018.67</v>
      </c>
      <c r="C214">
        <v>1018.63</v>
      </c>
      <c r="D214">
        <v>1018.58</v>
      </c>
      <c r="E214">
        <v>1018.53</v>
      </c>
      <c r="F214">
        <v>1018.49</v>
      </c>
      <c r="G214">
        <v>1018.44</v>
      </c>
      <c r="H214">
        <v>1018.4</v>
      </c>
      <c r="I214">
        <v>1018.35</v>
      </c>
      <c r="J214">
        <v>1018.31</v>
      </c>
      <c r="K214">
        <v>1018.26</v>
      </c>
      <c r="L214">
        <v>1018.22</v>
      </c>
    </row>
    <row r="215" spans="1:12" ht="14.25" customHeight="1" x14ac:dyDescent="0.2">
      <c r="A215">
        <v>1050</v>
      </c>
      <c r="B215">
        <v>1018.75</v>
      </c>
      <c r="C215">
        <v>1018.7</v>
      </c>
      <c r="D215">
        <v>1018.66</v>
      </c>
      <c r="E215">
        <v>1018.61</v>
      </c>
      <c r="F215">
        <v>1018.57</v>
      </c>
      <c r="G215">
        <v>1018.52</v>
      </c>
      <c r="H215">
        <v>1018.47</v>
      </c>
      <c r="I215">
        <v>1018.43</v>
      </c>
      <c r="J215">
        <v>1018.38</v>
      </c>
      <c r="K215">
        <v>1018.34</v>
      </c>
      <c r="L215">
        <v>1018.29</v>
      </c>
    </row>
    <row r="216" spans="1:12" ht="14.25" customHeight="1" x14ac:dyDescent="0.2">
      <c r="A216">
        <v>1055</v>
      </c>
      <c r="B216">
        <v>1018.82</v>
      </c>
      <c r="C216">
        <v>1018.78</v>
      </c>
      <c r="D216">
        <v>1018.73</v>
      </c>
      <c r="E216">
        <v>1018.69</v>
      </c>
      <c r="F216">
        <v>1018.64</v>
      </c>
      <c r="G216">
        <v>1018.6</v>
      </c>
      <c r="H216">
        <v>1018.55</v>
      </c>
      <c r="I216">
        <v>1018.5</v>
      </c>
      <c r="J216">
        <v>1018.46</v>
      </c>
      <c r="K216">
        <v>1018.41</v>
      </c>
      <c r="L216">
        <v>1018.37</v>
      </c>
    </row>
    <row r="217" spans="1:12" ht="14.25" customHeight="1" x14ac:dyDescent="0.2">
      <c r="A217">
        <v>1060</v>
      </c>
      <c r="B217">
        <v>1018.9</v>
      </c>
      <c r="C217">
        <v>1018.85</v>
      </c>
      <c r="D217">
        <v>1018.81</v>
      </c>
      <c r="E217">
        <v>1018.76</v>
      </c>
      <c r="F217">
        <v>1018.72</v>
      </c>
      <c r="G217">
        <v>1018.67</v>
      </c>
      <c r="H217">
        <v>1018.63</v>
      </c>
      <c r="I217">
        <v>1018.58</v>
      </c>
      <c r="J217">
        <v>1018.54</v>
      </c>
      <c r="K217">
        <v>1018.49</v>
      </c>
      <c r="L217">
        <v>1018.44</v>
      </c>
    </row>
    <row r="218" spans="1:12" ht="14.25" customHeight="1" x14ac:dyDescent="0.2">
      <c r="A218">
        <v>1065</v>
      </c>
      <c r="B218">
        <v>1018.98</v>
      </c>
      <c r="C218">
        <v>1018.93</v>
      </c>
      <c r="D218">
        <v>1018.89</v>
      </c>
      <c r="E218">
        <v>1018.84</v>
      </c>
      <c r="F218">
        <v>1018.79</v>
      </c>
      <c r="G218">
        <v>1018.75</v>
      </c>
      <c r="H218">
        <v>1018.7</v>
      </c>
      <c r="I218">
        <v>1018.66</v>
      </c>
      <c r="J218">
        <v>1018.61</v>
      </c>
      <c r="K218">
        <v>1018.57</v>
      </c>
      <c r="L218">
        <v>1018.52</v>
      </c>
    </row>
    <row r="219" spans="1:12" ht="14.25" customHeight="1" x14ac:dyDescent="0.2">
      <c r="A219">
        <v>1070</v>
      </c>
      <c r="B219">
        <v>1019.05</v>
      </c>
      <c r="C219">
        <v>1019.01</v>
      </c>
      <c r="D219">
        <v>1018.96</v>
      </c>
      <c r="E219">
        <v>1018.92</v>
      </c>
      <c r="F219">
        <v>1018.87</v>
      </c>
      <c r="G219">
        <v>1018.83</v>
      </c>
      <c r="H219">
        <v>1018.78</v>
      </c>
      <c r="I219">
        <v>1018.73</v>
      </c>
      <c r="J219">
        <v>1018.69</v>
      </c>
      <c r="K219">
        <v>1018.64</v>
      </c>
      <c r="L219">
        <v>1018.6</v>
      </c>
    </row>
    <row r="220" spans="1:12" ht="14.25" customHeight="1" x14ac:dyDescent="0.2">
      <c r="A220">
        <v>1075</v>
      </c>
      <c r="B220">
        <v>1019.13</v>
      </c>
      <c r="C220">
        <v>1019.08</v>
      </c>
      <c r="D220">
        <v>1019.04</v>
      </c>
      <c r="E220">
        <v>1018.99</v>
      </c>
      <c r="F220">
        <v>1018.95</v>
      </c>
      <c r="G220">
        <v>1018.9</v>
      </c>
      <c r="H220">
        <v>1018.86</v>
      </c>
      <c r="I220">
        <v>1018.81</v>
      </c>
      <c r="J220">
        <v>1018.76</v>
      </c>
      <c r="K220">
        <v>1018.72</v>
      </c>
      <c r="L220">
        <v>1018.67</v>
      </c>
    </row>
    <row r="221" spans="1:12" ht="14.25" customHeight="1" x14ac:dyDescent="0.2">
      <c r="A221">
        <v>1080</v>
      </c>
      <c r="B221">
        <v>1019.21</v>
      </c>
      <c r="C221">
        <v>1019.16</v>
      </c>
      <c r="D221">
        <v>1019.11</v>
      </c>
      <c r="E221">
        <v>1019.07</v>
      </c>
      <c r="F221">
        <v>1019.02</v>
      </c>
      <c r="G221">
        <v>1018.98</v>
      </c>
      <c r="H221">
        <v>1018.93</v>
      </c>
      <c r="I221">
        <v>1018.89</v>
      </c>
      <c r="J221">
        <v>1018.84</v>
      </c>
      <c r="K221">
        <v>1018.8</v>
      </c>
      <c r="L221">
        <v>1018.75</v>
      </c>
    </row>
    <row r="222" spans="1:12" ht="14.25" customHeight="1" x14ac:dyDescent="0.2">
      <c r="A222">
        <v>1085</v>
      </c>
      <c r="B222">
        <v>1019.28</v>
      </c>
      <c r="C222">
        <v>1019.24</v>
      </c>
      <c r="D222">
        <v>1019.19</v>
      </c>
      <c r="E222">
        <v>1019.14</v>
      </c>
      <c r="F222">
        <v>1019.1</v>
      </c>
      <c r="G222">
        <v>1019.05</v>
      </c>
      <c r="H222">
        <v>1019.01</v>
      </c>
      <c r="I222">
        <v>1018.96</v>
      </c>
      <c r="J222">
        <v>1018.92</v>
      </c>
      <c r="K222">
        <v>1018.87</v>
      </c>
      <c r="L222">
        <v>1018.83</v>
      </c>
    </row>
    <row r="223" spans="1:12" ht="14.25" customHeight="1" x14ac:dyDescent="0.2">
      <c r="A223">
        <v>1090</v>
      </c>
      <c r="B223">
        <v>1019.36</v>
      </c>
      <c r="C223">
        <v>1019.31</v>
      </c>
      <c r="D223">
        <v>1019.27</v>
      </c>
      <c r="E223">
        <v>1019.22</v>
      </c>
      <c r="F223">
        <v>1019.18</v>
      </c>
      <c r="G223">
        <v>1019.13</v>
      </c>
      <c r="H223">
        <v>1019.08</v>
      </c>
      <c r="I223">
        <v>1019.04</v>
      </c>
      <c r="J223">
        <v>1018.99</v>
      </c>
      <c r="K223">
        <v>1018.95</v>
      </c>
      <c r="L223">
        <v>1018.9</v>
      </c>
    </row>
    <row r="224" spans="1:12" ht="14.25" customHeight="1" x14ac:dyDescent="0.2">
      <c r="A224">
        <v>1095</v>
      </c>
      <c r="B224">
        <v>1019.43</v>
      </c>
      <c r="C224">
        <v>1019.39</v>
      </c>
      <c r="D224">
        <v>1019.34</v>
      </c>
      <c r="E224">
        <v>1019.3</v>
      </c>
      <c r="F224">
        <v>1019.25</v>
      </c>
      <c r="G224">
        <v>1019.21</v>
      </c>
      <c r="H224">
        <v>1019.16</v>
      </c>
      <c r="I224">
        <v>1019.12</v>
      </c>
      <c r="J224">
        <v>1019.07</v>
      </c>
      <c r="K224">
        <v>1019.02</v>
      </c>
      <c r="L224">
        <v>1018.98</v>
      </c>
    </row>
    <row r="225" spans="1:12" ht="14.25" customHeight="1" x14ac:dyDescent="0.2">
      <c r="A225">
        <v>1100</v>
      </c>
      <c r="B225">
        <v>1019.51</v>
      </c>
      <c r="C225">
        <v>1019.46</v>
      </c>
      <c r="D225">
        <v>1019.42</v>
      </c>
      <c r="E225">
        <v>1019.37</v>
      </c>
      <c r="F225">
        <v>1019.33</v>
      </c>
      <c r="G225">
        <v>1019.28</v>
      </c>
      <c r="H225">
        <v>1019.24</v>
      </c>
      <c r="I225">
        <v>1019.19</v>
      </c>
      <c r="J225">
        <v>1019.15</v>
      </c>
      <c r="K225">
        <v>1019.1</v>
      </c>
      <c r="L225">
        <v>1019.05</v>
      </c>
    </row>
    <row r="226" spans="1:12" ht="14.25" customHeight="1" x14ac:dyDescent="0.2">
      <c r="A226">
        <v>1105</v>
      </c>
      <c r="B226">
        <v>1019.59</v>
      </c>
      <c r="C226">
        <v>1019.54</v>
      </c>
      <c r="D226">
        <v>1019.5</v>
      </c>
      <c r="E226">
        <v>1019.45</v>
      </c>
      <c r="F226">
        <v>1019.4</v>
      </c>
      <c r="G226">
        <v>1019.36</v>
      </c>
      <c r="H226">
        <v>1019.31</v>
      </c>
      <c r="I226">
        <v>1019.27</v>
      </c>
      <c r="J226">
        <v>1019.22</v>
      </c>
      <c r="K226">
        <v>1019.18</v>
      </c>
      <c r="L226">
        <v>1019.13</v>
      </c>
    </row>
    <row r="227" spans="1:12" ht="14.25" customHeight="1" x14ac:dyDescent="0.2">
      <c r="A227">
        <v>1110</v>
      </c>
      <c r="B227">
        <v>1019.66</v>
      </c>
      <c r="C227">
        <v>1019.62</v>
      </c>
      <c r="D227">
        <v>1019.57</v>
      </c>
      <c r="E227">
        <v>1019.53</v>
      </c>
      <c r="F227">
        <v>1019.48</v>
      </c>
      <c r="G227">
        <v>1019.44</v>
      </c>
      <c r="H227">
        <v>1019.39</v>
      </c>
      <c r="I227">
        <v>1019.34</v>
      </c>
      <c r="J227">
        <v>1019.3</v>
      </c>
      <c r="K227">
        <v>1019.25</v>
      </c>
      <c r="L227">
        <v>1019.21</v>
      </c>
    </row>
    <row r="228" spans="1:12" ht="14.25" customHeight="1" x14ac:dyDescent="0.2">
      <c r="A228">
        <v>1115</v>
      </c>
      <c r="B228">
        <v>1019.74</v>
      </c>
      <c r="C228">
        <v>1019.69</v>
      </c>
      <c r="D228">
        <v>1019.65</v>
      </c>
      <c r="E228">
        <v>1019.6</v>
      </c>
      <c r="F228">
        <v>1019.56</v>
      </c>
      <c r="G228">
        <v>1019.51</v>
      </c>
      <c r="H228">
        <v>1019.47</v>
      </c>
      <c r="I228">
        <v>1019.42</v>
      </c>
      <c r="J228">
        <v>1019.37</v>
      </c>
      <c r="K228">
        <v>1019.33</v>
      </c>
      <c r="L228">
        <v>1019.28</v>
      </c>
    </row>
    <row r="229" spans="1:12" ht="14.25" customHeight="1" x14ac:dyDescent="0.2">
      <c r="A229">
        <v>1120</v>
      </c>
      <c r="B229">
        <v>1019.82</v>
      </c>
      <c r="C229">
        <v>1019.77</v>
      </c>
      <c r="D229">
        <v>1019.72</v>
      </c>
      <c r="E229">
        <v>1019.68</v>
      </c>
      <c r="F229">
        <v>1019.63</v>
      </c>
      <c r="G229">
        <v>1019.59</v>
      </c>
      <c r="H229">
        <v>1019.54</v>
      </c>
      <c r="I229">
        <v>1019.5</v>
      </c>
      <c r="J229">
        <v>1019.45</v>
      </c>
      <c r="K229">
        <v>1019.41</v>
      </c>
      <c r="L229">
        <v>1019.36</v>
      </c>
    </row>
    <row r="230" spans="1:12" ht="14.25" customHeight="1" x14ac:dyDescent="0.2">
      <c r="A230">
        <v>1125</v>
      </c>
      <c r="B230">
        <v>1019.89</v>
      </c>
      <c r="C230">
        <v>1019.85</v>
      </c>
      <c r="D230">
        <v>1019.8</v>
      </c>
      <c r="E230">
        <v>1019.76</v>
      </c>
      <c r="F230">
        <v>1019.71</v>
      </c>
      <c r="G230">
        <v>1019.66</v>
      </c>
      <c r="H230">
        <v>1019.62</v>
      </c>
      <c r="I230">
        <v>1019.57</v>
      </c>
      <c r="J230">
        <v>1019.53</v>
      </c>
      <c r="K230">
        <v>1019.48</v>
      </c>
      <c r="L230">
        <v>1019.44</v>
      </c>
    </row>
    <row r="231" spans="1:12" ht="14.25" customHeight="1" x14ac:dyDescent="0.2">
      <c r="A231">
        <v>1130</v>
      </c>
      <c r="B231">
        <v>1019.97</v>
      </c>
      <c r="C231">
        <v>1019.92</v>
      </c>
      <c r="D231">
        <v>1019.88</v>
      </c>
      <c r="E231">
        <v>1019.83</v>
      </c>
      <c r="F231">
        <v>1019.79</v>
      </c>
      <c r="G231">
        <v>1019.74</v>
      </c>
      <c r="H231">
        <v>1019.69</v>
      </c>
      <c r="I231">
        <v>1019.65</v>
      </c>
      <c r="J231">
        <v>1019.6</v>
      </c>
      <c r="K231">
        <v>1019.56</v>
      </c>
      <c r="L231">
        <v>1019.51</v>
      </c>
    </row>
    <row r="232" spans="1:12" ht="14.25" customHeight="1" x14ac:dyDescent="0.2">
      <c r="A232">
        <v>1135</v>
      </c>
      <c r="B232">
        <v>1020.04</v>
      </c>
      <c r="C232">
        <v>1020</v>
      </c>
      <c r="D232">
        <v>1019.95</v>
      </c>
      <c r="E232">
        <v>1019.91</v>
      </c>
      <c r="F232">
        <v>1019.86</v>
      </c>
      <c r="G232">
        <v>1019.82</v>
      </c>
      <c r="H232">
        <v>1019.77</v>
      </c>
      <c r="I232">
        <v>1019.73</v>
      </c>
      <c r="J232">
        <v>1019.68</v>
      </c>
      <c r="K232">
        <v>1019.63</v>
      </c>
      <c r="L232">
        <v>1019.59</v>
      </c>
    </row>
    <row r="233" spans="1:12" ht="14.25" customHeight="1" x14ac:dyDescent="0.2">
      <c r="A233">
        <v>1140</v>
      </c>
      <c r="B233">
        <v>1020.12</v>
      </c>
      <c r="C233">
        <v>1020.08</v>
      </c>
      <c r="D233">
        <v>1020.03</v>
      </c>
      <c r="E233">
        <v>1019.98</v>
      </c>
      <c r="F233">
        <v>1019.94</v>
      </c>
      <c r="G233">
        <v>1019.89</v>
      </c>
      <c r="H233">
        <v>1019.85</v>
      </c>
      <c r="I233">
        <v>1019.8</v>
      </c>
      <c r="J233">
        <v>1019.76</v>
      </c>
      <c r="K233">
        <v>1019.71</v>
      </c>
      <c r="L233">
        <v>1019.67</v>
      </c>
    </row>
    <row r="234" spans="1:12" ht="14.25" customHeight="1" x14ac:dyDescent="0.2">
      <c r="A234">
        <v>1145</v>
      </c>
      <c r="B234">
        <v>1020.2</v>
      </c>
      <c r="C234">
        <v>1020.15</v>
      </c>
      <c r="D234">
        <v>1020.11</v>
      </c>
      <c r="E234">
        <v>1020.06</v>
      </c>
      <c r="F234">
        <v>1020.01</v>
      </c>
      <c r="G234">
        <v>1019.97</v>
      </c>
      <c r="H234">
        <v>1019.92</v>
      </c>
      <c r="I234">
        <v>1019.88</v>
      </c>
      <c r="J234">
        <v>1019.83</v>
      </c>
      <c r="K234">
        <v>1019.79</v>
      </c>
      <c r="L234">
        <v>1019.74</v>
      </c>
    </row>
    <row r="235" spans="1:12" ht="14.25" customHeight="1" x14ac:dyDescent="0.2">
      <c r="A235">
        <v>1150</v>
      </c>
      <c r="B235">
        <v>1020.27</v>
      </c>
      <c r="C235">
        <v>1020.23</v>
      </c>
      <c r="D235">
        <v>1020.18</v>
      </c>
      <c r="E235">
        <v>1020.14</v>
      </c>
      <c r="F235">
        <v>1020.09</v>
      </c>
      <c r="G235">
        <v>1020.05</v>
      </c>
      <c r="H235">
        <v>1020</v>
      </c>
      <c r="I235">
        <v>1019.95</v>
      </c>
      <c r="J235">
        <v>1019.91</v>
      </c>
      <c r="K235">
        <v>1019.86</v>
      </c>
      <c r="L235">
        <v>1019.82</v>
      </c>
    </row>
    <row r="236" spans="1:12" ht="14.25" customHeight="1" x14ac:dyDescent="0.2">
      <c r="A236">
        <v>1155</v>
      </c>
      <c r="B236">
        <v>1020.35</v>
      </c>
      <c r="C236">
        <v>1020.3</v>
      </c>
      <c r="D236">
        <v>1020.26</v>
      </c>
      <c r="E236">
        <v>1020.21</v>
      </c>
      <c r="F236">
        <v>1020.17</v>
      </c>
      <c r="G236">
        <v>1020.12</v>
      </c>
      <c r="H236">
        <v>1020.08</v>
      </c>
      <c r="I236">
        <v>1020.03</v>
      </c>
      <c r="J236">
        <v>1019.99</v>
      </c>
      <c r="K236">
        <v>1019.94</v>
      </c>
      <c r="L236">
        <v>1019.89</v>
      </c>
    </row>
    <row r="237" spans="1:12" ht="14.25" customHeight="1" x14ac:dyDescent="0.2">
      <c r="A237">
        <v>1160</v>
      </c>
      <c r="B237">
        <v>1020.43</v>
      </c>
      <c r="C237">
        <v>1020.38</v>
      </c>
      <c r="D237">
        <v>1020.33</v>
      </c>
      <c r="E237">
        <v>1020.29</v>
      </c>
      <c r="F237">
        <v>1020.24</v>
      </c>
      <c r="G237">
        <v>1020.2</v>
      </c>
      <c r="H237">
        <v>1020.15</v>
      </c>
      <c r="I237">
        <v>1020.11</v>
      </c>
      <c r="J237">
        <v>1020.06</v>
      </c>
      <c r="K237">
        <v>1020.02</v>
      </c>
      <c r="L237">
        <v>1019.97</v>
      </c>
    </row>
    <row r="238" spans="1:12" ht="14.25" customHeight="1" x14ac:dyDescent="0.2">
      <c r="A238">
        <v>1165</v>
      </c>
      <c r="B238">
        <v>1020.5</v>
      </c>
      <c r="C238">
        <v>1020.46</v>
      </c>
      <c r="D238">
        <v>1020.41</v>
      </c>
      <c r="E238">
        <v>1020.37</v>
      </c>
      <c r="F238">
        <v>1020.32</v>
      </c>
      <c r="G238">
        <v>1020.27</v>
      </c>
      <c r="H238">
        <v>1020.23</v>
      </c>
      <c r="I238">
        <v>1020.18</v>
      </c>
      <c r="J238">
        <v>1020.14</v>
      </c>
      <c r="K238">
        <v>1020.09</v>
      </c>
      <c r="L238">
        <v>1020.05</v>
      </c>
    </row>
    <row r="239" spans="1:12" ht="14.25" customHeight="1" x14ac:dyDescent="0.2">
      <c r="A239">
        <v>1170</v>
      </c>
      <c r="B239">
        <v>1020.58</v>
      </c>
      <c r="C239">
        <v>1020.53</v>
      </c>
      <c r="D239">
        <v>1020.49</v>
      </c>
      <c r="E239">
        <v>1020.44</v>
      </c>
      <c r="F239">
        <v>1020.4</v>
      </c>
      <c r="G239">
        <v>1020.35</v>
      </c>
      <c r="H239">
        <v>1020.31</v>
      </c>
      <c r="I239">
        <v>1020.26</v>
      </c>
      <c r="J239">
        <v>1020.21</v>
      </c>
      <c r="K239">
        <v>1020.17</v>
      </c>
      <c r="L239">
        <v>1020.12</v>
      </c>
    </row>
    <row r="240" spans="1:12" ht="14.25" customHeight="1" x14ac:dyDescent="0.2">
      <c r="A240">
        <v>1175</v>
      </c>
      <c r="B240">
        <v>1020.65</v>
      </c>
      <c r="C240">
        <v>1020.61</v>
      </c>
      <c r="D240">
        <v>1020.56</v>
      </c>
      <c r="E240">
        <v>1020.52</v>
      </c>
      <c r="F240">
        <v>1020.47</v>
      </c>
      <c r="G240">
        <v>1020.43</v>
      </c>
      <c r="H240">
        <v>1020.38</v>
      </c>
      <c r="I240">
        <v>1020.34</v>
      </c>
      <c r="J240">
        <v>1020.29</v>
      </c>
      <c r="K240">
        <v>1020.24</v>
      </c>
      <c r="L240">
        <v>1020.2</v>
      </c>
    </row>
    <row r="241" spans="1:12" ht="14.25" customHeight="1" x14ac:dyDescent="0.2">
      <c r="A241">
        <v>1180</v>
      </c>
      <c r="B241">
        <v>1020.73</v>
      </c>
      <c r="C241">
        <v>1020.69</v>
      </c>
      <c r="D241">
        <v>1020.64</v>
      </c>
      <c r="E241">
        <v>1020.59</v>
      </c>
      <c r="F241">
        <v>1020.55</v>
      </c>
      <c r="G241">
        <v>1020.5</v>
      </c>
      <c r="H241">
        <v>1020.46</v>
      </c>
      <c r="I241">
        <v>1020.41</v>
      </c>
      <c r="J241">
        <v>1020.37</v>
      </c>
      <c r="K241">
        <v>1020.32</v>
      </c>
      <c r="L241">
        <v>1020.28</v>
      </c>
    </row>
    <row r="242" spans="1:12" ht="14.25" customHeight="1" x14ac:dyDescent="0.2">
      <c r="A242">
        <v>1185</v>
      </c>
      <c r="B242">
        <v>1020.81</v>
      </c>
      <c r="C242">
        <v>1020.76</v>
      </c>
      <c r="D242">
        <v>1020.72</v>
      </c>
      <c r="E242">
        <v>1020.67</v>
      </c>
      <c r="F242">
        <v>1020.63</v>
      </c>
      <c r="G242">
        <v>1020.58</v>
      </c>
      <c r="H242">
        <v>1020.53</v>
      </c>
      <c r="I242">
        <v>1020.49</v>
      </c>
      <c r="J242">
        <v>1020.44</v>
      </c>
      <c r="K242">
        <v>1020.4</v>
      </c>
      <c r="L242">
        <v>1020.35</v>
      </c>
    </row>
    <row r="243" spans="1:12" ht="14.25" customHeight="1" x14ac:dyDescent="0.2">
      <c r="A243">
        <v>1190</v>
      </c>
      <c r="B243">
        <v>1020.88</v>
      </c>
      <c r="C243">
        <v>1020.84</v>
      </c>
      <c r="D243">
        <v>1020.79</v>
      </c>
      <c r="E243">
        <v>1020.75</v>
      </c>
      <c r="F243">
        <v>1020.7</v>
      </c>
      <c r="G243">
        <v>1020.66</v>
      </c>
      <c r="H243">
        <v>1020.61</v>
      </c>
      <c r="I243">
        <v>1020.56</v>
      </c>
      <c r="J243">
        <v>1020.52</v>
      </c>
      <c r="K243">
        <v>1020.47</v>
      </c>
      <c r="L243">
        <v>1020.43</v>
      </c>
    </row>
    <row r="244" spans="1:12" ht="14.25" customHeight="1" x14ac:dyDescent="0.2">
      <c r="A244">
        <v>1195</v>
      </c>
      <c r="B244">
        <v>1020.96</v>
      </c>
      <c r="C244">
        <v>1020.91</v>
      </c>
      <c r="D244">
        <v>1020.87</v>
      </c>
      <c r="E244">
        <v>1020.82</v>
      </c>
      <c r="F244">
        <v>1020.78</v>
      </c>
      <c r="G244">
        <v>1020.73</v>
      </c>
      <c r="H244">
        <v>1020.69</v>
      </c>
      <c r="I244">
        <v>1020.64</v>
      </c>
      <c r="J244">
        <v>1020.6</v>
      </c>
      <c r="K244">
        <v>1020.55</v>
      </c>
      <c r="L244">
        <v>1020.5</v>
      </c>
    </row>
    <row r="245" spans="1:12" ht="14.25" customHeight="1" x14ac:dyDescent="0.2">
      <c r="A245">
        <v>1200</v>
      </c>
      <c r="B245">
        <v>1021.04</v>
      </c>
      <c r="C245">
        <v>1020.99</v>
      </c>
      <c r="D245">
        <v>1020.95</v>
      </c>
      <c r="E245">
        <v>1020.9</v>
      </c>
      <c r="F245">
        <v>1020.85</v>
      </c>
      <c r="G245">
        <v>1020.81</v>
      </c>
      <c r="H245">
        <v>1020.76</v>
      </c>
      <c r="I245">
        <v>1020.72</v>
      </c>
      <c r="J245">
        <v>1020.67</v>
      </c>
      <c r="K245">
        <v>1020.63</v>
      </c>
      <c r="L245">
        <v>1020.58</v>
      </c>
    </row>
    <row r="246" spans="1:12" ht="14.25" customHeight="1" x14ac:dyDescent="0.2">
      <c r="A246">
        <v>1205</v>
      </c>
      <c r="B246">
        <v>1021.11</v>
      </c>
      <c r="C246">
        <v>1021.07</v>
      </c>
      <c r="D246">
        <v>1021.02</v>
      </c>
      <c r="E246">
        <v>1020.98</v>
      </c>
      <c r="F246">
        <v>1020.93</v>
      </c>
      <c r="G246">
        <v>1020.88</v>
      </c>
      <c r="H246">
        <v>1020.84</v>
      </c>
      <c r="I246">
        <v>1020.79</v>
      </c>
      <c r="J246">
        <v>1020.75</v>
      </c>
      <c r="K246">
        <v>1020.7</v>
      </c>
      <c r="L246">
        <v>1020.66</v>
      </c>
    </row>
    <row r="247" spans="1:12" ht="14.25" customHeight="1" x14ac:dyDescent="0.2">
      <c r="A247">
        <v>1210</v>
      </c>
      <c r="B247">
        <v>1021.19</v>
      </c>
      <c r="C247">
        <v>1021.14</v>
      </c>
      <c r="D247">
        <v>1021.1</v>
      </c>
      <c r="E247">
        <v>1021.05</v>
      </c>
      <c r="F247">
        <v>1021.01</v>
      </c>
      <c r="G247">
        <v>1020.96</v>
      </c>
      <c r="H247">
        <v>1020.92</v>
      </c>
      <c r="I247">
        <v>1020.87</v>
      </c>
      <c r="J247">
        <v>1020.82</v>
      </c>
      <c r="K247">
        <v>1020.78</v>
      </c>
      <c r="L247">
        <v>1020.73</v>
      </c>
    </row>
    <row r="248" spans="1:12" ht="14.25" customHeight="1" x14ac:dyDescent="0.2">
      <c r="A248">
        <v>1215</v>
      </c>
      <c r="B248">
        <v>1021.27</v>
      </c>
      <c r="C248">
        <v>1021.22</v>
      </c>
      <c r="D248">
        <v>1021.17</v>
      </c>
      <c r="E248">
        <v>1021.13</v>
      </c>
      <c r="F248">
        <v>1021.08</v>
      </c>
      <c r="G248">
        <v>1021.04</v>
      </c>
      <c r="H248">
        <v>1020.99</v>
      </c>
      <c r="I248">
        <v>1020.95</v>
      </c>
      <c r="J248">
        <v>1020.9</v>
      </c>
      <c r="K248">
        <v>1020.85</v>
      </c>
      <c r="L248">
        <v>1020.81</v>
      </c>
    </row>
    <row r="249" spans="1:12" ht="14.25" customHeight="1" x14ac:dyDescent="0.2">
      <c r="A249">
        <v>1220</v>
      </c>
      <c r="B249">
        <v>1021.34</v>
      </c>
      <c r="C249">
        <v>1021.3</v>
      </c>
      <c r="D249">
        <v>1021.25</v>
      </c>
      <c r="E249">
        <v>1021.2</v>
      </c>
      <c r="F249">
        <v>1021.16</v>
      </c>
      <c r="G249">
        <v>1021.11</v>
      </c>
      <c r="H249">
        <v>1021.07</v>
      </c>
      <c r="I249">
        <v>1021.02</v>
      </c>
      <c r="J249">
        <v>1020.98</v>
      </c>
      <c r="K249">
        <v>1020.93</v>
      </c>
      <c r="L249">
        <v>1020.89</v>
      </c>
    </row>
    <row r="250" spans="1:12" ht="14.25" customHeight="1" x14ac:dyDescent="0.2">
      <c r="A250">
        <v>1225</v>
      </c>
      <c r="B250">
        <v>1021.42</v>
      </c>
      <c r="C250">
        <v>1021.37</v>
      </c>
      <c r="D250">
        <v>1021.33</v>
      </c>
      <c r="E250">
        <v>1021.28</v>
      </c>
      <c r="F250">
        <v>1021.24</v>
      </c>
      <c r="G250">
        <v>1021.19</v>
      </c>
      <c r="H250">
        <v>1021.14</v>
      </c>
      <c r="I250">
        <v>1021.1</v>
      </c>
      <c r="J250">
        <v>1021.05</v>
      </c>
      <c r="K250">
        <v>1021.01</v>
      </c>
      <c r="L250">
        <v>1020.96</v>
      </c>
    </row>
    <row r="251" spans="1:12" ht="14.25" customHeight="1" x14ac:dyDescent="0.2">
      <c r="A251">
        <v>1230</v>
      </c>
      <c r="B251">
        <v>1021.49</v>
      </c>
      <c r="C251">
        <v>1021.45</v>
      </c>
      <c r="D251">
        <v>1021.4</v>
      </c>
      <c r="E251">
        <v>1021.36</v>
      </c>
      <c r="F251">
        <v>1021.31</v>
      </c>
      <c r="G251">
        <v>1021.27</v>
      </c>
      <c r="H251">
        <v>1021.22</v>
      </c>
      <c r="I251">
        <v>1021.18</v>
      </c>
      <c r="J251">
        <v>1021.13</v>
      </c>
      <c r="K251">
        <v>1021.08</v>
      </c>
      <c r="L251">
        <v>1021.04</v>
      </c>
    </row>
    <row r="252" spans="1:12" ht="14.25" customHeight="1" x14ac:dyDescent="0.2">
      <c r="A252">
        <v>1235</v>
      </c>
      <c r="B252">
        <v>1021.57</v>
      </c>
      <c r="C252">
        <v>1021.52</v>
      </c>
      <c r="D252">
        <v>1021.48</v>
      </c>
      <c r="E252">
        <v>1021.43</v>
      </c>
      <c r="F252">
        <v>1021.39</v>
      </c>
      <c r="G252">
        <v>1021.34</v>
      </c>
      <c r="H252">
        <v>1021.3</v>
      </c>
      <c r="I252">
        <v>1021.25</v>
      </c>
      <c r="J252">
        <v>1021.21</v>
      </c>
      <c r="K252">
        <v>1021.16</v>
      </c>
      <c r="L252">
        <v>1021.11</v>
      </c>
    </row>
    <row r="253" spans="1:12" ht="14.25" customHeight="1" x14ac:dyDescent="0.2">
      <c r="A253">
        <v>1240</v>
      </c>
      <c r="B253">
        <v>1021.65</v>
      </c>
      <c r="C253">
        <v>1021.6</v>
      </c>
      <c r="D253">
        <v>1021.56</v>
      </c>
      <c r="E253">
        <v>1021.51</v>
      </c>
      <c r="F253">
        <v>1021.46</v>
      </c>
      <c r="G253">
        <v>1021.42</v>
      </c>
      <c r="H253">
        <v>1021.37</v>
      </c>
      <c r="I253">
        <v>1021.33</v>
      </c>
      <c r="J253">
        <v>1021.28</v>
      </c>
      <c r="K253">
        <v>1021.24</v>
      </c>
      <c r="L253">
        <v>1021.19</v>
      </c>
    </row>
    <row r="254" spans="1:12" ht="14.25" customHeight="1" x14ac:dyDescent="0.2">
      <c r="A254">
        <v>1245</v>
      </c>
      <c r="B254">
        <v>1021.72</v>
      </c>
      <c r="C254">
        <v>1021.68</v>
      </c>
      <c r="D254">
        <v>1021.63</v>
      </c>
      <c r="E254">
        <v>1021.59</v>
      </c>
      <c r="F254">
        <v>1021.54</v>
      </c>
      <c r="G254">
        <v>1021.5</v>
      </c>
      <c r="H254">
        <v>1021.45</v>
      </c>
      <c r="I254">
        <v>1021.4</v>
      </c>
      <c r="J254">
        <v>1021.36</v>
      </c>
      <c r="K254">
        <v>1021.31</v>
      </c>
      <c r="L254">
        <v>1021.27</v>
      </c>
    </row>
    <row r="255" spans="1:12" ht="14.25" customHeight="1" x14ac:dyDescent="0.2">
      <c r="A255">
        <v>1250</v>
      </c>
      <c r="B255">
        <v>1021.8</v>
      </c>
      <c r="C255">
        <v>1021.75</v>
      </c>
      <c r="D255">
        <v>1021.71</v>
      </c>
      <c r="E255">
        <v>1021.66</v>
      </c>
      <c r="F255">
        <v>1021.62</v>
      </c>
      <c r="G255">
        <v>1021.57</v>
      </c>
      <c r="H255">
        <v>1021.53</v>
      </c>
      <c r="I255">
        <v>1021.48</v>
      </c>
      <c r="J255">
        <v>1021.43</v>
      </c>
      <c r="K255">
        <v>1021.39</v>
      </c>
      <c r="L255">
        <v>1021.34</v>
      </c>
    </row>
    <row r="256" spans="1:12" ht="14.25" customHeight="1" x14ac:dyDescent="0.2">
      <c r="A256">
        <v>1255</v>
      </c>
      <c r="B256">
        <v>1021.88</v>
      </c>
      <c r="C256">
        <v>1021.83</v>
      </c>
      <c r="D256">
        <v>1021.78</v>
      </c>
      <c r="E256">
        <v>1021.74</v>
      </c>
      <c r="F256">
        <v>1021.69</v>
      </c>
      <c r="G256">
        <v>1021.65</v>
      </c>
      <c r="H256">
        <v>1021.6</v>
      </c>
      <c r="I256">
        <v>1021.56</v>
      </c>
      <c r="J256">
        <v>1021.51</v>
      </c>
      <c r="K256">
        <v>1021.47</v>
      </c>
      <c r="L256">
        <v>1021.42</v>
      </c>
    </row>
    <row r="257" spans="1:12" ht="14.25" customHeight="1" x14ac:dyDescent="0.2">
      <c r="A257">
        <v>1260</v>
      </c>
      <c r="B257">
        <v>1021.95</v>
      </c>
      <c r="C257">
        <v>1021.91</v>
      </c>
      <c r="D257">
        <v>1021.86</v>
      </c>
      <c r="E257">
        <v>1021.82</v>
      </c>
      <c r="F257">
        <v>1021.77</v>
      </c>
      <c r="G257">
        <v>1021.72</v>
      </c>
      <c r="H257">
        <v>1021.68</v>
      </c>
      <c r="I257">
        <v>1021.63</v>
      </c>
      <c r="J257">
        <v>1021.59</v>
      </c>
      <c r="K257">
        <v>1021.54</v>
      </c>
      <c r="L257">
        <v>1021.5</v>
      </c>
    </row>
    <row r="258" spans="1:12" ht="14.25" customHeight="1" x14ac:dyDescent="0.2">
      <c r="A258">
        <v>1265</v>
      </c>
      <c r="B258">
        <v>1022.03</v>
      </c>
      <c r="C258">
        <v>1021.98</v>
      </c>
      <c r="D258">
        <v>1021.94</v>
      </c>
      <c r="E258">
        <v>1021.89</v>
      </c>
      <c r="F258">
        <v>1021.85</v>
      </c>
      <c r="G258">
        <v>1021.8</v>
      </c>
      <c r="H258">
        <v>1021.75</v>
      </c>
      <c r="I258">
        <v>1021.71</v>
      </c>
      <c r="J258">
        <v>1021.66</v>
      </c>
      <c r="K258">
        <v>1021.62</v>
      </c>
      <c r="L258">
        <v>1021.57</v>
      </c>
    </row>
    <row r="259" spans="1:12" ht="14.25" customHeight="1" x14ac:dyDescent="0.2">
      <c r="A259">
        <v>1270</v>
      </c>
      <c r="B259">
        <v>1022.1</v>
      </c>
      <c r="C259">
        <v>1022.06</v>
      </c>
      <c r="D259">
        <v>1022.01</v>
      </c>
      <c r="E259">
        <v>1021.97</v>
      </c>
      <c r="F259">
        <v>1021.92</v>
      </c>
      <c r="G259">
        <v>1021.88</v>
      </c>
      <c r="H259">
        <v>1021.83</v>
      </c>
      <c r="I259">
        <v>1021.79</v>
      </c>
      <c r="J259">
        <v>1021.74</v>
      </c>
      <c r="K259">
        <v>1021.69</v>
      </c>
      <c r="L259">
        <v>1021.65</v>
      </c>
    </row>
    <row r="260" spans="1:12" ht="14.25" customHeight="1" x14ac:dyDescent="0.2">
      <c r="A260">
        <v>1275</v>
      </c>
      <c r="B260">
        <v>1022.18</v>
      </c>
      <c r="C260">
        <v>1022.14</v>
      </c>
      <c r="D260">
        <v>1022.09</v>
      </c>
      <c r="E260">
        <v>1022.04</v>
      </c>
      <c r="F260">
        <v>1022</v>
      </c>
      <c r="G260">
        <v>1021.95</v>
      </c>
      <c r="H260">
        <v>1021.91</v>
      </c>
      <c r="I260">
        <v>1021.86</v>
      </c>
      <c r="J260">
        <v>1021.82</v>
      </c>
      <c r="K260">
        <v>1021.77</v>
      </c>
      <c r="L260">
        <v>1021.72</v>
      </c>
    </row>
    <row r="261" spans="1:12" ht="14.25" customHeight="1" x14ac:dyDescent="0.2">
      <c r="A261">
        <v>1280</v>
      </c>
      <c r="B261">
        <v>1022.26</v>
      </c>
      <c r="C261">
        <v>1022.21</v>
      </c>
      <c r="D261">
        <v>1022.17</v>
      </c>
      <c r="E261">
        <v>1022.12</v>
      </c>
      <c r="F261">
        <v>1022.07</v>
      </c>
      <c r="G261">
        <v>1022.03</v>
      </c>
      <c r="H261">
        <v>1021.98</v>
      </c>
      <c r="I261">
        <v>1021.94</v>
      </c>
      <c r="J261">
        <v>1021.89</v>
      </c>
      <c r="K261">
        <v>1021.85</v>
      </c>
      <c r="L261">
        <v>1021.8</v>
      </c>
    </row>
    <row r="262" spans="1:12" ht="14.25" customHeight="1" x14ac:dyDescent="0.2">
      <c r="A262">
        <v>1285</v>
      </c>
      <c r="B262">
        <v>1022.33</v>
      </c>
      <c r="C262">
        <v>1022.29</v>
      </c>
      <c r="D262">
        <v>1022.24</v>
      </c>
      <c r="E262">
        <v>1022.2</v>
      </c>
      <c r="F262">
        <v>1022.15</v>
      </c>
      <c r="G262">
        <v>1022.11</v>
      </c>
      <c r="H262">
        <v>1022.06</v>
      </c>
      <c r="I262">
        <v>1022.01</v>
      </c>
      <c r="J262">
        <v>1021.97</v>
      </c>
      <c r="K262">
        <v>1021.92</v>
      </c>
      <c r="L262">
        <v>1021.88</v>
      </c>
    </row>
    <row r="263" spans="1:12" ht="14.25" customHeight="1" x14ac:dyDescent="0.2">
      <c r="A263">
        <v>1290</v>
      </c>
      <c r="B263">
        <v>1022.41</v>
      </c>
      <c r="C263">
        <v>1022.36</v>
      </c>
      <c r="D263">
        <v>1022.32</v>
      </c>
      <c r="E263">
        <v>1022.27</v>
      </c>
      <c r="F263">
        <v>1022.23</v>
      </c>
      <c r="G263">
        <v>1022.18</v>
      </c>
      <c r="H263">
        <v>1022.14</v>
      </c>
      <c r="I263">
        <v>1022.09</v>
      </c>
      <c r="J263">
        <v>1022.05</v>
      </c>
      <c r="K263">
        <v>1022</v>
      </c>
      <c r="L263">
        <v>1021.95</v>
      </c>
    </row>
    <row r="264" spans="1:12" ht="14.25" customHeight="1" x14ac:dyDescent="0.2">
      <c r="A264">
        <v>1295</v>
      </c>
      <c r="B264">
        <v>1022.49</v>
      </c>
      <c r="C264">
        <v>1022.44</v>
      </c>
      <c r="D264">
        <v>1022.39</v>
      </c>
      <c r="E264">
        <v>1022.35</v>
      </c>
      <c r="F264">
        <v>1022.3</v>
      </c>
      <c r="G264">
        <v>1022.26</v>
      </c>
      <c r="H264">
        <v>1022.21</v>
      </c>
      <c r="I264">
        <v>1022.17</v>
      </c>
      <c r="J264">
        <v>1022.12</v>
      </c>
      <c r="K264">
        <v>1022.08</v>
      </c>
      <c r="L264">
        <v>1022.03</v>
      </c>
    </row>
    <row r="265" spans="1:12" ht="14.25" customHeight="1" x14ac:dyDescent="0.2">
      <c r="A265">
        <v>1300</v>
      </c>
      <c r="B265">
        <v>1022.56</v>
      </c>
      <c r="C265">
        <v>1022.52</v>
      </c>
      <c r="D265">
        <v>1022.47</v>
      </c>
      <c r="E265">
        <v>1022.43</v>
      </c>
      <c r="F265">
        <v>1022.38</v>
      </c>
      <c r="G265">
        <v>1022.33</v>
      </c>
      <c r="H265">
        <v>1022.29</v>
      </c>
      <c r="I265">
        <v>1022.24</v>
      </c>
      <c r="J265">
        <v>1022.2</v>
      </c>
      <c r="K265">
        <v>1022.15</v>
      </c>
      <c r="L265">
        <v>1022.11</v>
      </c>
    </row>
    <row r="266" spans="1:12" ht="14.25" customHeight="1" x14ac:dyDescent="0.2">
      <c r="A266">
        <v>1305</v>
      </c>
      <c r="B266">
        <v>1022.64</v>
      </c>
      <c r="C266">
        <v>1022.59</v>
      </c>
      <c r="D266">
        <v>1022.55</v>
      </c>
      <c r="E266">
        <v>1022.5</v>
      </c>
      <c r="F266">
        <v>1022.46</v>
      </c>
      <c r="G266">
        <v>1022.41</v>
      </c>
      <c r="H266">
        <v>1022.37</v>
      </c>
      <c r="I266">
        <v>1022.32</v>
      </c>
      <c r="J266">
        <v>1022.27</v>
      </c>
      <c r="K266">
        <v>1022.23</v>
      </c>
      <c r="L266">
        <v>1022.18</v>
      </c>
    </row>
    <row r="267" spans="1:12" ht="14.25" customHeight="1" x14ac:dyDescent="0.2">
      <c r="A267">
        <v>1310</v>
      </c>
      <c r="B267">
        <v>1022.71</v>
      </c>
      <c r="C267">
        <v>1022.67</v>
      </c>
      <c r="D267">
        <v>1022.62</v>
      </c>
      <c r="E267">
        <v>1022.58</v>
      </c>
      <c r="F267">
        <v>1022.53</v>
      </c>
      <c r="G267">
        <v>1022.49</v>
      </c>
      <c r="H267">
        <v>1022.44</v>
      </c>
      <c r="I267">
        <v>1022.4</v>
      </c>
      <c r="J267">
        <v>1022.35</v>
      </c>
      <c r="K267">
        <v>1022.3</v>
      </c>
      <c r="L267">
        <v>1022.26</v>
      </c>
    </row>
    <row r="268" spans="1:12" ht="14.25" customHeight="1" x14ac:dyDescent="0.2">
      <c r="A268">
        <v>1315</v>
      </c>
      <c r="B268">
        <v>1022.79</v>
      </c>
      <c r="C268">
        <v>1022.75</v>
      </c>
      <c r="D268">
        <v>1022.7</v>
      </c>
      <c r="E268">
        <v>1022.65</v>
      </c>
      <c r="F268">
        <v>1022.61</v>
      </c>
      <c r="G268">
        <v>1022.56</v>
      </c>
      <c r="H268">
        <v>1022.52</v>
      </c>
      <c r="I268">
        <v>1022.47</v>
      </c>
      <c r="J268">
        <v>1022.43</v>
      </c>
      <c r="K268">
        <v>1022.38</v>
      </c>
      <c r="L268">
        <v>1022.34</v>
      </c>
    </row>
    <row r="269" spans="1:12" ht="14.25" customHeight="1" x14ac:dyDescent="0.2">
      <c r="A269">
        <v>1320</v>
      </c>
      <c r="B269">
        <v>1022.87</v>
      </c>
      <c r="C269">
        <v>1022.82</v>
      </c>
      <c r="D269">
        <v>1022.78</v>
      </c>
      <c r="E269">
        <v>1022.73</v>
      </c>
      <c r="F269">
        <v>1022.69</v>
      </c>
      <c r="G269">
        <v>1022.64</v>
      </c>
      <c r="H269">
        <v>1022.59</v>
      </c>
      <c r="I269">
        <v>1022.55</v>
      </c>
      <c r="J269">
        <v>1022.5</v>
      </c>
      <c r="K269">
        <v>1022.46</v>
      </c>
      <c r="L269">
        <v>1022.41</v>
      </c>
    </row>
    <row r="270" spans="1:12" ht="14.25" customHeight="1" x14ac:dyDescent="0.2">
      <c r="A270">
        <v>1325</v>
      </c>
      <c r="B270">
        <v>1022.94</v>
      </c>
      <c r="C270">
        <v>1022.9</v>
      </c>
      <c r="D270">
        <v>1022.85</v>
      </c>
      <c r="E270">
        <v>1022.81</v>
      </c>
      <c r="F270">
        <v>1022.76</v>
      </c>
      <c r="G270">
        <v>1022.72</v>
      </c>
      <c r="H270">
        <v>1022.67</v>
      </c>
      <c r="I270">
        <v>1022.62</v>
      </c>
      <c r="J270">
        <v>1022.58</v>
      </c>
      <c r="K270">
        <v>1022.53</v>
      </c>
      <c r="L270">
        <v>1022.49</v>
      </c>
    </row>
    <row r="271" spans="1:12" ht="14.25" customHeight="1" x14ac:dyDescent="0.2">
      <c r="A271">
        <v>1330</v>
      </c>
      <c r="B271">
        <v>1023.02</v>
      </c>
      <c r="C271">
        <v>1022.97</v>
      </c>
      <c r="D271">
        <v>1022.93</v>
      </c>
      <c r="E271">
        <v>1022.88</v>
      </c>
      <c r="F271">
        <v>1022.84</v>
      </c>
      <c r="G271">
        <v>1022.79</v>
      </c>
      <c r="H271">
        <v>1022.75</v>
      </c>
      <c r="I271">
        <v>1022.7</v>
      </c>
      <c r="J271">
        <v>1022.66</v>
      </c>
      <c r="K271">
        <v>1022.61</v>
      </c>
      <c r="L271">
        <v>1022.56</v>
      </c>
    </row>
    <row r="272" spans="1:12" ht="14.25" customHeight="1" x14ac:dyDescent="0.2">
      <c r="A272">
        <v>1335</v>
      </c>
      <c r="B272">
        <v>1023.1</v>
      </c>
      <c r="C272">
        <v>1023.05</v>
      </c>
      <c r="D272">
        <v>1023.01</v>
      </c>
      <c r="E272">
        <v>1022.96</v>
      </c>
      <c r="F272">
        <v>1022.91</v>
      </c>
      <c r="G272">
        <v>1022.87</v>
      </c>
      <c r="H272">
        <v>1022.82</v>
      </c>
      <c r="I272">
        <v>1022.78</v>
      </c>
      <c r="J272">
        <v>1022.73</v>
      </c>
      <c r="K272">
        <v>1022.69</v>
      </c>
      <c r="L272">
        <v>1022.64</v>
      </c>
    </row>
    <row r="273" spans="1:12" x14ac:dyDescent="0.2">
      <c r="A273">
        <v>1340</v>
      </c>
      <c r="B273">
        <v>1023.17</v>
      </c>
      <c r="C273">
        <v>1023.13</v>
      </c>
      <c r="D273">
        <v>1023.08</v>
      </c>
      <c r="E273">
        <v>1023.04</v>
      </c>
      <c r="F273">
        <v>1022.99</v>
      </c>
      <c r="G273">
        <v>1022.94</v>
      </c>
      <c r="H273">
        <v>1022.9</v>
      </c>
      <c r="I273">
        <v>1022.85</v>
      </c>
      <c r="J273">
        <v>1022.81</v>
      </c>
      <c r="K273">
        <v>1022.76</v>
      </c>
      <c r="L273">
        <v>1022.72</v>
      </c>
    </row>
    <row r="274" spans="1:12" x14ac:dyDescent="0.2">
      <c r="A274">
        <v>1345</v>
      </c>
      <c r="B274">
        <v>1023.25</v>
      </c>
      <c r="C274">
        <v>1023.2</v>
      </c>
      <c r="D274">
        <v>1023.16</v>
      </c>
      <c r="E274">
        <v>1023.11</v>
      </c>
      <c r="F274">
        <v>1023.07</v>
      </c>
      <c r="G274">
        <v>1023.02</v>
      </c>
      <c r="H274">
        <v>1022.98</v>
      </c>
      <c r="I274">
        <v>1022.93</v>
      </c>
      <c r="J274">
        <v>1022.88</v>
      </c>
      <c r="K274">
        <v>1022.84</v>
      </c>
      <c r="L274">
        <v>1022.79</v>
      </c>
    </row>
    <row r="275" spans="1:12" x14ac:dyDescent="0.2">
      <c r="A275">
        <v>1350</v>
      </c>
      <c r="B275">
        <v>1023.33</v>
      </c>
      <c r="C275">
        <v>1023.28</v>
      </c>
      <c r="D275">
        <v>1023.23</v>
      </c>
      <c r="E275">
        <v>1023.19</v>
      </c>
      <c r="F275">
        <v>1023.14</v>
      </c>
      <c r="G275">
        <v>1023.1</v>
      </c>
      <c r="H275">
        <v>1023.05</v>
      </c>
      <c r="I275">
        <v>1023.01</v>
      </c>
      <c r="J275">
        <v>1022.96</v>
      </c>
      <c r="K275">
        <v>1022.91</v>
      </c>
      <c r="L275">
        <v>1022.87</v>
      </c>
    </row>
    <row r="276" spans="1:12" x14ac:dyDescent="0.2">
      <c r="A276">
        <v>1355</v>
      </c>
      <c r="B276">
        <v>1023.4</v>
      </c>
      <c r="C276">
        <v>1023.36</v>
      </c>
      <c r="D276">
        <v>1023.31</v>
      </c>
      <c r="E276">
        <v>1023.26</v>
      </c>
      <c r="F276">
        <v>1023.22</v>
      </c>
      <c r="G276">
        <v>1023.17</v>
      </c>
      <c r="H276">
        <v>1023.13</v>
      </c>
      <c r="I276">
        <v>1023.08</v>
      </c>
      <c r="J276">
        <v>1023.04</v>
      </c>
      <c r="K276">
        <v>1022.99</v>
      </c>
      <c r="L276">
        <v>1022.95</v>
      </c>
    </row>
    <row r="277" spans="1:12" x14ac:dyDescent="0.2">
      <c r="A277">
        <v>1360</v>
      </c>
      <c r="B277">
        <v>1023.48</v>
      </c>
      <c r="C277">
        <v>1023.43</v>
      </c>
      <c r="D277">
        <v>1023.39</v>
      </c>
      <c r="E277">
        <v>1023.34</v>
      </c>
      <c r="F277">
        <v>1023.3</v>
      </c>
      <c r="G277">
        <v>1023.25</v>
      </c>
      <c r="H277">
        <v>1023.2</v>
      </c>
      <c r="I277">
        <v>1023.16</v>
      </c>
      <c r="J277">
        <v>1023.11</v>
      </c>
      <c r="K277">
        <v>1023.07</v>
      </c>
      <c r="L277">
        <v>1023.02</v>
      </c>
    </row>
    <row r="278" spans="1:12" x14ac:dyDescent="0.2">
      <c r="A278">
        <v>1365</v>
      </c>
      <c r="B278">
        <v>1023.55</v>
      </c>
      <c r="C278">
        <v>1023.51</v>
      </c>
      <c r="D278">
        <v>1023.46</v>
      </c>
      <c r="E278">
        <v>1023.42</v>
      </c>
      <c r="F278">
        <v>1023.37</v>
      </c>
      <c r="G278">
        <v>1023.33</v>
      </c>
      <c r="H278">
        <v>1023.28</v>
      </c>
      <c r="I278">
        <v>1023.24</v>
      </c>
      <c r="J278">
        <v>1023.19</v>
      </c>
      <c r="K278">
        <v>1023.14</v>
      </c>
      <c r="L278">
        <v>1023.1</v>
      </c>
    </row>
    <row r="279" spans="1:12" x14ac:dyDescent="0.2">
      <c r="A279">
        <v>1370</v>
      </c>
      <c r="B279">
        <v>1023.63</v>
      </c>
      <c r="C279">
        <v>1023.58</v>
      </c>
      <c r="D279">
        <v>1023.54</v>
      </c>
      <c r="E279">
        <v>1023.49</v>
      </c>
      <c r="F279">
        <v>1023.45</v>
      </c>
      <c r="G279">
        <v>1023.4</v>
      </c>
      <c r="H279">
        <v>1023.36</v>
      </c>
      <c r="I279">
        <v>1023.31</v>
      </c>
      <c r="J279">
        <v>1023.27</v>
      </c>
      <c r="K279">
        <v>1023.22</v>
      </c>
      <c r="L279">
        <v>1023.17</v>
      </c>
    </row>
    <row r="280" spans="1:12" x14ac:dyDescent="0.2">
      <c r="A280">
        <v>1375</v>
      </c>
      <c r="B280">
        <v>1023.71</v>
      </c>
      <c r="C280">
        <v>1023.66</v>
      </c>
      <c r="D280">
        <v>1023.62</v>
      </c>
      <c r="E280">
        <v>1023.57</v>
      </c>
      <c r="F280">
        <v>1023.52</v>
      </c>
      <c r="G280">
        <v>1023.48</v>
      </c>
      <c r="H280">
        <v>1023.43</v>
      </c>
      <c r="I280">
        <v>1023.39</v>
      </c>
      <c r="J280">
        <v>1023.34</v>
      </c>
      <c r="K280">
        <v>1023.3</v>
      </c>
      <c r="L280">
        <v>1023.25</v>
      </c>
    </row>
    <row r="281" spans="1:12" x14ac:dyDescent="0.2">
      <c r="A281">
        <v>1380</v>
      </c>
      <c r="B281">
        <v>1023.78</v>
      </c>
      <c r="C281">
        <v>1023.74</v>
      </c>
      <c r="D281">
        <v>1023.69</v>
      </c>
      <c r="E281">
        <v>1023.65</v>
      </c>
      <c r="F281">
        <v>1023.6</v>
      </c>
      <c r="G281">
        <v>1023.56</v>
      </c>
      <c r="H281">
        <v>1023.51</v>
      </c>
      <c r="I281">
        <v>1023.46</v>
      </c>
      <c r="J281">
        <v>1023.42</v>
      </c>
      <c r="K281">
        <v>1023.37</v>
      </c>
      <c r="L281">
        <v>1023.33</v>
      </c>
    </row>
    <row r="282" spans="1:12" x14ac:dyDescent="0.2">
      <c r="A282">
        <v>1385</v>
      </c>
      <c r="B282">
        <v>1023.86</v>
      </c>
      <c r="C282">
        <v>1023.81</v>
      </c>
      <c r="D282">
        <v>1023.77</v>
      </c>
      <c r="E282">
        <v>1023.72</v>
      </c>
      <c r="F282">
        <v>1023.68</v>
      </c>
      <c r="G282">
        <v>1023.63</v>
      </c>
      <c r="H282">
        <v>1023.59</v>
      </c>
      <c r="I282">
        <v>1023.54</v>
      </c>
      <c r="J282">
        <v>1023.49</v>
      </c>
      <c r="K282">
        <v>1023.45</v>
      </c>
      <c r="L282">
        <v>1023.4</v>
      </c>
    </row>
    <row r="283" spans="1:12" x14ac:dyDescent="0.2">
      <c r="A283">
        <v>1390</v>
      </c>
      <c r="B283">
        <v>1023.94</v>
      </c>
      <c r="C283">
        <v>1023.89</v>
      </c>
      <c r="D283">
        <v>1023.84</v>
      </c>
      <c r="E283">
        <v>1023.8</v>
      </c>
      <c r="F283">
        <v>1023.75</v>
      </c>
      <c r="G283">
        <v>1023.71</v>
      </c>
      <c r="H283">
        <v>1023.66</v>
      </c>
      <c r="I283">
        <v>1023.62</v>
      </c>
      <c r="J283">
        <v>1023.57</v>
      </c>
      <c r="K283">
        <v>1023.53</v>
      </c>
      <c r="L283">
        <v>1023.48</v>
      </c>
    </row>
    <row r="284" spans="1:12" x14ac:dyDescent="0.2">
      <c r="A284">
        <v>1395</v>
      </c>
      <c r="B284">
        <v>1024.01</v>
      </c>
      <c r="C284">
        <v>1023.97</v>
      </c>
      <c r="D284">
        <v>1023.92</v>
      </c>
      <c r="E284">
        <v>1023.88</v>
      </c>
      <c r="F284">
        <v>1023.83</v>
      </c>
      <c r="G284">
        <v>1023.78</v>
      </c>
      <c r="H284">
        <v>1023.74</v>
      </c>
      <c r="I284">
        <v>1023.69</v>
      </c>
      <c r="J284">
        <v>1023.65</v>
      </c>
      <c r="K284">
        <v>1023.6</v>
      </c>
      <c r="L284">
        <v>1023.56</v>
      </c>
    </row>
    <row r="285" spans="1:12" x14ac:dyDescent="0.2">
      <c r="A285">
        <v>1400</v>
      </c>
      <c r="B285">
        <v>1024.0899999999999</v>
      </c>
      <c r="C285">
        <v>1024.04</v>
      </c>
      <c r="D285">
        <v>1024</v>
      </c>
      <c r="E285">
        <v>1023.95</v>
      </c>
      <c r="F285">
        <v>1023.91</v>
      </c>
      <c r="G285">
        <v>1023.86</v>
      </c>
      <c r="H285">
        <v>1023.81</v>
      </c>
      <c r="I285">
        <v>1023.77</v>
      </c>
      <c r="J285">
        <v>1023.72</v>
      </c>
      <c r="K285">
        <v>1023.68</v>
      </c>
      <c r="L285">
        <v>1023.63</v>
      </c>
    </row>
    <row r="286" spans="1:12" x14ac:dyDescent="0.2">
      <c r="A286">
        <v>1405</v>
      </c>
      <c r="B286">
        <v>1024.1600000000001</v>
      </c>
      <c r="C286">
        <v>1024.1199999999999</v>
      </c>
      <c r="D286">
        <v>1024.07</v>
      </c>
      <c r="E286">
        <v>1024.03</v>
      </c>
      <c r="F286">
        <v>1023.98</v>
      </c>
      <c r="G286">
        <v>1023.94</v>
      </c>
      <c r="H286">
        <v>1023.89</v>
      </c>
      <c r="I286">
        <v>1023.85</v>
      </c>
      <c r="J286">
        <v>1023.8</v>
      </c>
      <c r="K286">
        <v>1023.75</v>
      </c>
      <c r="L286">
        <v>1023.71</v>
      </c>
    </row>
    <row r="287" spans="1:12" x14ac:dyDescent="0.2">
      <c r="A287">
        <v>1410</v>
      </c>
      <c r="B287">
        <v>1024.24</v>
      </c>
      <c r="C287">
        <v>1024.2</v>
      </c>
      <c r="D287">
        <v>1024.1500000000001</v>
      </c>
      <c r="E287">
        <v>1024.0999999999999</v>
      </c>
      <c r="F287">
        <v>1024.06</v>
      </c>
      <c r="G287">
        <v>1024.01</v>
      </c>
      <c r="H287">
        <v>1023.97</v>
      </c>
      <c r="I287">
        <v>1023.92</v>
      </c>
      <c r="J287">
        <v>1023.88</v>
      </c>
      <c r="K287">
        <v>1023.83</v>
      </c>
      <c r="L287">
        <v>1023.78</v>
      </c>
    </row>
    <row r="288" spans="1:12" x14ac:dyDescent="0.2">
      <c r="A288">
        <v>1415</v>
      </c>
      <c r="B288">
        <v>1024.32</v>
      </c>
      <c r="C288">
        <v>1024.27</v>
      </c>
      <c r="D288">
        <v>1024.23</v>
      </c>
      <c r="E288">
        <v>1024.18</v>
      </c>
      <c r="F288">
        <v>1024.1300000000001</v>
      </c>
      <c r="G288">
        <v>1024.0899999999999</v>
      </c>
      <c r="H288">
        <v>1024.04</v>
      </c>
      <c r="I288">
        <v>1024</v>
      </c>
      <c r="J288">
        <v>1023.95</v>
      </c>
      <c r="K288">
        <v>1023.91</v>
      </c>
      <c r="L288">
        <v>1023.86</v>
      </c>
    </row>
    <row r="289" spans="1:12" x14ac:dyDescent="0.2">
      <c r="A289">
        <v>1420</v>
      </c>
      <c r="B289">
        <v>1024.3900000000001</v>
      </c>
      <c r="C289">
        <v>1024.3499999999999</v>
      </c>
      <c r="D289">
        <v>1024.3</v>
      </c>
      <c r="E289">
        <v>1024.26</v>
      </c>
      <c r="F289">
        <v>1024.21</v>
      </c>
      <c r="G289">
        <v>1024.17</v>
      </c>
      <c r="H289">
        <v>1024.1199999999999</v>
      </c>
      <c r="I289">
        <v>1024.07</v>
      </c>
      <c r="J289">
        <v>1024.03</v>
      </c>
      <c r="K289">
        <v>1023.98</v>
      </c>
      <c r="L289">
        <v>1023.94</v>
      </c>
    </row>
    <row r="290" spans="1:12" x14ac:dyDescent="0.2">
      <c r="A290">
        <v>1425</v>
      </c>
      <c r="B290">
        <v>1024.47</v>
      </c>
      <c r="C290">
        <v>1024.42</v>
      </c>
      <c r="D290">
        <v>1024.3800000000001</v>
      </c>
      <c r="E290">
        <v>1024.33</v>
      </c>
      <c r="F290">
        <v>1024.29</v>
      </c>
      <c r="G290">
        <v>1024.24</v>
      </c>
      <c r="H290">
        <v>1024.2</v>
      </c>
      <c r="I290">
        <v>1024.1500000000001</v>
      </c>
      <c r="J290">
        <v>1024.0999999999999</v>
      </c>
      <c r="K290">
        <v>1024.06</v>
      </c>
      <c r="L290">
        <v>1024.01</v>
      </c>
    </row>
    <row r="291" spans="1:12" x14ac:dyDescent="0.2">
      <c r="A291">
        <v>1430</v>
      </c>
      <c r="B291">
        <v>1024.55</v>
      </c>
      <c r="C291">
        <v>1024.5</v>
      </c>
      <c r="D291">
        <v>1024.45</v>
      </c>
      <c r="E291">
        <v>1024.4100000000001</v>
      </c>
      <c r="F291">
        <v>1024.3599999999999</v>
      </c>
      <c r="G291">
        <v>1024.32</v>
      </c>
      <c r="H291">
        <v>1024.27</v>
      </c>
      <c r="I291">
        <v>1024.23</v>
      </c>
      <c r="J291">
        <v>1024.18</v>
      </c>
      <c r="K291">
        <v>1024.1400000000001</v>
      </c>
      <c r="L291">
        <v>1024.0899999999999</v>
      </c>
    </row>
    <row r="292" spans="1:12" x14ac:dyDescent="0.2">
      <c r="A292">
        <v>1435</v>
      </c>
      <c r="B292">
        <v>1024.6199999999999</v>
      </c>
      <c r="C292">
        <v>1024.58</v>
      </c>
      <c r="D292">
        <v>1024.53</v>
      </c>
      <c r="E292">
        <v>1024.49</v>
      </c>
      <c r="F292">
        <v>1024.44</v>
      </c>
      <c r="G292">
        <v>1024.3900000000001</v>
      </c>
      <c r="H292">
        <v>1024.3499999999999</v>
      </c>
      <c r="I292">
        <v>1024.3</v>
      </c>
      <c r="J292">
        <v>1024.26</v>
      </c>
      <c r="K292">
        <v>1024.21</v>
      </c>
      <c r="L292">
        <v>1024.17</v>
      </c>
    </row>
    <row r="293" spans="1:12" x14ac:dyDescent="0.2">
      <c r="A293">
        <v>1440</v>
      </c>
      <c r="B293">
        <v>1024.7</v>
      </c>
      <c r="C293">
        <v>1024.6500000000001</v>
      </c>
      <c r="D293">
        <v>1024.6099999999999</v>
      </c>
      <c r="E293">
        <v>1024.56</v>
      </c>
      <c r="F293">
        <v>1024.52</v>
      </c>
      <c r="G293">
        <v>1024.47</v>
      </c>
      <c r="H293">
        <v>1024.43</v>
      </c>
      <c r="I293">
        <v>1024.3800000000001</v>
      </c>
      <c r="J293">
        <v>1024.33</v>
      </c>
      <c r="K293">
        <v>1024.29</v>
      </c>
      <c r="L293">
        <v>1024.24</v>
      </c>
    </row>
    <row r="294" spans="1:12" x14ac:dyDescent="0.2">
      <c r="A294">
        <v>1445</v>
      </c>
      <c r="B294">
        <v>1024.77</v>
      </c>
      <c r="C294">
        <v>1024.73</v>
      </c>
      <c r="D294">
        <v>1024.68</v>
      </c>
      <c r="E294">
        <v>1024.6400000000001</v>
      </c>
      <c r="F294">
        <v>1024.5899999999999</v>
      </c>
      <c r="G294">
        <v>1024.55</v>
      </c>
      <c r="H294">
        <v>1024.5</v>
      </c>
      <c r="I294">
        <v>1024.46</v>
      </c>
      <c r="J294">
        <v>1024.4100000000001</v>
      </c>
      <c r="K294">
        <v>1024.3599999999999</v>
      </c>
      <c r="L294">
        <v>1024.32</v>
      </c>
    </row>
    <row r="295" spans="1:12" x14ac:dyDescent="0.2">
      <c r="A295">
        <v>1450</v>
      </c>
      <c r="B295">
        <v>1024.8499999999999</v>
      </c>
      <c r="C295">
        <v>1024.81</v>
      </c>
      <c r="D295">
        <v>1024.76</v>
      </c>
      <c r="E295">
        <v>1024.71</v>
      </c>
      <c r="F295">
        <v>1024.67</v>
      </c>
      <c r="G295">
        <v>1024.6199999999999</v>
      </c>
      <c r="H295">
        <v>1024.58</v>
      </c>
      <c r="I295">
        <v>1024.53</v>
      </c>
      <c r="J295">
        <v>1024.49</v>
      </c>
      <c r="K295">
        <v>1024.44</v>
      </c>
      <c r="L295">
        <v>1024.4000000000001</v>
      </c>
    </row>
    <row r="296" spans="1:12" x14ac:dyDescent="0.2">
      <c r="A296">
        <v>1455</v>
      </c>
      <c r="B296">
        <v>1024.93</v>
      </c>
      <c r="C296">
        <v>1024.8800000000001</v>
      </c>
      <c r="D296">
        <v>1024.8399999999999</v>
      </c>
      <c r="E296">
        <v>1024.79</v>
      </c>
      <c r="F296">
        <v>1024.75</v>
      </c>
      <c r="G296">
        <v>1024.7</v>
      </c>
      <c r="H296">
        <v>1024.6500000000001</v>
      </c>
      <c r="I296">
        <v>1024.6099999999999</v>
      </c>
      <c r="J296">
        <v>1024.56</v>
      </c>
      <c r="K296">
        <v>1024.52</v>
      </c>
      <c r="L296">
        <v>1024.47</v>
      </c>
    </row>
    <row r="297" spans="1:12" x14ac:dyDescent="0.2">
      <c r="A297">
        <v>1460</v>
      </c>
      <c r="B297">
        <v>1025</v>
      </c>
      <c r="C297">
        <v>1024.96</v>
      </c>
      <c r="D297">
        <v>1024.9100000000001</v>
      </c>
      <c r="E297">
        <v>1024.8699999999999</v>
      </c>
      <c r="F297">
        <v>1024.82</v>
      </c>
      <c r="G297">
        <v>1024.78</v>
      </c>
      <c r="H297">
        <v>1024.73</v>
      </c>
      <c r="I297">
        <v>1024.68</v>
      </c>
      <c r="J297">
        <v>1024.6400000000001</v>
      </c>
      <c r="K297">
        <v>1024.5899999999999</v>
      </c>
      <c r="L297">
        <v>1024.55</v>
      </c>
    </row>
    <row r="298" spans="1:12" x14ac:dyDescent="0.2">
      <c r="A298">
        <v>1465</v>
      </c>
      <c r="B298">
        <v>1025.08</v>
      </c>
      <c r="C298">
        <v>1025.03</v>
      </c>
      <c r="D298">
        <v>1024.99</v>
      </c>
      <c r="E298">
        <v>1024.94</v>
      </c>
      <c r="F298">
        <v>1024.9000000000001</v>
      </c>
      <c r="G298">
        <v>1024.8499999999999</v>
      </c>
      <c r="H298">
        <v>1024.81</v>
      </c>
      <c r="I298">
        <v>1024.76</v>
      </c>
      <c r="J298">
        <v>1024.72</v>
      </c>
      <c r="K298">
        <v>1024.67</v>
      </c>
      <c r="L298">
        <v>1024.6199999999999</v>
      </c>
    </row>
    <row r="299" spans="1:12" x14ac:dyDescent="0.2">
      <c r="A299">
        <v>1470</v>
      </c>
      <c r="B299">
        <v>1025.1600000000001</v>
      </c>
      <c r="C299">
        <v>1025.1099999999999</v>
      </c>
      <c r="D299">
        <v>1025.07</v>
      </c>
      <c r="E299">
        <v>1025.02</v>
      </c>
      <c r="F299">
        <v>1024.97</v>
      </c>
      <c r="G299">
        <v>1024.93</v>
      </c>
      <c r="H299">
        <v>1024.8800000000001</v>
      </c>
      <c r="I299">
        <v>1024.8399999999999</v>
      </c>
      <c r="J299">
        <v>1024.79</v>
      </c>
      <c r="K299">
        <v>1024.75</v>
      </c>
      <c r="L299">
        <v>1024.7</v>
      </c>
    </row>
    <row r="300" spans="1:12" x14ac:dyDescent="0.2">
      <c r="A300">
        <v>1475</v>
      </c>
      <c r="B300">
        <v>1025.22</v>
      </c>
      <c r="C300">
        <v>1025.19</v>
      </c>
      <c r="D300">
        <v>1025.1400000000001</v>
      </c>
      <c r="E300">
        <v>1025.0999999999999</v>
      </c>
      <c r="F300">
        <v>1025.05</v>
      </c>
      <c r="G300">
        <v>1025</v>
      </c>
      <c r="H300">
        <v>1024.96</v>
      </c>
      <c r="I300">
        <v>1024.9100000000001</v>
      </c>
      <c r="J300">
        <v>1024.8699999999999</v>
      </c>
      <c r="K300">
        <v>1024.82</v>
      </c>
      <c r="L300">
        <v>1024.78</v>
      </c>
    </row>
    <row r="301" spans="1:12" x14ac:dyDescent="0.2">
      <c r="A301">
        <v>1480</v>
      </c>
      <c r="B301">
        <v>1025.32</v>
      </c>
      <c r="C301">
        <v>1025.26</v>
      </c>
      <c r="D301">
        <v>1025.22</v>
      </c>
      <c r="E301">
        <v>1025.17</v>
      </c>
      <c r="F301">
        <v>1025.1300000000001</v>
      </c>
      <c r="G301">
        <v>1025.08</v>
      </c>
      <c r="H301">
        <v>1025.04</v>
      </c>
      <c r="I301">
        <v>1024.99</v>
      </c>
      <c r="J301">
        <v>1024.94</v>
      </c>
      <c r="K301">
        <v>1024.9000000000001</v>
      </c>
      <c r="L301">
        <v>1024.8499999999999</v>
      </c>
    </row>
    <row r="302" spans="1:12" x14ac:dyDescent="0.2">
      <c r="A302">
        <v>1485</v>
      </c>
      <c r="B302">
        <v>1025.47</v>
      </c>
      <c r="C302">
        <v>1025.3599999999999</v>
      </c>
      <c r="D302">
        <v>1025.29</v>
      </c>
      <c r="E302">
        <v>1025.25</v>
      </c>
      <c r="F302">
        <v>1025.2</v>
      </c>
      <c r="G302">
        <v>1025.1600000000001</v>
      </c>
      <c r="H302">
        <v>1025.1099999999999</v>
      </c>
      <c r="I302">
        <v>1025.07</v>
      </c>
      <c r="J302">
        <v>1025.02</v>
      </c>
      <c r="K302">
        <v>1024.97</v>
      </c>
      <c r="L302">
        <v>1024.93</v>
      </c>
    </row>
    <row r="303" spans="1:12" x14ac:dyDescent="0.2">
      <c r="A303">
        <v>1490</v>
      </c>
      <c r="B303">
        <v>1025.73</v>
      </c>
      <c r="C303">
        <v>1025.55</v>
      </c>
      <c r="D303">
        <v>1025.42</v>
      </c>
      <c r="E303">
        <v>1025.18</v>
      </c>
      <c r="F303">
        <v>1025.29</v>
      </c>
      <c r="G303">
        <v>1025.24</v>
      </c>
      <c r="H303">
        <v>1025.19</v>
      </c>
      <c r="I303">
        <v>1025.1500000000001</v>
      </c>
      <c r="J303">
        <v>1025.0999999999999</v>
      </c>
      <c r="K303">
        <v>1025.05</v>
      </c>
      <c r="L303">
        <v>1025.01</v>
      </c>
    </row>
    <row r="304" spans="1:12" x14ac:dyDescent="0.2">
      <c r="A304">
        <v>1495</v>
      </c>
      <c r="B304">
        <v>1026.0899999999999</v>
      </c>
      <c r="C304">
        <v>1025.8399999999999</v>
      </c>
      <c r="D304">
        <v>1025.6500000000001</v>
      </c>
      <c r="E304">
        <v>1025.51</v>
      </c>
      <c r="F304">
        <v>1025.25</v>
      </c>
      <c r="G304">
        <v>1025.3399999999999</v>
      </c>
      <c r="H304">
        <v>1025.3</v>
      </c>
      <c r="I304">
        <v>1025.25</v>
      </c>
      <c r="J304">
        <v>1025.2</v>
      </c>
      <c r="K304">
        <v>1025.1500000000001</v>
      </c>
      <c r="L304">
        <v>1025.0999999999999</v>
      </c>
    </row>
    <row r="305" spans="1:12" x14ac:dyDescent="0.2">
      <c r="A305">
        <v>1500</v>
      </c>
      <c r="B305">
        <v>1026.56</v>
      </c>
      <c r="C305">
        <v>1026.25</v>
      </c>
      <c r="D305">
        <v>1025.99</v>
      </c>
      <c r="E305">
        <v>1025.79</v>
      </c>
      <c r="F305">
        <v>1025.6300000000001</v>
      </c>
      <c r="G305">
        <v>1025.3900000000001</v>
      </c>
      <c r="H305">
        <v>1025.44</v>
      </c>
      <c r="I305">
        <v>1025.3699999999999</v>
      </c>
      <c r="J305">
        <v>1025.32</v>
      </c>
      <c r="K305">
        <v>1025.27</v>
      </c>
      <c r="L305">
        <v>1025.21</v>
      </c>
    </row>
    <row r="306" spans="1:12" x14ac:dyDescent="0.2">
      <c r="A306">
        <v>1505</v>
      </c>
      <c r="B306">
        <v>1027.1400000000001</v>
      </c>
      <c r="C306">
        <v>1026.77</v>
      </c>
      <c r="D306">
        <v>1026.44</v>
      </c>
      <c r="E306">
        <v>1026.18</v>
      </c>
      <c r="F306">
        <v>1025.96</v>
      </c>
      <c r="G306">
        <v>1025.79</v>
      </c>
      <c r="H306">
        <v>1025.54</v>
      </c>
      <c r="I306">
        <v>1025.57</v>
      </c>
      <c r="J306">
        <v>1025.49</v>
      </c>
      <c r="K306">
        <v>1025.42</v>
      </c>
      <c r="L306">
        <v>1025.3699999999999</v>
      </c>
    </row>
    <row r="307" spans="1:12" x14ac:dyDescent="0.2">
      <c r="A307">
        <v>1510</v>
      </c>
      <c r="B307">
        <v>1027.83</v>
      </c>
      <c r="C307">
        <v>1027.3900000000001</v>
      </c>
      <c r="D307">
        <v>1027.01</v>
      </c>
      <c r="E307">
        <v>1026.68</v>
      </c>
      <c r="F307">
        <v>1026.3900000000001</v>
      </c>
      <c r="G307">
        <v>1026.1600000000001</v>
      </c>
      <c r="H307">
        <v>1025.97</v>
      </c>
      <c r="I307">
        <v>1025.72</v>
      </c>
      <c r="J307">
        <v>1025.72</v>
      </c>
      <c r="K307">
        <v>1025.6400000000001</v>
      </c>
      <c r="L307">
        <v>1025.55</v>
      </c>
    </row>
    <row r="308" spans="1:12" x14ac:dyDescent="0.2">
      <c r="A308">
        <v>1515</v>
      </c>
      <c r="B308">
        <v>1028.6199999999999</v>
      </c>
      <c r="C308">
        <v>1028.1300000000001</v>
      </c>
      <c r="D308">
        <v>1027.68</v>
      </c>
      <c r="E308">
        <v>1027.29</v>
      </c>
      <c r="F308">
        <v>1026.94</v>
      </c>
      <c r="G308">
        <v>1026.6400000000001</v>
      </c>
      <c r="H308">
        <v>1026.3900000000001</v>
      </c>
      <c r="I308">
        <v>1026.19</v>
      </c>
      <c r="J308">
        <v>1025.93</v>
      </c>
      <c r="K308">
        <v>1025.9100000000001</v>
      </c>
      <c r="L308">
        <v>1025.81</v>
      </c>
    </row>
    <row r="309" spans="1:12" x14ac:dyDescent="0.2">
      <c r="A309">
        <v>1520</v>
      </c>
      <c r="B309">
        <v>1029.54</v>
      </c>
      <c r="C309">
        <v>1028.98</v>
      </c>
      <c r="D309">
        <v>1028.46</v>
      </c>
      <c r="E309">
        <v>1028.01</v>
      </c>
      <c r="F309">
        <v>1027.5999999999999</v>
      </c>
      <c r="G309">
        <v>1027.23</v>
      </c>
      <c r="H309">
        <v>1026.92</v>
      </c>
      <c r="I309">
        <v>1026.6600000000001</v>
      </c>
      <c r="J309">
        <v>1026.44</v>
      </c>
      <c r="K309">
        <v>1026.17</v>
      </c>
      <c r="L309">
        <v>1026.0999999999999</v>
      </c>
    </row>
    <row r="310" spans="1:12" x14ac:dyDescent="0.2">
      <c r="A310">
        <v>1525</v>
      </c>
      <c r="B310">
        <v>1030.55</v>
      </c>
      <c r="C310">
        <v>1029.93</v>
      </c>
      <c r="D310">
        <v>1029.3599999999999</v>
      </c>
      <c r="E310">
        <v>1028.8399999999999</v>
      </c>
      <c r="F310">
        <v>1028.3599999999999</v>
      </c>
      <c r="G310">
        <v>1027.94</v>
      </c>
      <c r="H310">
        <v>1027.56</v>
      </c>
      <c r="I310">
        <v>1027.23</v>
      </c>
      <c r="J310">
        <v>1026.96</v>
      </c>
      <c r="K310">
        <v>1026.73</v>
      </c>
      <c r="L310">
        <v>1026.44</v>
      </c>
    </row>
    <row r="311" spans="1:12" x14ac:dyDescent="0.2">
      <c r="A311">
        <v>1530</v>
      </c>
      <c r="B311">
        <v>1031.69</v>
      </c>
      <c r="C311">
        <v>1031</v>
      </c>
      <c r="D311">
        <v>1030.3599999999999</v>
      </c>
      <c r="E311">
        <v>1029.78</v>
      </c>
      <c r="F311">
        <v>1029.24</v>
      </c>
      <c r="G311">
        <v>1028.75</v>
      </c>
      <c r="H311">
        <v>1028.31</v>
      </c>
      <c r="I311">
        <v>1027.92</v>
      </c>
      <c r="J311">
        <v>1027.58</v>
      </c>
      <c r="K311">
        <v>1027.29</v>
      </c>
      <c r="L311">
        <v>1027.04</v>
      </c>
    </row>
    <row r="312" spans="1:12" x14ac:dyDescent="0.2">
      <c r="A312">
        <v>1535</v>
      </c>
      <c r="B312">
        <v>1032.93</v>
      </c>
      <c r="C312">
        <v>1032.18</v>
      </c>
      <c r="D312">
        <v>1031.47</v>
      </c>
      <c r="E312">
        <v>1030.83</v>
      </c>
      <c r="F312">
        <v>1030.22</v>
      </c>
      <c r="G312">
        <v>1029.67</v>
      </c>
      <c r="H312">
        <v>1029.17</v>
      </c>
      <c r="I312">
        <v>1028.71</v>
      </c>
      <c r="J312">
        <v>1028.31</v>
      </c>
      <c r="K312">
        <v>1027.95</v>
      </c>
      <c r="L312">
        <v>1027.6500000000001</v>
      </c>
    </row>
    <row r="313" spans="1:12" x14ac:dyDescent="0.2">
      <c r="A313">
        <v>1540</v>
      </c>
      <c r="B313">
        <v>1034.29</v>
      </c>
      <c r="C313">
        <v>1033.47</v>
      </c>
      <c r="D313">
        <v>1032.7</v>
      </c>
      <c r="E313">
        <v>1031.99</v>
      </c>
      <c r="F313">
        <v>1031.32</v>
      </c>
      <c r="G313">
        <v>1030.7</v>
      </c>
      <c r="H313">
        <v>1030.1400000000001</v>
      </c>
      <c r="I313">
        <v>1029.6199999999999</v>
      </c>
      <c r="J313">
        <v>1029.1500000000001</v>
      </c>
      <c r="K313">
        <v>1028.73</v>
      </c>
      <c r="L313">
        <v>1028.3599999999999</v>
      </c>
    </row>
    <row r="314" spans="1:12" x14ac:dyDescent="0.2">
      <c r="A314">
        <v>1545</v>
      </c>
      <c r="B314">
        <v>1035.77</v>
      </c>
      <c r="C314">
        <v>1034.8800000000001</v>
      </c>
      <c r="D314">
        <v>1034.04</v>
      </c>
      <c r="E314">
        <v>1033.26</v>
      </c>
      <c r="F314">
        <v>1032.53</v>
      </c>
      <c r="G314">
        <v>1031.8499999999999</v>
      </c>
      <c r="H314">
        <v>1031.22</v>
      </c>
      <c r="I314">
        <v>1030.6400000000001</v>
      </c>
      <c r="J314">
        <v>1030.1099999999999</v>
      </c>
      <c r="K314">
        <v>1029.6199999999999</v>
      </c>
      <c r="L314">
        <v>1029.19</v>
      </c>
    </row>
    <row r="315" spans="1:12" x14ac:dyDescent="0.2">
      <c r="A315">
        <v>1550</v>
      </c>
      <c r="B315">
        <v>1037.3599999999999</v>
      </c>
      <c r="C315">
        <v>1036.4000000000001</v>
      </c>
      <c r="D315">
        <v>1035.5</v>
      </c>
      <c r="E315">
        <v>1034.6500000000001</v>
      </c>
      <c r="F315">
        <v>1033.8499999999999</v>
      </c>
      <c r="G315">
        <v>1033.1099999999999</v>
      </c>
      <c r="H315">
        <v>1032.42</v>
      </c>
      <c r="I315">
        <v>1031.77</v>
      </c>
      <c r="J315">
        <v>1031.18</v>
      </c>
      <c r="K315">
        <v>1030.6300000000001</v>
      </c>
      <c r="L315">
        <v>1030.1300000000001</v>
      </c>
    </row>
    <row r="316" spans="1:12" x14ac:dyDescent="0.2">
      <c r="A316">
        <v>1555</v>
      </c>
      <c r="B316">
        <v>1039.07</v>
      </c>
      <c r="C316">
        <v>1038.05</v>
      </c>
      <c r="D316">
        <v>1037.07</v>
      </c>
      <c r="E316">
        <v>1036.1600000000001</v>
      </c>
      <c r="F316">
        <v>1035.29</v>
      </c>
      <c r="G316">
        <v>1034.48</v>
      </c>
      <c r="H316">
        <v>1033.73</v>
      </c>
      <c r="I316">
        <v>1033.02</v>
      </c>
      <c r="J316">
        <v>1032.3599999999999</v>
      </c>
      <c r="K316">
        <v>1031.75</v>
      </c>
      <c r="L316">
        <v>1031.19</v>
      </c>
    </row>
    <row r="317" spans="1:12" x14ac:dyDescent="0.2">
      <c r="A317">
        <v>1560</v>
      </c>
      <c r="B317">
        <v>1040.9000000000001</v>
      </c>
      <c r="C317">
        <v>1039.81</v>
      </c>
      <c r="D317">
        <v>1038.77</v>
      </c>
      <c r="E317">
        <v>1037.78</v>
      </c>
      <c r="F317">
        <v>1036.8499999999999</v>
      </c>
      <c r="G317">
        <v>1035.97</v>
      </c>
      <c r="H317">
        <v>1035.1500000000001</v>
      </c>
      <c r="I317">
        <v>1034.3800000000001</v>
      </c>
      <c r="J317">
        <v>1033.6500000000001</v>
      </c>
      <c r="K317">
        <v>1032.98</v>
      </c>
      <c r="L317">
        <v>1032.3499999999999</v>
      </c>
    </row>
    <row r="318" spans="1:12" x14ac:dyDescent="0.2">
      <c r="A318">
        <v>1565</v>
      </c>
      <c r="B318">
        <v>1042.8499999999999</v>
      </c>
      <c r="C318">
        <v>1041.69</v>
      </c>
      <c r="D318">
        <v>1040.58</v>
      </c>
      <c r="E318">
        <v>1039.53</v>
      </c>
      <c r="F318">
        <v>1038.53</v>
      </c>
      <c r="G318">
        <v>1037.58</v>
      </c>
      <c r="H318">
        <v>1036.69</v>
      </c>
      <c r="I318">
        <v>1035.8499999999999</v>
      </c>
      <c r="J318">
        <v>1035.06</v>
      </c>
      <c r="K318">
        <v>1034.33</v>
      </c>
      <c r="L318">
        <v>1033.6400000000001</v>
      </c>
    </row>
    <row r="319" spans="1:12" x14ac:dyDescent="0.2">
      <c r="A319">
        <v>1570</v>
      </c>
      <c r="B319">
        <v>1044.9100000000001</v>
      </c>
      <c r="C319">
        <v>1043.68</v>
      </c>
      <c r="D319">
        <v>1042.51</v>
      </c>
      <c r="E319">
        <v>1041.3900000000001</v>
      </c>
      <c r="F319">
        <v>1040.32</v>
      </c>
      <c r="G319">
        <v>1039.3</v>
      </c>
      <c r="H319">
        <v>1038.3399999999999</v>
      </c>
      <c r="I319">
        <v>1037.44</v>
      </c>
      <c r="J319">
        <v>1036.5899999999999</v>
      </c>
      <c r="K319">
        <v>1035.79</v>
      </c>
      <c r="L319">
        <v>1035.03</v>
      </c>
    </row>
    <row r="320" spans="1:12" x14ac:dyDescent="0.2">
      <c r="A320">
        <v>1575</v>
      </c>
      <c r="B320">
        <v>1047.0999999999999</v>
      </c>
      <c r="C320">
        <v>1045.8</v>
      </c>
      <c r="D320">
        <v>1044.55</v>
      </c>
      <c r="E320">
        <v>1043.3599999999999</v>
      </c>
      <c r="F320">
        <v>1042.23</v>
      </c>
      <c r="G320">
        <v>1041.1500000000001</v>
      </c>
      <c r="H320">
        <v>1040.1199999999999</v>
      </c>
      <c r="I320">
        <v>1039.1400000000001</v>
      </c>
      <c r="J320">
        <v>1038.23</v>
      </c>
      <c r="K320">
        <v>1037.3599999999999</v>
      </c>
      <c r="L320">
        <v>1036.54</v>
      </c>
    </row>
    <row r="321" spans="1:12" x14ac:dyDescent="0.2">
      <c r="A321">
        <v>1580</v>
      </c>
      <c r="B321">
        <v>1049.3900000000001</v>
      </c>
      <c r="C321">
        <v>1048.03</v>
      </c>
      <c r="D321">
        <v>1046.71</v>
      </c>
      <c r="E321">
        <v>1045.46</v>
      </c>
      <c r="F321">
        <v>1044.26</v>
      </c>
      <c r="G321">
        <v>1043.1099999999999</v>
      </c>
      <c r="H321">
        <v>1042.01</v>
      </c>
      <c r="I321">
        <v>1040.97</v>
      </c>
      <c r="J321">
        <v>1039.98</v>
      </c>
      <c r="K321">
        <v>1039.05</v>
      </c>
      <c r="L321">
        <v>1038.17</v>
      </c>
    </row>
    <row r="322" spans="1:12" x14ac:dyDescent="0.2">
      <c r="A322">
        <v>1585</v>
      </c>
      <c r="B322">
        <v>1051.81</v>
      </c>
      <c r="C322">
        <v>1050.3800000000001</v>
      </c>
      <c r="D322">
        <v>1048.99</v>
      </c>
      <c r="E322">
        <v>1047.67</v>
      </c>
      <c r="F322">
        <v>1046.4000000000001</v>
      </c>
      <c r="G322">
        <v>1045.18</v>
      </c>
      <c r="H322">
        <v>1044.02</v>
      </c>
      <c r="I322">
        <v>1042.9100000000001</v>
      </c>
      <c r="J322">
        <v>1041.8499999999999</v>
      </c>
      <c r="K322">
        <v>1040.8499999999999</v>
      </c>
      <c r="L322">
        <v>1039.9000000000001</v>
      </c>
    </row>
    <row r="323" spans="1:12" x14ac:dyDescent="0.2">
      <c r="A323">
        <v>1590</v>
      </c>
      <c r="B323">
        <v>1054.3399999999999</v>
      </c>
      <c r="C323">
        <v>1052.8399999999999</v>
      </c>
      <c r="D323">
        <v>1051.3900000000001</v>
      </c>
      <c r="E323">
        <v>1050</v>
      </c>
      <c r="F323">
        <v>1048.6600000000001</v>
      </c>
      <c r="G323">
        <v>1047.3800000000001</v>
      </c>
      <c r="H323">
        <v>1046.1400000000001</v>
      </c>
      <c r="I323">
        <v>1044.97</v>
      </c>
      <c r="J323">
        <v>1043.8399999999999</v>
      </c>
      <c r="K323">
        <v>1042.77</v>
      </c>
      <c r="L323">
        <v>1041.76</v>
      </c>
    </row>
    <row r="324" spans="1:12" x14ac:dyDescent="0.2">
      <c r="A324">
        <v>1595</v>
      </c>
      <c r="B324">
        <v>1056.99</v>
      </c>
      <c r="C324">
        <v>1055.43</v>
      </c>
      <c r="D324">
        <v>1053.9100000000001</v>
      </c>
      <c r="E324">
        <v>1052.45</v>
      </c>
      <c r="F324">
        <v>1051.04</v>
      </c>
      <c r="G324">
        <v>1049.69</v>
      </c>
      <c r="H324">
        <v>1048.3900000000001</v>
      </c>
      <c r="I324">
        <v>1047.1400000000001</v>
      </c>
      <c r="J324">
        <v>1045.95</v>
      </c>
      <c r="K324">
        <v>1044.81</v>
      </c>
      <c r="L324">
        <v>1043.73</v>
      </c>
    </row>
    <row r="325" spans="1:12" x14ac:dyDescent="0.2">
      <c r="A325">
        <v>1600</v>
      </c>
      <c r="B325">
        <v>1059.76</v>
      </c>
      <c r="C325">
        <v>1058.1300000000001</v>
      </c>
      <c r="D325">
        <v>1056.54</v>
      </c>
      <c r="E325">
        <v>1055.01</v>
      </c>
      <c r="F325">
        <v>1053.54</v>
      </c>
      <c r="G325">
        <v>1052.1199999999999</v>
      </c>
      <c r="H325">
        <v>1050.75</v>
      </c>
      <c r="I325">
        <v>1049.44</v>
      </c>
      <c r="J325">
        <v>1048.18</v>
      </c>
      <c r="K325">
        <v>1046.97</v>
      </c>
      <c r="L325">
        <v>1045.82</v>
      </c>
    </row>
    <row r="326" spans="1:12" x14ac:dyDescent="0.2">
      <c r="A326">
        <v>1605</v>
      </c>
      <c r="B326">
        <v>1062.6500000000001</v>
      </c>
      <c r="C326">
        <v>1060.95</v>
      </c>
      <c r="D326">
        <v>1059.29</v>
      </c>
      <c r="E326">
        <v>1057.7</v>
      </c>
      <c r="F326">
        <v>1056.1500000000001</v>
      </c>
      <c r="G326">
        <v>1054.6600000000001</v>
      </c>
      <c r="H326">
        <v>1053.23</v>
      </c>
      <c r="I326">
        <v>1051.8499999999999</v>
      </c>
      <c r="J326">
        <v>1050.52</v>
      </c>
      <c r="K326">
        <v>1049.25</v>
      </c>
      <c r="L326">
        <v>1048.03</v>
      </c>
    </row>
    <row r="327" spans="1:12" x14ac:dyDescent="0.2">
      <c r="A327">
        <v>1610</v>
      </c>
      <c r="B327">
        <v>1065.6500000000001</v>
      </c>
      <c r="C327">
        <v>1063.8800000000001</v>
      </c>
      <c r="D327">
        <v>1062.1600000000001</v>
      </c>
      <c r="E327">
        <v>1060.5</v>
      </c>
      <c r="F327">
        <v>1058.8800000000001</v>
      </c>
      <c r="G327">
        <v>1057.33</v>
      </c>
      <c r="H327">
        <v>1055.82</v>
      </c>
      <c r="I327">
        <v>1054.3800000000001</v>
      </c>
      <c r="J327">
        <v>1052.98</v>
      </c>
      <c r="K327">
        <v>1051.6400000000001</v>
      </c>
      <c r="L327">
        <v>1050.3499999999999</v>
      </c>
    </row>
    <row r="328" spans="1:12" x14ac:dyDescent="0.2">
      <c r="A328">
        <v>1615</v>
      </c>
      <c r="B328">
        <v>1068.77</v>
      </c>
      <c r="C328">
        <v>1066.93</v>
      </c>
      <c r="D328">
        <v>1065.1400000000001</v>
      </c>
      <c r="E328">
        <v>1063.4100000000001</v>
      </c>
      <c r="F328">
        <v>1061.73</v>
      </c>
      <c r="G328">
        <v>1060.1099999999999</v>
      </c>
      <c r="H328">
        <v>1058.54</v>
      </c>
      <c r="I328">
        <v>1057.02</v>
      </c>
      <c r="J328">
        <v>1055.56</v>
      </c>
      <c r="K328">
        <v>1054.1500000000001</v>
      </c>
      <c r="L328">
        <v>1052.79</v>
      </c>
    </row>
    <row r="329" spans="1:12" x14ac:dyDescent="0.2">
      <c r="A329">
        <v>1620</v>
      </c>
      <c r="B329">
        <v>1072.01</v>
      </c>
      <c r="C329">
        <v>1070.0999999999999</v>
      </c>
      <c r="D329">
        <v>1068.25</v>
      </c>
      <c r="E329">
        <v>1066.45</v>
      </c>
      <c r="F329">
        <v>1064.7</v>
      </c>
      <c r="G329">
        <v>1063.01</v>
      </c>
      <c r="H329">
        <v>1061.3699999999999</v>
      </c>
      <c r="I329">
        <v>1059.78</v>
      </c>
      <c r="J329">
        <v>1058.25</v>
      </c>
      <c r="K329">
        <v>1056.78</v>
      </c>
      <c r="L329">
        <v>1055.3499999999999</v>
      </c>
    </row>
    <row r="330" spans="1:12" x14ac:dyDescent="0.2">
      <c r="A330">
        <v>1625</v>
      </c>
      <c r="B330">
        <v>1075.3699999999999</v>
      </c>
      <c r="C330">
        <v>1073.3900000000001</v>
      </c>
      <c r="D330">
        <v>1071.46</v>
      </c>
      <c r="E330">
        <v>1069.5999999999999</v>
      </c>
      <c r="F330">
        <v>1067.78</v>
      </c>
      <c r="G330">
        <v>1066.02</v>
      </c>
      <c r="H330">
        <v>1064.32</v>
      </c>
      <c r="I330">
        <v>1062.6600000000001</v>
      </c>
      <c r="J330">
        <v>1061.06</v>
      </c>
      <c r="K330">
        <v>1059.52</v>
      </c>
      <c r="L330">
        <v>1058.03</v>
      </c>
    </row>
    <row r="331" spans="1:12" x14ac:dyDescent="0.2">
      <c r="A331">
        <v>1630</v>
      </c>
      <c r="B331">
        <v>1078.8399999999999</v>
      </c>
      <c r="C331">
        <v>1076.8</v>
      </c>
      <c r="D331">
        <v>1074.8</v>
      </c>
      <c r="E331">
        <v>1072.8699999999999</v>
      </c>
      <c r="F331">
        <v>1070.99</v>
      </c>
      <c r="G331">
        <v>1069.1600000000001</v>
      </c>
      <c r="H331">
        <v>1067.3800000000001</v>
      </c>
      <c r="I331">
        <v>1065.6600000000001</v>
      </c>
      <c r="J331">
        <v>1063.99</v>
      </c>
      <c r="K331">
        <v>1062.3800000000001</v>
      </c>
      <c r="L331">
        <v>1060.82</v>
      </c>
    </row>
    <row r="332" spans="1:12" x14ac:dyDescent="0.2">
      <c r="A332">
        <v>1635</v>
      </c>
      <c r="B332">
        <v>1082.43</v>
      </c>
      <c r="C332">
        <v>1080.32</v>
      </c>
      <c r="D332">
        <v>1078.26</v>
      </c>
      <c r="E332">
        <v>1076.26</v>
      </c>
      <c r="F332">
        <v>1074.3</v>
      </c>
      <c r="G332">
        <v>1072.4100000000001</v>
      </c>
      <c r="H332">
        <v>1070.56</v>
      </c>
      <c r="I332">
        <v>1068.78</v>
      </c>
      <c r="J332">
        <v>1067.04</v>
      </c>
      <c r="K332">
        <v>1065.3599999999999</v>
      </c>
      <c r="L332">
        <v>1063.73</v>
      </c>
    </row>
    <row r="333" spans="1:12" x14ac:dyDescent="0.2">
      <c r="A333">
        <v>1640</v>
      </c>
      <c r="B333">
        <v>1086.1400000000001</v>
      </c>
      <c r="C333">
        <v>1083.96</v>
      </c>
      <c r="D333">
        <v>1081.83</v>
      </c>
      <c r="E333">
        <v>1079.76</v>
      </c>
      <c r="F333">
        <v>1077.74</v>
      </c>
      <c r="G333">
        <v>1075.78</v>
      </c>
      <c r="H333">
        <v>1073.8699999999999</v>
      </c>
      <c r="I333">
        <v>1072.01</v>
      </c>
      <c r="J333">
        <v>1070.21</v>
      </c>
      <c r="K333">
        <v>1068.46</v>
      </c>
      <c r="L333">
        <v>1066.76</v>
      </c>
    </row>
    <row r="334" spans="1:12" x14ac:dyDescent="0.2">
      <c r="A334">
        <v>1645</v>
      </c>
      <c r="B334">
        <v>1089.96</v>
      </c>
      <c r="C334">
        <v>1087.72</v>
      </c>
      <c r="D334">
        <v>1085.52</v>
      </c>
      <c r="E334">
        <v>1083.3800000000001</v>
      </c>
      <c r="F334">
        <v>1081.29</v>
      </c>
      <c r="G334">
        <v>1079.26</v>
      </c>
      <c r="H334">
        <v>1077.28</v>
      </c>
      <c r="I334">
        <v>1075.3599999999999</v>
      </c>
      <c r="J334">
        <v>1073.49</v>
      </c>
      <c r="K334">
        <v>1071.67</v>
      </c>
      <c r="L334">
        <v>1069.9100000000001</v>
      </c>
    </row>
    <row r="335" spans="1:12" x14ac:dyDescent="0.2">
      <c r="A335">
        <v>1650</v>
      </c>
      <c r="B335">
        <v>1093.9100000000001</v>
      </c>
      <c r="C335">
        <v>1091.5899999999999</v>
      </c>
      <c r="D335">
        <v>1089.33</v>
      </c>
      <c r="E335">
        <v>1087.1199999999999</v>
      </c>
      <c r="F335">
        <v>1084.97</v>
      </c>
      <c r="G335">
        <v>1082.8699999999999</v>
      </c>
      <c r="H335">
        <v>1080.82</v>
      </c>
      <c r="I335">
        <v>1078.83</v>
      </c>
      <c r="J335">
        <v>1076.8900000000001</v>
      </c>
      <c r="K335">
        <v>1075</v>
      </c>
      <c r="L335">
        <v>1073.17</v>
      </c>
    </row>
    <row r="336" spans="1:12" x14ac:dyDescent="0.2">
      <c r="A336">
        <v>1655</v>
      </c>
      <c r="B336">
        <v>1097.97</v>
      </c>
      <c r="C336">
        <v>1095.58</v>
      </c>
      <c r="D336">
        <v>1093.25</v>
      </c>
      <c r="E336">
        <v>1090.98</v>
      </c>
      <c r="F336">
        <v>1088.75</v>
      </c>
      <c r="G336">
        <v>1086.5899999999999</v>
      </c>
      <c r="H336">
        <v>1084.47</v>
      </c>
      <c r="I336">
        <v>1082.4100000000001</v>
      </c>
      <c r="J336">
        <v>1080.4100000000001</v>
      </c>
      <c r="K336">
        <v>1078.45</v>
      </c>
      <c r="L336">
        <v>1076.55</v>
      </c>
    </row>
    <row r="337" spans="1:12" x14ac:dyDescent="0.2">
      <c r="A337">
        <v>1660</v>
      </c>
      <c r="B337">
        <v>1102.1400000000001</v>
      </c>
      <c r="C337">
        <v>1099.69</v>
      </c>
      <c r="D337">
        <v>1097.29</v>
      </c>
      <c r="E337">
        <v>1094.95</v>
      </c>
      <c r="F337">
        <v>1092.6600000000001</v>
      </c>
      <c r="G337">
        <v>1090.42</v>
      </c>
      <c r="H337">
        <v>1088.24</v>
      </c>
      <c r="I337">
        <v>1086.1099999999999</v>
      </c>
      <c r="J337">
        <v>1084.04</v>
      </c>
      <c r="K337">
        <v>1082.02</v>
      </c>
      <c r="L337">
        <v>1080.05</v>
      </c>
    </row>
    <row r="338" spans="1:12" x14ac:dyDescent="0.2">
      <c r="A338">
        <v>1665</v>
      </c>
      <c r="B338">
        <v>1106.44</v>
      </c>
      <c r="C338">
        <v>1103.92</v>
      </c>
      <c r="D338">
        <v>1101.45</v>
      </c>
      <c r="E338">
        <v>1099.04</v>
      </c>
      <c r="F338">
        <v>1096.68</v>
      </c>
      <c r="G338">
        <v>1094.3800000000001</v>
      </c>
      <c r="H338">
        <v>1092.1300000000001</v>
      </c>
      <c r="I338">
        <v>1089.93</v>
      </c>
      <c r="J338">
        <v>1087.79</v>
      </c>
      <c r="K338">
        <v>1085.7</v>
      </c>
      <c r="L338">
        <v>1083.67</v>
      </c>
    </row>
    <row r="339" spans="1:12" x14ac:dyDescent="0.2">
      <c r="A339">
        <v>1670</v>
      </c>
      <c r="B339">
        <v>1110.8499999999999</v>
      </c>
      <c r="C339">
        <v>1108.26</v>
      </c>
      <c r="D339">
        <v>1105.73</v>
      </c>
      <c r="E339">
        <v>1103.25</v>
      </c>
      <c r="F339">
        <v>1100.82</v>
      </c>
      <c r="G339">
        <v>1098.45</v>
      </c>
      <c r="H339">
        <v>1096.1300000000001</v>
      </c>
      <c r="I339">
        <v>1093.8699999999999</v>
      </c>
      <c r="J339">
        <v>1091.6600000000001</v>
      </c>
      <c r="K339">
        <v>1089.5</v>
      </c>
      <c r="L339">
        <v>1087.4000000000001</v>
      </c>
    </row>
    <row r="340" spans="1:12" x14ac:dyDescent="0.2">
      <c r="A340">
        <v>1675</v>
      </c>
      <c r="B340">
        <v>1115.3800000000001</v>
      </c>
      <c r="C340">
        <v>1112.73</v>
      </c>
      <c r="D340">
        <v>1110.1199999999999</v>
      </c>
      <c r="E340">
        <v>1107.58</v>
      </c>
      <c r="F340">
        <v>1105.08</v>
      </c>
      <c r="G340">
        <v>1102.6400000000001</v>
      </c>
      <c r="H340">
        <v>1100.26</v>
      </c>
      <c r="I340">
        <v>1097.92</v>
      </c>
      <c r="J340">
        <v>1095.6500000000001</v>
      </c>
      <c r="K340">
        <v>1093.42</v>
      </c>
      <c r="L340">
        <v>1091.25</v>
      </c>
    </row>
    <row r="341" spans="1:12" x14ac:dyDescent="0.2">
      <c r="A341">
        <v>1680</v>
      </c>
      <c r="B341">
        <v>1120.03</v>
      </c>
      <c r="C341">
        <v>1117.31</v>
      </c>
      <c r="D341">
        <v>1114.6300000000001</v>
      </c>
      <c r="E341">
        <v>1112.02</v>
      </c>
      <c r="F341">
        <v>1109.46</v>
      </c>
      <c r="G341">
        <v>1106.95</v>
      </c>
      <c r="H341">
        <v>1104.5</v>
      </c>
      <c r="I341">
        <v>1102.0999999999999</v>
      </c>
      <c r="J341">
        <v>1099.75</v>
      </c>
      <c r="K341">
        <v>1097.46</v>
      </c>
      <c r="L341">
        <v>1095.22</v>
      </c>
    </row>
    <row r="342" spans="1:12" x14ac:dyDescent="0.2">
      <c r="A342">
        <v>1685</v>
      </c>
      <c r="B342">
        <v>1124.79</v>
      </c>
      <c r="C342">
        <v>1122</v>
      </c>
      <c r="D342">
        <v>1119.26</v>
      </c>
      <c r="E342">
        <v>1116.58</v>
      </c>
      <c r="F342">
        <v>1113.95</v>
      </c>
      <c r="G342">
        <v>1111.3800000000001</v>
      </c>
      <c r="H342">
        <v>1108.8499999999999</v>
      </c>
      <c r="I342">
        <v>1106.3900000000001</v>
      </c>
      <c r="J342">
        <v>1103.97</v>
      </c>
      <c r="K342">
        <v>1101.6099999999999</v>
      </c>
      <c r="L342">
        <v>1099.31</v>
      </c>
    </row>
    <row r="343" spans="1:12" x14ac:dyDescent="0.2">
      <c r="A343">
        <v>1690</v>
      </c>
      <c r="B343">
        <v>1129.68</v>
      </c>
      <c r="C343">
        <v>1126.82</v>
      </c>
      <c r="D343">
        <v>1124.01</v>
      </c>
      <c r="E343">
        <v>1121.26</v>
      </c>
      <c r="F343">
        <v>1118.56</v>
      </c>
      <c r="G343">
        <v>1115.92</v>
      </c>
      <c r="H343">
        <v>1113.33</v>
      </c>
      <c r="I343">
        <v>1110.79</v>
      </c>
      <c r="J343">
        <v>1108.31</v>
      </c>
      <c r="K343">
        <v>1105.8800000000001</v>
      </c>
      <c r="L343">
        <v>1103.51</v>
      </c>
    </row>
    <row r="344" spans="1:12" x14ac:dyDescent="0.2">
      <c r="A344">
        <v>1695</v>
      </c>
      <c r="B344">
        <v>1134.68</v>
      </c>
      <c r="C344">
        <v>1131.75</v>
      </c>
      <c r="D344">
        <v>1128.8699999999999</v>
      </c>
      <c r="E344">
        <v>1126.06</v>
      </c>
      <c r="F344">
        <v>1123.29</v>
      </c>
      <c r="G344">
        <v>1120.58</v>
      </c>
      <c r="H344">
        <v>1117.92</v>
      </c>
      <c r="I344">
        <v>1115.32</v>
      </c>
      <c r="J344">
        <v>1112.77</v>
      </c>
      <c r="K344">
        <v>1110.27</v>
      </c>
      <c r="L344">
        <v>1107.83</v>
      </c>
    </row>
    <row r="345" spans="1:12" x14ac:dyDescent="0.2">
      <c r="A345">
        <v>1700</v>
      </c>
      <c r="B345">
        <v>1139.79</v>
      </c>
      <c r="C345">
        <v>1136.8</v>
      </c>
      <c r="D345">
        <v>1133.8499999999999</v>
      </c>
      <c r="E345">
        <v>1130.97</v>
      </c>
      <c r="F345">
        <v>1128.1400000000001</v>
      </c>
      <c r="G345">
        <v>1125.3599999999999</v>
      </c>
      <c r="H345">
        <v>1122.6300000000001</v>
      </c>
      <c r="I345">
        <v>1119.96</v>
      </c>
      <c r="J345">
        <v>1117.3399999999999</v>
      </c>
      <c r="K345">
        <v>1114.78</v>
      </c>
      <c r="L345">
        <v>1112.27</v>
      </c>
    </row>
    <row r="346" spans="1:12" x14ac:dyDescent="0.2">
      <c r="A346">
        <v>1705</v>
      </c>
      <c r="B346">
        <v>1145.03</v>
      </c>
      <c r="C346">
        <v>1141.96</v>
      </c>
      <c r="D346">
        <v>1138.95</v>
      </c>
      <c r="E346">
        <v>1136</v>
      </c>
      <c r="F346">
        <v>1133.0999999999999</v>
      </c>
      <c r="G346">
        <v>1130.25</v>
      </c>
      <c r="H346">
        <v>1127.46</v>
      </c>
      <c r="I346">
        <v>1124.72</v>
      </c>
      <c r="J346">
        <v>1122.03</v>
      </c>
      <c r="K346">
        <v>1119.4000000000001</v>
      </c>
      <c r="L346">
        <v>1116.82</v>
      </c>
    </row>
    <row r="347" spans="1:12" x14ac:dyDescent="0.2">
      <c r="A347">
        <v>1710</v>
      </c>
      <c r="B347">
        <v>1150.3800000000001</v>
      </c>
      <c r="C347">
        <v>1147.25</v>
      </c>
      <c r="D347">
        <v>1144.17</v>
      </c>
      <c r="E347">
        <v>1141.1500000000001</v>
      </c>
      <c r="F347">
        <v>1138.18</v>
      </c>
      <c r="G347">
        <v>1135.26</v>
      </c>
      <c r="H347">
        <v>1132.4000000000001</v>
      </c>
      <c r="I347">
        <v>1129.5899999999999</v>
      </c>
      <c r="J347">
        <v>1126.8399999999999</v>
      </c>
      <c r="K347">
        <v>1124.1400000000001</v>
      </c>
      <c r="L347">
        <v>1121.5</v>
      </c>
    </row>
    <row r="348" spans="1:12" x14ac:dyDescent="0.2">
      <c r="A348">
        <v>1715</v>
      </c>
      <c r="B348">
        <v>1155.8499999999999</v>
      </c>
      <c r="C348">
        <v>1152.6500000000001</v>
      </c>
      <c r="D348">
        <v>1149.5</v>
      </c>
      <c r="E348">
        <v>1146.4100000000001</v>
      </c>
      <c r="F348">
        <v>1143.3800000000001</v>
      </c>
      <c r="G348">
        <v>1140.3900000000001</v>
      </c>
      <c r="H348">
        <v>1137.46</v>
      </c>
      <c r="I348">
        <v>1134.5899999999999</v>
      </c>
      <c r="J348">
        <v>1131.77</v>
      </c>
      <c r="K348">
        <v>1129</v>
      </c>
      <c r="L348">
        <v>1126.29</v>
      </c>
    </row>
    <row r="349" spans="1:12" x14ac:dyDescent="0.2">
      <c r="A349">
        <v>1720</v>
      </c>
      <c r="B349">
        <v>1161.44</v>
      </c>
      <c r="C349">
        <v>1158.17</v>
      </c>
      <c r="D349">
        <v>1154.95</v>
      </c>
      <c r="E349">
        <v>1151.8</v>
      </c>
      <c r="F349">
        <v>1148.69</v>
      </c>
      <c r="G349">
        <v>1145.6400000000001</v>
      </c>
      <c r="H349">
        <v>1142.6400000000001</v>
      </c>
      <c r="I349">
        <v>1139.7</v>
      </c>
      <c r="J349">
        <v>1136.81</v>
      </c>
      <c r="K349">
        <v>1133.98</v>
      </c>
      <c r="L349">
        <v>1131.2</v>
      </c>
    </row>
    <row r="350" spans="1:12" x14ac:dyDescent="0.2">
      <c r="A350">
        <v>1725</v>
      </c>
      <c r="B350">
        <v>1167.1400000000001</v>
      </c>
      <c r="C350">
        <v>1163.8</v>
      </c>
      <c r="D350">
        <v>1160.52</v>
      </c>
      <c r="E350">
        <v>1157.3</v>
      </c>
      <c r="F350">
        <v>1154.1199999999999</v>
      </c>
      <c r="G350">
        <v>1151</v>
      </c>
      <c r="H350">
        <v>1147.94</v>
      </c>
      <c r="I350">
        <v>1144.93</v>
      </c>
      <c r="J350">
        <v>1141.97</v>
      </c>
      <c r="K350">
        <v>1139.07</v>
      </c>
      <c r="L350">
        <v>1136.22</v>
      </c>
    </row>
    <row r="351" spans="1:12" x14ac:dyDescent="0.2">
      <c r="A351">
        <v>1730</v>
      </c>
      <c r="B351">
        <v>1172.96</v>
      </c>
      <c r="C351">
        <v>1169.56</v>
      </c>
      <c r="D351">
        <v>1166.21</v>
      </c>
      <c r="E351">
        <v>1162.9100000000001</v>
      </c>
      <c r="F351">
        <v>1159.67</v>
      </c>
      <c r="G351">
        <v>1156.49</v>
      </c>
      <c r="H351">
        <v>1153.3499999999999</v>
      </c>
      <c r="I351">
        <v>1150.28</v>
      </c>
      <c r="J351">
        <v>1147.25</v>
      </c>
      <c r="K351">
        <v>1144.28</v>
      </c>
      <c r="L351">
        <v>1141.3599999999999</v>
      </c>
    </row>
    <row r="352" spans="1:12" x14ac:dyDescent="0.2">
      <c r="A352">
        <v>1735</v>
      </c>
      <c r="B352">
        <v>1178.9000000000001</v>
      </c>
      <c r="C352">
        <v>1175.43</v>
      </c>
      <c r="D352">
        <v>1172.01</v>
      </c>
      <c r="E352">
        <v>1168.6500000000001</v>
      </c>
      <c r="F352">
        <v>1165.3399999999999</v>
      </c>
      <c r="G352">
        <v>1162.0899999999999</v>
      </c>
      <c r="H352">
        <v>1158.8900000000001</v>
      </c>
      <c r="I352">
        <v>1155.74</v>
      </c>
      <c r="J352">
        <v>1152.6500000000001</v>
      </c>
      <c r="K352">
        <v>1149.6099999999999</v>
      </c>
      <c r="L352">
        <v>1146.6199999999999</v>
      </c>
    </row>
    <row r="353" spans="1:12" x14ac:dyDescent="0.2">
      <c r="A353">
        <v>1740</v>
      </c>
      <c r="B353">
        <v>1184.96</v>
      </c>
      <c r="C353">
        <v>1181.42</v>
      </c>
      <c r="D353">
        <v>1177.93</v>
      </c>
      <c r="E353">
        <v>1174.5</v>
      </c>
      <c r="F353">
        <v>1171.1300000000001</v>
      </c>
      <c r="G353">
        <v>1167.8</v>
      </c>
      <c r="H353">
        <v>1164.53</v>
      </c>
      <c r="I353">
        <v>1161.32</v>
      </c>
      <c r="J353">
        <v>1158.1600000000001</v>
      </c>
      <c r="K353">
        <v>1155.05</v>
      </c>
      <c r="L353">
        <v>1152</v>
      </c>
    </row>
    <row r="354" spans="1:12" x14ac:dyDescent="0.2">
      <c r="A354">
        <v>1745</v>
      </c>
      <c r="B354">
        <v>1191.1300000000001</v>
      </c>
      <c r="C354">
        <v>1187.52</v>
      </c>
      <c r="D354">
        <v>1183.97</v>
      </c>
      <c r="E354">
        <v>1180.47</v>
      </c>
      <c r="F354">
        <v>1177.03</v>
      </c>
      <c r="G354">
        <v>1173.6400000000001</v>
      </c>
      <c r="H354">
        <v>1170.3</v>
      </c>
      <c r="I354">
        <v>1167.02</v>
      </c>
      <c r="J354">
        <v>1163.79</v>
      </c>
      <c r="K354">
        <v>1160.6199999999999</v>
      </c>
      <c r="L354">
        <v>1157.5</v>
      </c>
    </row>
    <row r="355" spans="1:12" x14ac:dyDescent="0.2">
      <c r="A355">
        <v>1750</v>
      </c>
      <c r="B355">
        <v>1197.42</v>
      </c>
      <c r="C355">
        <v>1193.75</v>
      </c>
      <c r="D355">
        <v>1190.1199999999999</v>
      </c>
      <c r="E355">
        <v>1186.56</v>
      </c>
      <c r="F355">
        <v>1183.05</v>
      </c>
      <c r="G355">
        <v>1179.5899999999999</v>
      </c>
      <c r="H355">
        <v>1176.19</v>
      </c>
      <c r="I355">
        <v>1172.83</v>
      </c>
      <c r="J355">
        <v>1169.54</v>
      </c>
      <c r="K355">
        <v>1166.3</v>
      </c>
      <c r="L355">
        <v>1163.1099999999999</v>
      </c>
    </row>
    <row r="356" spans="1:12" x14ac:dyDescent="0.2">
      <c r="A356">
        <v>1755</v>
      </c>
      <c r="B356">
        <v>1203.83</v>
      </c>
      <c r="C356">
        <v>1200.0899999999999</v>
      </c>
      <c r="D356">
        <v>1196.4000000000001</v>
      </c>
      <c r="E356">
        <v>1192.77</v>
      </c>
      <c r="F356">
        <v>1189.19</v>
      </c>
      <c r="G356">
        <v>1185.6600000000001</v>
      </c>
      <c r="H356">
        <v>1182.19</v>
      </c>
      <c r="I356">
        <v>1178.77</v>
      </c>
      <c r="J356">
        <v>1175.4000000000001</v>
      </c>
      <c r="K356">
        <v>1172.0899999999999</v>
      </c>
      <c r="L356">
        <v>1168.8399999999999</v>
      </c>
    </row>
    <row r="357" spans="1:12" x14ac:dyDescent="0.2">
      <c r="A357">
        <v>1760</v>
      </c>
      <c r="B357">
        <v>1210.3599999999999</v>
      </c>
      <c r="C357">
        <v>1206.55</v>
      </c>
      <c r="D357">
        <v>1202.79</v>
      </c>
      <c r="E357">
        <v>1199.0899999999999</v>
      </c>
      <c r="F357">
        <v>1195.44</v>
      </c>
      <c r="G357">
        <v>1191.8499999999999</v>
      </c>
      <c r="H357">
        <v>1188.31</v>
      </c>
      <c r="I357">
        <v>1184.82</v>
      </c>
      <c r="J357">
        <v>1181.3900000000001</v>
      </c>
      <c r="K357">
        <v>1178.01</v>
      </c>
      <c r="L357">
        <v>1174.68</v>
      </c>
    </row>
    <row r="358" spans="1:12" x14ac:dyDescent="0.2">
      <c r="A358">
        <v>1765</v>
      </c>
      <c r="B358">
        <v>1217</v>
      </c>
      <c r="C358">
        <v>1213.1199999999999</v>
      </c>
      <c r="D358">
        <v>1209.3</v>
      </c>
      <c r="E358">
        <v>1205.53</v>
      </c>
      <c r="F358">
        <v>1201.81</v>
      </c>
      <c r="G358">
        <v>1198.1500000000001</v>
      </c>
      <c r="H358">
        <v>1194.54</v>
      </c>
      <c r="I358">
        <v>1190.99</v>
      </c>
      <c r="J358">
        <v>1187.49</v>
      </c>
      <c r="K358">
        <v>1184.04</v>
      </c>
      <c r="L358">
        <v>1180.6500000000001</v>
      </c>
    </row>
    <row r="359" spans="1:12" x14ac:dyDescent="0.2">
      <c r="A359">
        <v>1770</v>
      </c>
      <c r="B359">
        <v>1223.76</v>
      </c>
      <c r="C359">
        <v>1219.82</v>
      </c>
      <c r="D359">
        <v>1215.92</v>
      </c>
      <c r="E359">
        <v>1212.0899999999999</v>
      </c>
      <c r="F359">
        <v>1208.3</v>
      </c>
      <c r="G359">
        <v>1204.57</v>
      </c>
      <c r="H359">
        <v>1200.8900000000001</v>
      </c>
      <c r="I359">
        <v>1197.27</v>
      </c>
      <c r="J359">
        <v>1193.7</v>
      </c>
      <c r="K359">
        <v>1190.19</v>
      </c>
      <c r="L359">
        <v>1186.73</v>
      </c>
    </row>
    <row r="360" spans="1:12" x14ac:dyDescent="0.2">
      <c r="A360">
        <v>1775</v>
      </c>
      <c r="B360">
        <v>1230.6400000000001</v>
      </c>
      <c r="C360">
        <v>1226.6300000000001</v>
      </c>
      <c r="D360">
        <v>1222.6600000000001</v>
      </c>
      <c r="E360">
        <v>1218.76</v>
      </c>
      <c r="F360">
        <v>1214.9100000000001</v>
      </c>
      <c r="G360">
        <v>1211.1099999999999</v>
      </c>
      <c r="H360">
        <v>1207.3699999999999</v>
      </c>
      <c r="I360">
        <v>1203.68</v>
      </c>
      <c r="J360">
        <v>1200.04</v>
      </c>
      <c r="K360">
        <v>1196.46</v>
      </c>
      <c r="L360">
        <v>1192.93</v>
      </c>
    </row>
    <row r="361" spans="1:12" x14ac:dyDescent="0.2">
      <c r="A361">
        <v>1780</v>
      </c>
      <c r="B361">
        <v>1237.6400000000001</v>
      </c>
      <c r="C361">
        <v>1233.55</v>
      </c>
      <c r="D361">
        <v>1229.52</v>
      </c>
      <c r="E361">
        <v>1225.55</v>
      </c>
      <c r="F361">
        <v>1221.6300000000001</v>
      </c>
      <c r="G361">
        <v>1217.77</v>
      </c>
      <c r="H361">
        <v>1213.95</v>
      </c>
      <c r="I361">
        <v>1210.2</v>
      </c>
      <c r="J361">
        <v>1206.49</v>
      </c>
      <c r="K361">
        <v>1202.8399999999999</v>
      </c>
      <c r="L361">
        <v>1199.25</v>
      </c>
    </row>
    <row r="362" spans="1:12" x14ac:dyDescent="0.2">
      <c r="A362">
        <v>1785</v>
      </c>
      <c r="B362">
        <v>1244.75</v>
      </c>
      <c r="C362">
        <v>1240.5999999999999</v>
      </c>
      <c r="D362">
        <v>1236.5</v>
      </c>
      <c r="E362">
        <v>1232.46</v>
      </c>
      <c r="F362">
        <v>1228.47</v>
      </c>
      <c r="G362">
        <v>1224.54</v>
      </c>
      <c r="H362">
        <v>1220.6600000000001</v>
      </c>
      <c r="I362">
        <v>1216.83</v>
      </c>
      <c r="J362">
        <v>1213.06</v>
      </c>
      <c r="K362">
        <v>1209.3399999999999</v>
      </c>
      <c r="L362">
        <v>1205.68</v>
      </c>
    </row>
    <row r="363" spans="1:12" x14ac:dyDescent="0.2">
      <c r="A363">
        <v>1790</v>
      </c>
      <c r="B363">
        <v>1251.98</v>
      </c>
      <c r="C363">
        <v>1247.76</v>
      </c>
      <c r="D363">
        <v>1243.5999999999999</v>
      </c>
      <c r="E363">
        <v>1239.49</v>
      </c>
      <c r="F363">
        <v>1235.43</v>
      </c>
      <c r="G363">
        <v>1231.43</v>
      </c>
      <c r="H363">
        <v>1227.48</v>
      </c>
      <c r="I363">
        <v>1223.5899999999999</v>
      </c>
      <c r="J363">
        <v>1219.75</v>
      </c>
      <c r="K363">
        <v>1215.96</v>
      </c>
      <c r="L363">
        <v>1212.23</v>
      </c>
    </row>
    <row r="364" spans="1:12" x14ac:dyDescent="0.2">
      <c r="A364">
        <v>1795</v>
      </c>
      <c r="B364">
        <v>1259.33</v>
      </c>
      <c r="C364">
        <v>1255.04</v>
      </c>
      <c r="D364">
        <v>1250.81</v>
      </c>
      <c r="E364">
        <v>1246.6300000000001</v>
      </c>
      <c r="F364">
        <v>1242.51</v>
      </c>
      <c r="G364">
        <v>1238.44</v>
      </c>
      <c r="H364">
        <v>1234.42</v>
      </c>
      <c r="I364">
        <v>1230.46</v>
      </c>
      <c r="J364">
        <v>1226.56</v>
      </c>
      <c r="K364">
        <v>1222.7</v>
      </c>
      <c r="L364">
        <v>1218.9000000000001</v>
      </c>
    </row>
    <row r="365" spans="1:12" x14ac:dyDescent="0.2">
      <c r="A365">
        <v>1800</v>
      </c>
      <c r="B365">
        <v>1266.79</v>
      </c>
      <c r="C365">
        <v>1262.44</v>
      </c>
      <c r="D365">
        <v>1258.1400000000001</v>
      </c>
      <c r="E365">
        <v>1253.8900000000001</v>
      </c>
      <c r="F365">
        <v>1249.7</v>
      </c>
      <c r="G365">
        <v>1245.57</v>
      </c>
      <c r="H365">
        <v>1241.48</v>
      </c>
      <c r="I365">
        <v>1237.45</v>
      </c>
      <c r="J365">
        <v>1233.48</v>
      </c>
      <c r="K365">
        <v>1229.56</v>
      </c>
      <c r="L365">
        <v>1225.69</v>
      </c>
    </row>
    <row r="366" spans="1:12" x14ac:dyDescent="0.2">
      <c r="A366">
        <v>1805</v>
      </c>
      <c r="B366">
        <v>1274.3800000000001</v>
      </c>
      <c r="C366">
        <v>1269.95</v>
      </c>
      <c r="D366">
        <v>1265.58</v>
      </c>
      <c r="E366">
        <v>1261.27</v>
      </c>
      <c r="F366">
        <v>1257.01</v>
      </c>
      <c r="G366">
        <v>1252.81</v>
      </c>
      <c r="H366">
        <v>1248.6600000000001</v>
      </c>
      <c r="I366">
        <v>1244.56</v>
      </c>
      <c r="J366">
        <v>1240.52</v>
      </c>
      <c r="K366">
        <v>1236.53</v>
      </c>
      <c r="L366">
        <v>1232.5899999999999</v>
      </c>
    </row>
    <row r="367" spans="1:12" x14ac:dyDescent="0.2">
      <c r="A367">
        <v>1810</v>
      </c>
      <c r="B367">
        <v>1282.08</v>
      </c>
      <c r="C367">
        <v>1277.5899999999999</v>
      </c>
      <c r="D367">
        <v>1273.1500000000001</v>
      </c>
      <c r="E367">
        <v>1268.77</v>
      </c>
      <c r="F367">
        <v>1264.44</v>
      </c>
      <c r="G367">
        <v>1260.17</v>
      </c>
      <c r="H367">
        <v>1255.95</v>
      </c>
      <c r="I367">
        <v>1251.79</v>
      </c>
      <c r="J367">
        <v>1247.67</v>
      </c>
      <c r="K367">
        <v>1243.6199999999999</v>
      </c>
      <c r="L367">
        <v>1239.6099999999999</v>
      </c>
    </row>
    <row r="368" spans="1:12" x14ac:dyDescent="0.2">
      <c r="A368">
        <v>1815</v>
      </c>
      <c r="B368">
        <v>1289.8900000000001</v>
      </c>
      <c r="C368">
        <v>1285.3399999999999</v>
      </c>
      <c r="D368">
        <v>1280.83</v>
      </c>
      <c r="E368">
        <v>1276.3800000000001</v>
      </c>
      <c r="F368">
        <v>1271.99</v>
      </c>
      <c r="G368">
        <v>1267.6500000000001</v>
      </c>
      <c r="H368">
        <v>1263.3599999999999</v>
      </c>
      <c r="I368">
        <v>1259.1300000000001</v>
      </c>
      <c r="J368">
        <v>1254.95</v>
      </c>
      <c r="K368">
        <v>1250.82</v>
      </c>
      <c r="L368">
        <v>1246.75</v>
      </c>
    </row>
    <row r="369" spans="1:12" x14ac:dyDescent="0.2">
      <c r="A369">
        <v>1820</v>
      </c>
      <c r="B369">
        <v>1297.83</v>
      </c>
      <c r="C369">
        <v>1293.2</v>
      </c>
      <c r="D369">
        <v>1288.6300000000001</v>
      </c>
      <c r="E369">
        <v>1284.1199999999999</v>
      </c>
      <c r="F369">
        <v>1279.6500000000001</v>
      </c>
      <c r="G369">
        <v>1275.24</v>
      </c>
      <c r="H369">
        <v>1270.8900000000001</v>
      </c>
      <c r="I369">
        <v>1266.5899999999999</v>
      </c>
      <c r="J369">
        <v>1262.3399999999999</v>
      </c>
      <c r="K369">
        <v>1258.1500000000001</v>
      </c>
      <c r="L369">
        <v>1254.01</v>
      </c>
    </row>
    <row r="370" spans="1:12" x14ac:dyDescent="0.2">
      <c r="A370">
        <v>1825</v>
      </c>
      <c r="B370">
        <v>1305.8800000000001</v>
      </c>
      <c r="C370">
        <v>1301.19</v>
      </c>
      <c r="D370">
        <v>1296.55</v>
      </c>
      <c r="E370">
        <v>1291.97</v>
      </c>
      <c r="F370">
        <v>1287.43</v>
      </c>
      <c r="G370">
        <v>1282.96</v>
      </c>
      <c r="H370">
        <v>1278.53</v>
      </c>
      <c r="I370">
        <v>1274.17</v>
      </c>
      <c r="J370">
        <v>1269.8499999999999</v>
      </c>
      <c r="K370">
        <v>1265.5899999999999</v>
      </c>
      <c r="L370">
        <v>1261.3800000000001</v>
      </c>
    </row>
    <row r="371" spans="1:12" x14ac:dyDescent="0.2">
      <c r="A371">
        <v>1830</v>
      </c>
      <c r="B371">
        <v>1314.05</v>
      </c>
      <c r="C371">
        <v>1309.29</v>
      </c>
      <c r="D371">
        <v>1304.58</v>
      </c>
      <c r="E371">
        <v>1299.93</v>
      </c>
      <c r="F371">
        <v>1295.33</v>
      </c>
      <c r="G371">
        <v>1290.79</v>
      </c>
      <c r="H371">
        <v>1286.3</v>
      </c>
      <c r="I371">
        <v>1281.8599999999999</v>
      </c>
      <c r="J371">
        <v>1277.48</v>
      </c>
      <c r="K371">
        <v>1273.1500000000001</v>
      </c>
      <c r="L371">
        <v>1268.8699999999999</v>
      </c>
    </row>
    <row r="372" spans="1:12" x14ac:dyDescent="0.2">
      <c r="A372">
        <v>1835</v>
      </c>
      <c r="B372">
        <v>1322.34</v>
      </c>
      <c r="C372">
        <v>1317.51</v>
      </c>
      <c r="D372">
        <v>1312.73</v>
      </c>
      <c r="E372">
        <v>1308.02</v>
      </c>
      <c r="F372">
        <v>1303.3499999999999</v>
      </c>
      <c r="G372">
        <v>1298.74</v>
      </c>
      <c r="H372">
        <v>1294.18</v>
      </c>
      <c r="I372">
        <v>1289.67</v>
      </c>
      <c r="J372">
        <v>1285.22</v>
      </c>
      <c r="K372">
        <v>1280.82</v>
      </c>
      <c r="L372">
        <v>1276.48</v>
      </c>
    </row>
    <row r="373" spans="1:12" x14ac:dyDescent="0.2">
      <c r="A373">
        <v>1840</v>
      </c>
      <c r="B373">
        <v>1330.74</v>
      </c>
      <c r="C373">
        <v>1325.85</v>
      </c>
      <c r="D373">
        <v>1321</v>
      </c>
      <c r="E373">
        <v>1316.22</v>
      </c>
      <c r="F373">
        <v>1311.48</v>
      </c>
      <c r="G373">
        <v>1306.8</v>
      </c>
      <c r="H373">
        <v>1302.17</v>
      </c>
      <c r="I373">
        <v>1297.5999999999999</v>
      </c>
      <c r="J373">
        <v>1293.08</v>
      </c>
      <c r="K373">
        <v>1288.6199999999999</v>
      </c>
      <c r="L373">
        <v>1284.21</v>
      </c>
    </row>
    <row r="374" spans="1:12" x14ac:dyDescent="0.2">
      <c r="A374">
        <v>1845</v>
      </c>
      <c r="B374">
        <v>1339.27</v>
      </c>
      <c r="C374">
        <v>1334.3</v>
      </c>
      <c r="D374">
        <v>1329.39</v>
      </c>
      <c r="E374">
        <v>1324.54</v>
      </c>
      <c r="F374">
        <v>1319.73</v>
      </c>
      <c r="G374">
        <v>1314.98</v>
      </c>
      <c r="H374">
        <v>1310.29</v>
      </c>
      <c r="I374">
        <v>1305.6500000000001</v>
      </c>
      <c r="J374">
        <v>1301.06</v>
      </c>
      <c r="K374">
        <v>1296.53</v>
      </c>
      <c r="L374">
        <v>1292.05</v>
      </c>
    </row>
    <row r="375" spans="1:12" x14ac:dyDescent="0.2">
      <c r="A375">
        <v>1850</v>
      </c>
      <c r="B375">
        <v>1347.91</v>
      </c>
      <c r="C375">
        <v>1342.87</v>
      </c>
      <c r="D375">
        <v>1337.89</v>
      </c>
      <c r="E375">
        <v>1332.97</v>
      </c>
      <c r="F375">
        <v>1328.1</v>
      </c>
      <c r="G375">
        <v>1323.28</v>
      </c>
      <c r="H375">
        <v>1318.52</v>
      </c>
      <c r="I375">
        <v>1313.81</v>
      </c>
      <c r="J375">
        <v>1309.1600000000001</v>
      </c>
      <c r="K375">
        <v>1304.56</v>
      </c>
      <c r="L375">
        <v>1300.01</v>
      </c>
    </row>
    <row r="376" spans="1:12" x14ac:dyDescent="0.2">
      <c r="A376">
        <v>1855</v>
      </c>
      <c r="B376">
        <v>1356.66</v>
      </c>
      <c r="C376">
        <v>1351.56</v>
      </c>
      <c r="D376">
        <v>1346.51</v>
      </c>
      <c r="E376">
        <v>1341.52</v>
      </c>
      <c r="F376">
        <v>1336.59</v>
      </c>
      <c r="G376">
        <v>1331.7</v>
      </c>
      <c r="H376">
        <v>1326.87</v>
      </c>
      <c r="I376">
        <v>1322.1</v>
      </c>
      <c r="J376">
        <v>1317.37</v>
      </c>
      <c r="K376">
        <v>1312.7</v>
      </c>
      <c r="L376">
        <v>1308.0899999999999</v>
      </c>
    </row>
    <row r="377" spans="1:12" x14ac:dyDescent="0.2">
      <c r="A377">
        <v>1860</v>
      </c>
      <c r="B377">
        <v>1365.54</v>
      </c>
      <c r="C377">
        <v>1360.37</v>
      </c>
      <c r="D377">
        <v>1355.25</v>
      </c>
      <c r="E377">
        <v>1350.2</v>
      </c>
      <c r="F377">
        <v>1345.19</v>
      </c>
      <c r="G377">
        <v>1340.24</v>
      </c>
      <c r="H377">
        <v>1335.34</v>
      </c>
      <c r="I377">
        <v>1330.49</v>
      </c>
      <c r="J377">
        <v>1325.7</v>
      </c>
      <c r="K377">
        <v>1320.97</v>
      </c>
      <c r="L377">
        <v>1316.29</v>
      </c>
    </row>
    <row r="378" spans="1:12" x14ac:dyDescent="0.2">
      <c r="A378">
        <v>1865</v>
      </c>
      <c r="B378">
        <v>1374.53</v>
      </c>
      <c r="C378">
        <v>1369.29</v>
      </c>
      <c r="D378">
        <v>1364.11</v>
      </c>
      <c r="E378">
        <v>1358.98</v>
      </c>
      <c r="F378">
        <v>1353.91</v>
      </c>
      <c r="G378">
        <v>1348.89</v>
      </c>
      <c r="H378">
        <v>1343.92</v>
      </c>
      <c r="I378">
        <v>1339.01</v>
      </c>
      <c r="J378">
        <v>1334.15</v>
      </c>
      <c r="K378">
        <v>1329.35</v>
      </c>
      <c r="L378">
        <v>1324.6</v>
      </c>
    </row>
    <row r="379" spans="1:12" x14ac:dyDescent="0.2">
      <c r="A379">
        <v>1870</v>
      </c>
      <c r="B379">
        <v>1383.64</v>
      </c>
      <c r="C379">
        <v>1378.34</v>
      </c>
      <c r="D379">
        <v>1373.08</v>
      </c>
      <c r="E379">
        <v>1367.89</v>
      </c>
      <c r="F379">
        <v>1362.75</v>
      </c>
      <c r="G379">
        <v>1357.66</v>
      </c>
      <c r="H379">
        <v>1352.63</v>
      </c>
      <c r="I379">
        <v>1347.65</v>
      </c>
      <c r="J379">
        <v>1342.72</v>
      </c>
      <c r="K379">
        <v>1337.85</v>
      </c>
      <c r="L379">
        <v>1333.03</v>
      </c>
    </row>
    <row r="380" spans="1:12" x14ac:dyDescent="0.2">
      <c r="A380">
        <v>1875</v>
      </c>
      <c r="B380">
        <v>1392.87</v>
      </c>
      <c r="C380">
        <v>1387.5</v>
      </c>
      <c r="D380">
        <v>1382.17</v>
      </c>
      <c r="E380">
        <v>1376.91</v>
      </c>
      <c r="F380">
        <v>1371.7</v>
      </c>
      <c r="G380">
        <v>1366.55</v>
      </c>
      <c r="H380">
        <v>1361.45</v>
      </c>
      <c r="I380">
        <v>1356.4</v>
      </c>
      <c r="J380">
        <v>1351.4</v>
      </c>
      <c r="K380">
        <v>1346.46</v>
      </c>
      <c r="L380">
        <v>1341.58</v>
      </c>
    </row>
    <row r="381" spans="1:12" x14ac:dyDescent="0.2">
      <c r="A381">
        <v>1880</v>
      </c>
      <c r="B381">
        <v>1402.21</v>
      </c>
      <c r="C381">
        <v>1396.77</v>
      </c>
      <c r="D381">
        <v>1391.38</v>
      </c>
      <c r="E381">
        <v>1386.05</v>
      </c>
      <c r="F381">
        <v>1380.78</v>
      </c>
      <c r="G381">
        <v>1375.55</v>
      </c>
      <c r="H381">
        <v>1370.38</v>
      </c>
      <c r="I381">
        <v>1365.27</v>
      </c>
      <c r="J381">
        <v>1360.2</v>
      </c>
      <c r="K381">
        <v>1355.2</v>
      </c>
      <c r="L381">
        <v>1350.24</v>
      </c>
    </row>
    <row r="382" spans="1:12" x14ac:dyDescent="0.2">
      <c r="A382">
        <v>1885</v>
      </c>
      <c r="B382">
        <v>1411.67</v>
      </c>
      <c r="C382">
        <v>1406.17</v>
      </c>
      <c r="D382">
        <v>1400.71</v>
      </c>
      <c r="E382">
        <v>1395.31</v>
      </c>
      <c r="F382">
        <v>1389.97</v>
      </c>
      <c r="G382">
        <v>1384.67</v>
      </c>
      <c r="H382">
        <v>1379.44</v>
      </c>
      <c r="I382">
        <v>1374.25</v>
      </c>
      <c r="J382">
        <v>1369.12</v>
      </c>
      <c r="K382">
        <v>1364.05</v>
      </c>
      <c r="L382">
        <v>1359.03</v>
      </c>
    </row>
    <row r="383" spans="1:12" x14ac:dyDescent="0.2">
      <c r="A383">
        <v>1890</v>
      </c>
      <c r="B383">
        <v>1421.25</v>
      </c>
      <c r="C383">
        <v>1415.68</v>
      </c>
      <c r="D383">
        <v>1410.15</v>
      </c>
      <c r="E383">
        <v>1404.69</v>
      </c>
      <c r="F383">
        <v>1399.27</v>
      </c>
      <c r="G383">
        <v>1393.91</v>
      </c>
      <c r="H383">
        <v>1388.61</v>
      </c>
      <c r="I383">
        <v>1383.36</v>
      </c>
      <c r="J383">
        <v>1378.16</v>
      </c>
      <c r="K383">
        <v>1373.02</v>
      </c>
      <c r="L383">
        <v>1367.93</v>
      </c>
    </row>
    <row r="384" spans="1:12" x14ac:dyDescent="0.2">
      <c r="A384">
        <v>1895</v>
      </c>
      <c r="B384">
        <v>1430.95</v>
      </c>
      <c r="C384">
        <v>1425.31</v>
      </c>
      <c r="D384">
        <v>1419.71</v>
      </c>
      <c r="E384">
        <v>1414.18</v>
      </c>
      <c r="F384">
        <v>1408.7</v>
      </c>
      <c r="G384">
        <v>1403.27</v>
      </c>
      <c r="H384">
        <v>1397.9</v>
      </c>
      <c r="I384">
        <v>1392.58</v>
      </c>
      <c r="J384">
        <v>1387.31</v>
      </c>
      <c r="K384">
        <v>1382.1</v>
      </c>
      <c r="L384">
        <v>1376.94</v>
      </c>
    </row>
    <row r="385" spans="1:12" x14ac:dyDescent="0.2">
      <c r="A385">
        <v>1900</v>
      </c>
      <c r="B385">
        <v>1440.76</v>
      </c>
      <c r="C385">
        <v>1435.05</v>
      </c>
      <c r="D385">
        <v>1429.39</v>
      </c>
      <c r="E385">
        <v>1423.79</v>
      </c>
      <c r="F385">
        <v>1418.24</v>
      </c>
      <c r="G385">
        <v>1412.75</v>
      </c>
      <c r="H385">
        <v>1407.3</v>
      </c>
      <c r="I385">
        <v>1401.92</v>
      </c>
      <c r="J385">
        <v>1396.58</v>
      </c>
      <c r="K385">
        <v>1391.3</v>
      </c>
      <c r="L385">
        <v>1386.08</v>
      </c>
    </row>
    <row r="386" spans="1:12" x14ac:dyDescent="0.2">
      <c r="A386">
        <v>1905</v>
      </c>
      <c r="B386">
        <v>1450.7</v>
      </c>
      <c r="C386">
        <v>1444.92</v>
      </c>
      <c r="D386">
        <v>1439.19</v>
      </c>
      <c r="E386">
        <v>1433.52</v>
      </c>
      <c r="F386">
        <v>1427.9</v>
      </c>
      <c r="G386">
        <v>1422.34</v>
      </c>
      <c r="H386">
        <v>1416.83</v>
      </c>
      <c r="I386">
        <v>1411.37</v>
      </c>
      <c r="J386">
        <v>1405.97</v>
      </c>
      <c r="K386">
        <v>1400.62</v>
      </c>
      <c r="L386">
        <v>1395.33</v>
      </c>
    </row>
    <row r="387" spans="1:12" x14ac:dyDescent="0.2">
      <c r="A387">
        <v>1910</v>
      </c>
      <c r="B387">
        <v>1460.74</v>
      </c>
      <c r="C387">
        <v>1454.9</v>
      </c>
      <c r="D387">
        <v>1449.1</v>
      </c>
      <c r="E387">
        <v>1443.36</v>
      </c>
      <c r="F387">
        <v>1437.68</v>
      </c>
      <c r="G387">
        <v>1432.05</v>
      </c>
      <c r="H387">
        <v>1426.47</v>
      </c>
      <c r="I387">
        <v>1420.95</v>
      </c>
      <c r="J387">
        <v>1415.48</v>
      </c>
      <c r="K387">
        <v>1410.06</v>
      </c>
      <c r="L387">
        <v>1404.7</v>
      </c>
    </row>
    <row r="388" spans="1:12" x14ac:dyDescent="0.2">
      <c r="A388">
        <v>1915</v>
      </c>
      <c r="B388">
        <v>1470.91</v>
      </c>
      <c r="C388">
        <v>1464.99</v>
      </c>
      <c r="D388">
        <v>1459.13</v>
      </c>
      <c r="E388">
        <v>1453.33</v>
      </c>
      <c r="F388">
        <v>1447.57</v>
      </c>
      <c r="G388">
        <v>1441.87</v>
      </c>
      <c r="H388">
        <v>1436.23</v>
      </c>
      <c r="I388">
        <v>1430.64</v>
      </c>
      <c r="J388">
        <v>1425.1</v>
      </c>
      <c r="K388">
        <v>1419.62</v>
      </c>
      <c r="L388">
        <v>1414.19</v>
      </c>
    </row>
    <row r="389" spans="1:12" x14ac:dyDescent="0.2">
      <c r="A389">
        <v>1920</v>
      </c>
      <c r="B389">
        <v>1481.19</v>
      </c>
      <c r="C389">
        <v>1475.21</v>
      </c>
      <c r="D389">
        <v>1469.28</v>
      </c>
      <c r="E389">
        <v>1463.41</v>
      </c>
      <c r="F389">
        <v>1457.59</v>
      </c>
      <c r="G389">
        <v>1451.82</v>
      </c>
      <c r="H389">
        <v>1446.11</v>
      </c>
      <c r="I389">
        <v>1440.45</v>
      </c>
      <c r="J389">
        <v>1434.84</v>
      </c>
      <c r="K389">
        <v>1429.29</v>
      </c>
      <c r="L389">
        <v>1423.79</v>
      </c>
    </row>
    <row r="390" spans="1:12" x14ac:dyDescent="0.2">
      <c r="A390">
        <v>1925</v>
      </c>
      <c r="B390">
        <v>1491.6</v>
      </c>
      <c r="C390">
        <v>1485.54</v>
      </c>
      <c r="D390">
        <v>1479.54</v>
      </c>
      <c r="E390">
        <v>1473.6</v>
      </c>
      <c r="F390">
        <v>1467.71</v>
      </c>
      <c r="G390">
        <v>1461.88</v>
      </c>
      <c r="H390">
        <v>1456.1</v>
      </c>
      <c r="I390">
        <v>1450.37</v>
      </c>
      <c r="J390">
        <v>1444.7</v>
      </c>
      <c r="K390">
        <v>1439.08</v>
      </c>
      <c r="L390">
        <v>1433.51</v>
      </c>
    </row>
    <row r="391" spans="1:12" x14ac:dyDescent="0.2">
      <c r="A391">
        <v>1930</v>
      </c>
      <c r="B391">
        <v>1502.11</v>
      </c>
      <c r="C391">
        <v>1496</v>
      </c>
      <c r="D391">
        <v>1489.93</v>
      </c>
      <c r="E391">
        <v>1483.92</v>
      </c>
      <c r="F391">
        <v>1477.96</v>
      </c>
      <c r="G391">
        <v>1472.06</v>
      </c>
      <c r="H391">
        <v>1466.21</v>
      </c>
      <c r="I391">
        <v>1460.42</v>
      </c>
      <c r="J391">
        <v>1454.67</v>
      </c>
      <c r="K391">
        <v>1448.99</v>
      </c>
      <c r="L391">
        <v>1443.35</v>
      </c>
    </row>
    <row r="392" spans="1:12" x14ac:dyDescent="0.2">
      <c r="A392">
        <v>1935</v>
      </c>
      <c r="B392">
        <v>1512.75</v>
      </c>
      <c r="C392">
        <v>1506.56</v>
      </c>
      <c r="D392">
        <v>1500.43</v>
      </c>
      <c r="E392">
        <v>1494.35</v>
      </c>
      <c r="F392">
        <v>1488.33</v>
      </c>
      <c r="G392">
        <v>1482.36</v>
      </c>
      <c r="H392">
        <v>1476.44</v>
      </c>
      <c r="I392">
        <v>1470.58</v>
      </c>
      <c r="J392">
        <v>1464.77</v>
      </c>
      <c r="K392">
        <v>1459.01</v>
      </c>
      <c r="L392">
        <v>1453.31</v>
      </c>
    </row>
    <row r="393" spans="1:12" x14ac:dyDescent="0.2">
      <c r="A393">
        <v>1940</v>
      </c>
      <c r="B393">
        <v>1523.5</v>
      </c>
      <c r="C393">
        <v>1517.25</v>
      </c>
      <c r="D393">
        <v>1511.05</v>
      </c>
      <c r="E393">
        <v>1504.9</v>
      </c>
      <c r="F393">
        <v>1498.81</v>
      </c>
      <c r="G393">
        <v>1492.77</v>
      </c>
      <c r="H393">
        <v>1486.79</v>
      </c>
      <c r="I393">
        <v>1480.85</v>
      </c>
      <c r="J393">
        <v>1474.98</v>
      </c>
      <c r="K393">
        <v>1469.15</v>
      </c>
      <c r="L393">
        <v>1463.39</v>
      </c>
    </row>
    <row r="394" spans="1:12" x14ac:dyDescent="0.2">
      <c r="A394">
        <v>1945</v>
      </c>
      <c r="B394">
        <v>1534.37</v>
      </c>
      <c r="C394">
        <v>1528.05</v>
      </c>
      <c r="D394">
        <v>1521.78</v>
      </c>
      <c r="E394">
        <v>1515.57</v>
      </c>
      <c r="F394">
        <v>1509.41</v>
      </c>
      <c r="G394">
        <v>1503.3</v>
      </c>
      <c r="H394">
        <v>1497.25</v>
      </c>
      <c r="I394">
        <v>1491.25</v>
      </c>
      <c r="J394">
        <v>1485.31</v>
      </c>
      <c r="K394">
        <v>1479.41</v>
      </c>
      <c r="L394">
        <v>1473.58</v>
      </c>
    </row>
    <row r="395" spans="1:12" x14ac:dyDescent="0.2">
      <c r="A395">
        <v>1950</v>
      </c>
      <c r="B395">
        <v>1545.36</v>
      </c>
      <c r="C395">
        <v>1538.97</v>
      </c>
      <c r="D395">
        <v>1532.63</v>
      </c>
      <c r="E395">
        <v>1526.35</v>
      </c>
      <c r="F395">
        <v>1520.12</v>
      </c>
      <c r="G395">
        <v>1513.95</v>
      </c>
      <c r="H395">
        <v>1507.83</v>
      </c>
      <c r="I395">
        <v>1501.76</v>
      </c>
      <c r="J395">
        <v>1495.75</v>
      </c>
      <c r="K395">
        <v>1489.79</v>
      </c>
      <c r="L395">
        <v>1483.89</v>
      </c>
    </row>
    <row r="396" spans="1:12" x14ac:dyDescent="0.2">
      <c r="A396">
        <v>1955</v>
      </c>
      <c r="B396">
        <v>1556.47</v>
      </c>
      <c r="C396">
        <v>1550.01</v>
      </c>
      <c r="D396">
        <v>1543.6</v>
      </c>
      <c r="E396">
        <v>1537.25</v>
      </c>
      <c r="F396">
        <v>1530.96</v>
      </c>
      <c r="G396">
        <v>1524.72</v>
      </c>
      <c r="H396">
        <v>1518.53</v>
      </c>
      <c r="I396">
        <v>1512.39</v>
      </c>
      <c r="J396">
        <v>1506.31</v>
      </c>
      <c r="K396">
        <v>1500.29</v>
      </c>
      <c r="L396">
        <v>1494.31</v>
      </c>
    </row>
    <row r="397" spans="1:12" x14ac:dyDescent="0.2">
      <c r="A397">
        <v>1960</v>
      </c>
      <c r="B397">
        <v>1567.69</v>
      </c>
      <c r="C397">
        <v>1561.16</v>
      </c>
      <c r="D397">
        <v>1554.69</v>
      </c>
      <c r="E397">
        <v>1548.27</v>
      </c>
      <c r="F397">
        <v>1541.91</v>
      </c>
      <c r="G397">
        <v>1535.6</v>
      </c>
      <c r="H397">
        <v>1529.34</v>
      </c>
      <c r="I397">
        <v>1523.14</v>
      </c>
      <c r="J397">
        <v>1516.99</v>
      </c>
      <c r="K397">
        <v>1510.9</v>
      </c>
      <c r="L397">
        <v>1504.86</v>
      </c>
    </row>
    <row r="398" spans="1:12" x14ac:dyDescent="0.2">
      <c r="A398">
        <v>1965</v>
      </c>
      <c r="B398">
        <v>1579.03</v>
      </c>
      <c r="C398">
        <v>1572.44</v>
      </c>
      <c r="D398">
        <v>1565.9</v>
      </c>
      <c r="E398">
        <v>1559.41</v>
      </c>
      <c r="F398">
        <v>1552.98</v>
      </c>
      <c r="G398">
        <v>1546.6</v>
      </c>
      <c r="H398">
        <v>1540.28</v>
      </c>
      <c r="I398">
        <v>1534.01</v>
      </c>
      <c r="J398">
        <v>1527.79</v>
      </c>
      <c r="K398">
        <v>1521.63</v>
      </c>
      <c r="L398">
        <v>1515.52</v>
      </c>
    </row>
    <row r="399" spans="1:12" x14ac:dyDescent="0.2">
      <c r="A399">
        <v>1970</v>
      </c>
      <c r="B399">
        <v>1590.49</v>
      </c>
      <c r="C399">
        <v>1583.83</v>
      </c>
      <c r="D399">
        <v>1577.22</v>
      </c>
      <c r="E399">
        <v>1570.67</v>
      </c>
      <c r="F399">
        <v>1564.17</v>
      </c>
      <c r="G399">
        <v>1557.72</v>
      </c>
      <c r="H399">
        <v>1551.33</v>
      </c>
      <c r="I399">
        <v>1544.99</v>
      </c>
      <c r="J399">
        <v>1538.7</v>
      </c>
      <c r="K399">
        <v>1532.47</v>
      </c>
      <c r="L399">
        <v>1526.3</v>
      </c>
    </row>
    <row r="400" spans="1:12" x14ac:dyDescent="0.2">
      <c r="A400">
        <v>1975</v>
      </c>
      <c r="B400">
        <v>1602.06</v>
      </c>
      <c r="C400">
        <v>1595.34</v>
      </c>
      <c r="D400">
        <v>1588.66</v>
      </c>
      <c r="E400">
        <v>1582.04</v>
      </c>
      <c r="F400">
        <v>1575.47</v>
      </c>
      <c r="G400">
        <v>1568.95</v>
      </c>
      <c r="H400">
        <v>1562.49</v>
      </c>
      <c r="I400">
        <v>1556.09</v>
      </c>
      <c r="J400">
        <v>1549.74</v>
      </c>
      <c r="K400">
        <v>1543.44</v>
      </c>
      <c r="L400">
        <v>1537.19</v>
      </c>
    </row>
    <row r="401" spans="1:12" x14ac:dyDescent="0.2">
      <c r="A401">
        <v>1980</v>
      </c>
      <c r="B401">
        <v>1613.72</v>
      </c>
      <c r="C401">
        <v>1606.96</v>
      </c>
      <c r="D401">
        <v>1600.21</v>
      </c>
      <c r="E401">
        <v>1593.53</v>
      </c>
      <c r="F401">
        <v>1586.89</v>
      </c>
      <c r="G401">
        <v>1580.31</v>
      </c>
      <c r="H401">
        <v>1573.78</v>
      </c>
      <c r="I401">
        <v>1567.31</v>
      </c>
      <c r="J401">
        <v>1560.89</v>
      </c>
      <c r="K401">
        <v>1554.52</v>
      </c>
      <c r="L401">
        <v>1548.21</v>
      </c>
    </row>
    <row r="402" spans="1:12" x14ac:dyDescent="0.2">
      <c r="A402">
        <v>1985</v>
      </c>
      <c r="B402">
        <v>1625.43</v>
      </c>
      <c r="C402">
        <v>1618.66</v>
      </c>
      <c r="D402">
        <v>1611.88</v>
      </c>
      <c r="E402">
        <v>1605.13</v>
      </c>
      <c r="F402">
        <v>1598.43</v>
      </c>
      <c r="G402">
        <v>1591.78</v>
      </c>
      <c r="H402">
        <v>1585.18</v>
      </c>
      <c r="I402">
        <v>1578.64</v>
      </c>
      <c r="J402">
        <v>1572.15</v>
      </c>
      <c r="K402">
        <v>1565.72</v>
      </c>
      <c r="L402">
        <v>1559.34</v>
      </c>
    </row>
    <row r="403" spans="1:12" x14ac:dyDescent="0.2">
      <c r="A403">
        <v>1990</v>
      </c>
      <c r="B403">
        <v>1637.13</v>
      </c>
      <c r="C403">
        <v>1630.36</v>
      </c>
      <c r="D403">
        <v>1623.59</v>
      </c>
      <c r="E403">
        <v>1616.82</v>
      </c>
      <c r="F403">
        <v>1610.07</v>
      </c>
      <c r="G403">
        <v>1603.36</v>
      </c>
      <c r="H403">
        <v>1596.69</v>
      </c>
      <c r="I403">
        <v>1590.08</v>
      </c>
      <c r="J403">
        <v>1583.53</v>
      </c>
      <c r="K403">
        <v>1577.03</v>
      </c>
      <c r="L403">
        <v>1570.58</v>
      </c>
    </row>
    <row r="404" spans="1:12" x14ac:dyDescent="0.2">
      <c r="A404">
        <v>1995</v>
      </c>
      <c r="B404">
        <v>1648.77</v>
      </c>
      <c r="C404">
        <v>1642.07</v>
      </c>
      <c r="D404">
        <v>1635.3</v>
      </c>
      <c r="E404">
        <v>1628.53</v>
      </c>
      <c r="F404">
        <v>1621.76</v>
      </c>
      <c r="G404">
        <v>1615</v>
      </c>
      <c r="H404">
        <v>1608.29</v>
      </c>
      <c r="I404">
        <v>1601.62</v>
      </c>
      <c r="J404">
        <v>1595</v>
      </c>
      <c r="K404">
        <v>1588.44</v>
      </c>
      <c r="L404">
        <v>1581.92</v>
      </c>
    </row>
    <row r="405" spans="1:12" x14ac:dyDescent="0.2">
      <c r="A405">
        <v>2000</v>
      </c>
      <c r="B405">
        <v>1659.99</v>
      </c>
      <c r="C405">
        <v>1653.7</v>
      </c>
      <c r="D405">
        <v>1647</v>
      </c>
      <c r="E405">
        <v>1640.23</v>
      </c>
      <c r="F405">
        <v>1633.47</v>
      </c>
      <c r="G405">
        <v>1626.7</v>
      </c>
      <c r="H405">
        <v>1619.94</v>
      </c>
      <c r="I405">
        <v>1613.22</v>
      </c>
      <c r="J405">
        <v>1606.55</v>
      </c>
      <c r="K405">
        <v>1599.92</v>
      </c>
      <c r="L405">
        <v>1593.35</v>
      </c>
    </row>
    <row r="406" spans="1:12" x14ac:dyDescent="0.2">
      <c r="A406">
        <v>2005</v>
      </c>
      <c r="B406">
        <v>1670.4</v>
      </c>
      <c r="C406">
        <v>1664.7</v>
      </c>
      <c r="D406">
        <v>1658.52</v>
      </c>
      <c r="E406">
        <v>1651.9</v>
      </c>
      <c r="F406">
        <v>1645.15</v>
      </c>
      <c r="G406">
        <v>1638.38</v>
      </c>
      <c r="H406">
        <v>1631.62</v>
      </c>
      <c r="I406">
        <v>1624.87</v>
      </c>
      <c r="J406">
        <v>1618.15</v>
      </c>
      <c r="K406">
        <v>1611.47</v>
      </c>
      <c r="L406">
        <v>1604.84</v>
      </c>
    </row>
    <row r="407" spans="1:12" x14ac:dyDescent="0.2">
      <c r="A407">
        <v>2010</v>
      </c>
      <c r="B407">
        <v>1679.78</v>
      </c>
      <c r="C407">
        <v>1674.67</v>
      </c>
      <c r="D407">
        <v>1669.09</v>
      </c>
      <c r="E407">
        <v>1663.04</v>
      </c>
      <c r="F407">
        <v>1656.55</v>
      </c>
      <c r="G407">
        <v>1649.87</v>
      </c>
      <c r="H407">
        <v>1643.15</v>
      </c>
      <c r="I407">
        <v>1636.42</v>
      </c>
      <c r="J407">
        <v>1629.68</v>
      </c>
      <c r="K407">
        <v>1622.97</v>
      </c>
      <c r="L407">
        <v>1616.3</v>
      </c>
    </row>
    <row r="408" spans="1:12" x14ac:dyDescent="0.2">
      <c r="A408">
        <v>2015</v>
      </c>
      <c r="B408">
        <v>1688.13</v>
      </c>
      <c r="C408">
        <v>1683.62</v>
      </c>
      <c r="D408">
        <v>1678.63</v>
      </c>
      <c r="E408">
        <v>1673.18</v>
      </c>
      <c r="F408">
        <v>1667.25</v>
      </c>
      <c r="G408">
        <v>1660.89</v>
      </c>
      <c r="H408">
        <v>1654.32</v>
      </c>
      <c r="I408">
        <v>1647.67</v>
      </c>
      <c r="J408">
        <v>1640.99</v>
      </c>
      <c r="K408">
        <v>1634.3</v>
      </c>
      <c r="L408">
        <v>1627.63</v>
      </c>
    </row>
    <row r="409" spans="1:12" x14ac:dyDescent="0.2">
      <c r="A409">
        <v>2020</v>
      </c>
      <c r="B409">
        <v>1695.45</v>
      </c>
      <c r="C409">
        <v>1691.54</v>
      </c>
      <c r="D409">
        <v>1687.15</v>
      </c>
      <c r="E409">
        <v>1682.29</v>
      </c>
      <c r="F409">
        <v>1676.95</v>
      </c>
      <c r="G409">
        <v>1671.14</v>
      </c>
      <c r="H409">
        <v>1664.91</v>
      </c>
      <c r="I409">
        <v>1658.47</v>
      </c>
      <c r="J409">
        <v>1651.92</v>
      </c>
      <c r="K409">
        <v>1645.3</v>
      </c>
      <c r="L409">
        <v>1638.67</v>
      </c>
    </row>
    <row r="410" spans="1:12" x14ac:dyDescent="0.2">
      <c r="A410">
        <v>2025</v>
      </c>
      <c r="B410">
        <v>1701.74</v>
      </c>
      <c r="C410">
        <v>1698.42</v>
      </c>
      <c r="D410">
        <v>1694.63</v>
      </c>
      <c r="E410">
        <v>1690.37</v>
      </c>
      <c r="F410">
        <v>1685.63</v>
      </c>
      <c r="G410">
        <v>1680.41</v>
      </c>
      <c r="H410">
        <v>1674.73</v>
      </c>
      <c r="I410">
        <v>1668.63</v>
      </c>
      <c r="J410">
        <v>1662.32</v>
      </c>
      <c r="K410">
        <v>1655.87</v>
      </c>
      <c r="L410">
        <v>1649.34</v>
      </c>
    </row>
    <row r="411" spans="1:12" x14ac:dyDescent="0.2">
      <c r="A411">
        <v>2030</v>
      </c>
      <c r="B411">
        <v>1707.01</v>
      </c>
      <c r="C411">
        <v>1704.28</v>
      </c>
      <c r="D411">
        <v>1701.08</v>
      </c>
      <c r="E411">
        <v>1697.42</v>
      </c>
      <c r="F411">
        <v>1693.27</v>
      </c>
      <c r="G411">
        <v>1688.65</v>
      </c>
      <c r="H411">
        <v>1683.56</v>
      </c>
      <c r="I411">
        <v>1678</v>
      </c>
      <c r="J411">
        <v>1672.04</v>
      </c>
      <c r="K411">
        <v>1665.85</v>
      </c>
      <c r="L411">
        <v>1659.53</v>
      </c>
    </row>
    <row r="412" spans="1:12" x14ac:dyDescent="0.2">
      <c r="A412">
        <v>2035</v>
      </c>
      <c r="B412">
        <v>1711.24</v>
      </c>
      <c r="C412">
        <v>1709.11</v>
      </c>
      <c r="D412">
        <v>1706.51</v>
      </c>
      <c r="E412">
        <v>1703.43</v>
      </c>
      <c r="F412">
        <v>1699.88</v>
      </c>
      <c r="G412">
        <v>1695.86</v>
      </c>
      <c r="H412">
        <v>1691.37</v>
      </c>
      <c r="I412">
        <v>1686.4</v>
      </c>
      <c r="J412">
        <v>1680.96</v>
      </c>
      <c r="K412">
        <v>1675.14</v>
      </c>
      <c r="L412">
        <v>1669.08</v>
      </c>
    </row>
    <row r="413" spans="1:12" x14ac:dyDescent="0.2">
      <c r="A413">
        <v>2040</v>
      </c>
      <c r="B413">
        <v>1714.44</v>
      </c>
      <c r="C413">
        <v>1712.91</v>
      </c>
      <c r="D413">
        <v>1710.9</v>
      </c>
      <c r="E413">
        <v>1708.42</v>
      </c>
      <c r="F413">
        <v>1705.47</v>
      </c>
      <c r="G413">
        <v>1702.04</v>
      </c>
      <c r="H413">
        <v>1698.14</v>
      </c>
      <c r="I413">
        <v>1693.77</v>
      </c>
      <c r="J413">
        <v>1688.92</v>
      </c>
      <c r="K413">
        <v>1683.61</v>
      </c>
      <c r="L413">
        <v>1677.93</v>
      </c>
    </row>
    <row r="414" spans="1:12" x14ac:dyDescent="0.2">
      <c r="A414">
        <v>2045</v>
      </c>
      <c r="B414">
        <v>1716.61</v>
      </c>
      <c r="C414">
        <v>1715.67</v>
      </c>
      <c r="D414">
        <v>1714.26</v>
      </c>
      <c r="E414">
        <v>1712.38</v>
      </c>
      <c r="F414">
        <v>1710.02</v>
      </c>
      <c r="G414">
        <v>1707.19</v>
      </c>
      <c r="H414">
        <v>1703.89</v>
      </c>
      <c r="I414">
        <v>1700.11</v>
      </c>
      <c r="J414">
        <v>1695.85</v>
      </c>
      <c r="K414">
        <v>1691.13</v>
      </c>
      <c r="L414">
        <v>1685.94</v>
      </c>
    </row>
    <row r="415" spans="1:12" x14ac:dyDescent="0.2">
      <c r="A415">
        <v>2050</v>
      </c>
      <c r="B415">
        <v>1717.65</v>
      </c>
      <c r="C415">
        <v>1717.41</v>
      </c>
      <c r="D415">
        <v>1716.6</v>
      </c>
      <c r="E415">
        <v>1715.31</v>
      </c>
      <c r="F415">
        <v>1713.55</v>
      </c>
      <c r="G415">
        <v>1711.31</v>
      </c>
      <c r="H415">
        <v>1708.6</v>
      </c>
      <c r="I415">
        <v>1705.42</v>
      </c>
      <c r="J415">
        <v>1701.76</v>
      </c>
      <c r="K415">
        <v>1697.63</v>
      </c>
      <c r="L415">
        <v>1693.02</v>
      </c>
    </row>
    <row r="416" spans="1:12" x14ac:dyDescent="0.2">
      <c r="A416">
        <v>2055</v>
      </c>
      <c r="B416">
        <v>1718.16</v>
      </c>
      <c r="C416">
        <v>1718.13</v>
      </c>
      <c r="D416">
        <v>1717.9</v>
      </c>
      <c r="E416">
        <v>1717.21</v>
      </c>
      <c r="F416">
        <v>1716.04</v>
      </c>
      <c r="G416">
        <v>1714.4</v>
      </c>
      <c r="H416">
        <v>1712.29</v>
      </c>
      <c r="I416">
        <v>1709.7</v>
      </c>
      <c r="J416">
        <v>1706.64</v>
      </c>
      <c r="K416">
        <v>1703.1</v>
      </c>
      <c r="L416">
        <v>1699.09</v>
      </c>
    </row>
    <row r="417" spans="1:12" x14ac:dyDescent="0.2">
      <c r="A417">
        <v>2060</v>
      </c>
      <c r="B417">
        <v>1718.2</v>
      </c>
      <c r="C417">
        <v>1718.2</v>
      </c>
      <c r="D417">
        <v>1718.2</v>
      </c>
      <c r="E417">
        <v>1718.08</v>
      </c>
      <c r="F417">
        <v>1717.51</v>
      </c>
      <c r="G417">
        <v>1716.47</v>
      </c>
      <c r="H417">
        <v>1714.95</v>
      </c>
      <c r="I417">
        <v>1712.95</v>
      </c>
      <c r="J417">
        <v>1710.49</v>
      </c>
      <c r="K417">
        <v>1707.55</v>
      </c>
      <c r="L417">
        <v>1704.14</v>
      </c>
    </row>
    <row r="418" spans="1:12" x14ac:dyDescent="0.2">
      <c r="A418">
        <v>2065</v>
      </c>
      <c r="B418">
        <v>1718.2</v>
      </c>
      <c r="C418">
        <v>1718.2</v>
      </c>
      <c r="D418">
        <v>1718.2</v>
      </c>
      <c r="E418">
        <v>1718.2</v>
      </c>
      <c r="F418">
        <v>1718.09</v>
      </c>
      <c r="G418">
        <v>1717.61</v>
      </c>
      <c r="H418">
        <v>1716.66</v>
      </c>
      <c r="I418">
        <v>1715.24</v>
      </c>
      <c r="J418">
        <v>1713.37</v>
      </c>
      <c r="K418">
        <v>1711.03</v>
      </c>
      <c r="L418">
        <v>1708.2</v>
      </c>
    </row>
    <row r="419" spans="1:12" x14ac:dyDescent="0.2">
      <c r="A419">
        <v>2070</v>
      </c>
      <c r="B419">
        <v>1718.2</v>
      </c>
      <c r="C419">
        <v>1718.2</v>
      </c>
      <c r="D419">
        <v>1718.2</v>
      </c>
      <c r="E419">
        <v>1718.2</v>
      </c>
      <c r="F419">
        <v>1718.2</v>
      </c>
      <c r="G419">
        <v>1718.09</v>
      </c>
      <c r="H419">
        <v>1717.62</v>
      </c>
      <c r="I419">
        <v>1716.75</v>
      </c>
      <c r="J419">
        <v>1715.43</v>
      </c>
      <c r="K419">
        <v>1713.64</v>
      </c>
      <c r="L419">
        <v>1711.39</v>
      </c>
    </row>
    <row r="420" spans="1:12" x14ac:dyDescent="0.2">
      <c r="A420">
        <v>2073</v>
      </c>
      <c r="B420">
        <v>1718.2</v>
      </c>
      <c r="C420">
        <v>1718.2</v>
      </c>
      <c r="D420">
        <v>1718.2</v>
      </c>
      <c r="E420">
        <v>1718.2</v>
      </c>
      <c r="F420">
        <v>1718.2</v>
      </c>
      <c r="G420">
        <v>1718</v>
      </c>
      <c r="H420">
        <v>1717.96</v>
      </c>
      <c r="I420">
        <v>1717.36</v>
      </c>
      <c r="J420">
        <v>1716.38</v>
      </c>
      <c r="K420">
        <v>1714.93</v>
      </c>
      <c r="L420">
        <v>1713.03</v>
      </c>
    </row>
  </sheetData>
  <mergeCells count="1">
    <mergeCell ref="R1:V1"/>
  </mergeCells>
  <phoneticPr fontId="1" type="noConversion"/>
  <hyperlinks>
    <hyperlink ref="R4" location="SOUNDING!A1" display="Back" xr:uid="{00000000-0004-0000-0C00-000000000000}"/>
  </hyperlink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1" tint="0.34998626667073579"/>
  </sheetPr>
  <dimension ref="A1:W420"/>
  <sheetViews>
    <sheetView showRowColHeaders="0" workbookViewId="0">
      <pane xSplit="17" ySplit="4" topLeftCell="R391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2" width="9" style="7"/>
    <col min="13" max="13" width="9" style="10"/>
    <col min="14" max="17" width="9" style="10" hidden="1" customWidth="1"/>
    <col min="18" max="16384" width="9" style="10"/>
  </cols>
  <sheetData>
    <row r="1" spans="1:23" x14ac:dyDescent="0.15">
      <c r="A1" s="6"/>
      <c r="Q1" s="13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R4" s="16" t="s">
        <v>90</v>
      </c>
    </row>
    <row r="5" spans="1:23" x14ac:dyDescent="0.15">
      <c r="A5">
        <v>0</v>
      </c>
      <c r="B5">
        <v>35.299999999999997</v>
      </c>
      <c r="C5">
        <v>23.49</v>
      </c>
      <c r="D5">
        <v>11.83</v>
      </c>
      <c r="E5">
        <v>3.61</v>
      </c>
      <c r="F5">
        <v>2.42</v>
      </c>
      <c r="G5">
        <v>2.08</v>
      </c>
      <c r="H5">
        <v>1.96</v>
      </c>
      <c r="I5">
        <v>1.92</v>
      </c>
      <c r="J5">
        <v>1.93</v>
      </c>
      <c r="K5">
        <v>1.96</v>
      </c>
      <c r="L5">
        <v>2.0099999999999998</v>
      </c>
    </row>
    <row r="6" spans="1:23" x14ac:dyDescent="0.15">
      <c r="A6">
        <v>5</v>
      </c>
      <c r="B6">
        <v>55.62</v>
      </c>
      <c r="C6">
        <v>43.69</v>
      </c>
      <c r="D6">
        <v>31.87</v>
      </c>
      <c r="E6">
        <v>20.190000000000001</v>
      </c>
      <c r="F6">
        <v>11.93</v>
      </c>
      <c r="G6">
        <v>8.9700000000000006</v>
      </c>
      <c r="H6">
        <v>7.53</v>
      </c>
      <c r="I6">
        <v>6.71</v>
      </c>
      <c r="J6">
        <v>6.19</v>
      </c>
      <c r="K6">
        <v>5.85</v>
      </c>
      <c r="L6">
        <v>5.61</v>
      </c>
    </row>
    <row r="7" spans="1:23" x14ac:dyDescent="0.15">
      <c r="A7">
        <v>10</v>
      </c>
      <c r="B7">
        <v>76.13</v>
      </c>
      <c r="C7">
        <v>64.099999999999994</v>
      </c>
      <c r="D7">
        <v>52.16</v>
      </c>
      <c r="E7">
        <v>40.33</v>
      </c>
      <c r="F7">
        <v>28.65</v>
      </c>
      <c r="G7">
        <v>20.72</v>
      </c>
      <c r="H7">
        <v>16.760000000000002</v>
      </c>
      <c r="I7">
        <v>14.42</v>
      </c>
      <c r="J7">
        <v>12.89</v>
      </c>
      <c r="K7">
        <v>11.82</v>
      </c>
      <c r="L7">
        <v>11.05</v>
      </c>
    </row>
    <row r="8" spans="1:23" x14ac:dyDescent="0.15">
      <c r="A8">
        <v>15</v>
      </c>
      <c r="B8">
        <v>96.8</v>
      </c>
      <c r="C8">
        <v>84.68</v>
      </c>
      <c r="D8">
        <v>72.64</v>
      </c>
      <c r="E8">
        <v>60.69</v>
      </c>
      <c r="F8">
        <v>48.85</v>
      </c>
      <c r="G8">
        <v>37.36</v>
      </c>
      <c r="H8">
        <v>29.68</v>
      </c>
      <c r="I8">
        <v>25.08</v>
      </c>
      <c r="J8">
        <v>22.06</v>
      </c>
      <c r="K8">
        <v>19.920000000000002</v>
      </c>
      <c r="L8">
        <v>18.34</v>
      </c>
    </row>
    <row r="9" spans="1:23" x14ac:dyDescent="0.15">
      <c r="A9">
        <v>20</v>
      </c>
      <c r="B9">
        <v>117.61</v>
      </c>
      <c r="C9">
        <v>105.41</v>
      </c>
      <c r="D9">
        <v>93.28</v>
      </c>
      <c r="E9">
        <v>81.23</v>
      </c>
      <c r="F9">
        <v>69.27</v>
      </c>
      <c r="G9">
        <v>57.43</v>
      </c>
      <c r="H9">
        <v>46.29</v>
      </c>
      <c r="I9">
        <v>38.729999999999997</v>
      </c>
      <c r="J9">
        <v>33.71</v>
      </c>
      <c r="K9">
        <v>30.14</v>
      </c>
      <c r="L9">
        <v>27.5</v>
      </c>
    </row>
    <row r="10" spans="1:23" x14ac:dyDescent="0.15">
      <c r="A10">
        <v>25</v>
      </c>
      <c r="B10">
        <v>138.54</v>
      </c>
      <c r="C10">
        <v>126.27</v>
      </c>
      <c r="D10">
        <v>114.06</v>
      </c>
      <c r="E10">
        <v>101.93</v>
      </c>
      <c r="F10">
        <v>89.87</v>
      </c>
      <c r="G10">
        <v>77.900000000000006</v>
      </c>
      <c r="H10">
        <v>66.05</v>
      </c>
      <c r="I10">
        <v>55.35</v>
      </c>
      <c r="J10">
        <v>47.86</v>
      </c>
      <c r="K10">
        <v>42.51</v>
      </c>
      <c r="L10">
        <v>38.53</v>
      </c>
    </row>
    <row r="11" spans="1:23" x14ac:dyDescent="0.15">
      <c r="A11">
        <v>30</v>
      </c>
      <c r="B11">
        <v>159.58000000000001</v>
      </c>
      <c r="C11">
        <v>147.25</v>
      </c>
      <c r="D11">
        <v>134.97</v>
      </c>
      <c r="E11">
        <v>122.75</v>
      </c>
      <c r="F11">
        <v>110.61</v>
      </c>
      <c r="G11">
        <v>98.55</v>
      </c>
      <c r="H11">
        <v>86.58</v>
      </c>
      <c r="I11">
        <v>74.73</v>
      </c>
      <c r="J11">
        <v>64.48</v>
      </c>
      <c r="K11">
        <v>57.04</v>
      </c>
      <c r="L11">
        <v>51.45</v>
      </c>
    </row>
    <row r="12" spans="1:23" x14ac:dyDescent="0.15">
      <c r="A12">
        <v>35</v>
      </c>
      <c r="B12">
        <v>180.72</v>
      </c>
      <c r="C12">
        <v>168.33</v>
      </c>
      <c r="D12">
        <v>155.99</v>
      </c>
      <c r="E12">
        <v>143.69999999999999</v>
      </c>
      <c r="F12">
        <v>131.47999999999999</v>
      </c>
      <c r="G12">
        <v>119.33</v>
      </c>
      <c r="H12">
        <v>107.27</v>
      </c>
      <c r="I12">
        <v>95.29</v>
      </c>
      <c r="J12">
        <v>83.59</v>
      </c>
      <c r="K12">
        <v>73.69</v>
      </c>
      <c r="L12">
        <v>66.27</v>
      </c>
    </row>
    <row r="13" spans="1:23" x14ac:dyDescent="0.15">
      <c r="A13">
        <v>40</v>
      </c>
      <c r="B13">
        <v>201.96</v>
      </c>
      <c r="C13">
        <v>189.51</v>
      </c>
      <c r="D13">
        <v>177.11</v>
      </c>
      <c r="E13">
        <v>164.76</v>
      </c>
      <c r="F13">
        <v>152.47</v>
      </c>
      <c r="G13">
        <v>140.25</v>
      </c>
      <c r="H13">
        <v>128.09</v>
      </c>
      <c r="I13">
        <v>116.02</v>
      </c>
      <c r="J13">
        <v>104.04</v>
      </c>
      <c r="K13">
        <v>92.54</v>
      </c>
      <c r="L13">
        <v>82.95</v>
      </c>
    </row>
    <row r="14" spans="1:23" x14ac:dyDescent="0.15">
      <c r="A14">
        <v>45</v>
      </c>
      <c r="B14">
        <v>223.28</v>
      </c>
      <c r="C14">
        <v>210.78</v>
      </c>
      <c r="D14">
        <v>198.33</v>
      </c>
      <c r="E14">
        <v>185.92</v>
      </c>
      <c r="F14">
        <v>173.57</v>
      </c>
      <c r="G14">
        <v>161.27000000000001</v>
      </c>
      <c r="H14">
        <v>149.04</v>
      </c>
      <c r="I14">
        <v>136.88</v>
      </c>
      <c r="J14">
        <v>124.8</v>
      </c>
      <c r="K14">
        <v>112.83</v>
      </c>
      <c r="L14">
        <v>101.52</v>
      </c>
    </row>
    <row r="15" spans="1:23" x14ac:dyDescent="0.15">
      <c r="A15">
        <v>50</v>
      </c>
      <c r="B15">
        <v>244.68</v>
      </c>
      <c r="C15">
        <v>232.14</v>
      </c>
      <c r="D15">
        <v>219.63</v>
      </c>
      <c r="E15">
        <v>207.17</v>
      </c>
      <c r="F15">
        <v>194.76</v>
      </c>
      <c r="G15">
        <v>182.4</v>
      </c>
      <c r="H15">
        <v>170.1</v>
      </c>
      <c r="I15">
        <v>157.86000000000001</v>
      </c>
      <c r="J15">
        <v>145.69999999999999</v>
      </c>
      <c r="K15">
        <v>133.62</v>
      </c>
      <c r="L15">
        <v>121.65</v>
      </c>
    </row>
    <row r="16" spans="1:23" x14ac:dyDescent="0.15">
      <c r="A16">
        <v>55</v>
      </c>
      <c r="B16">
        <v>266.16000000000003</v>
      </c>
      <c r="C16">
        <v>253.57</v>
      </c>
      <c r="D16">
        <v>241.02</v>
      </c>
      <c r="E16">
        <v>228.51</v>
      </c>
      <c r="F16">
        <v>216.04</v>
      </c>
      <c r="G16">
        <v>203.62</v>
      </c>
      <c r="H16">
        <v>191.26</v>
      </c>
      <c r="I16">
        <v>178.96</v>
      </c>
      <c r="J16">
        <v>166.72</v>
      </c>
      <c r="K16">
        <v>154.55000000000001</v>
      </c>
      <c r="L16">
        <v>142.47</v>
      </c>
    </row>
    <row r="17" spans="1:12" x14ac:dyDescent="0.15">
      <c r="A17">
        <v>60</v>
      </c>
      <c r="B17">
        <v>287.70999999999998</v>
      </c>
      <c r="C17">
        <v>275.08</v>
      </c>
      <c r="D17">
        <v>262.48</v>
      </c>
      <c r="E17">
        <v>249.92</v>
      </c>
      <c r="F17">
        <v>237.41</v>
      </c>
      <c r="G17">
        <v>224.94</v>
      </c>
      <c r="H17">
        <v>212.52</v>
      </c>
      <c r="I17">
        <v>200.15</v>
      </c>
      <c r="J17">
        <v>187.84</v>
      </c>
      <c r="K17">
        <v>175.6</v>
      </c>
      <c r="L17">
        <v>163.43</v>
      </c>
    </row>
    <row r="18" spans="1:12" x14ac:dyDescent="0.15">
      <c r="A18">
        <v>65</v>
      </c>
      <c r="B18">
        <v>309.32</v>
      </c>
      <c r="C18">
        <v>296.64999999999998</v>
      </c>
      <c r="D18">
        <v>284.01</v>
      </c>
      <c r="E18">
        <v>271.41000000000003</v>
      </c>
      <c r="F18">
        <v>258.85000000000002</v>
      </c>
      <c r="G18">
        <v>246.33</v>
      </c>
      <c r="H18">
        <v>233.86</v>
      </c>
      <c r="I18">
        <v>221.43</v>
      </c>
      <c r="J18">
        <v>209.06</v>
      </c>
      <c r="K18">
        <v>196.75</v>
      </c>
      <c r="L18">
        <v>184.5</v>
      </c>
    </row>
    <row r="19" spans="1:12" x14ac:dyDescent="0.15">
      <c r="A19">
        <v>70</v>
      </c>
      <c r="B19">
        <v>330.99</v>
      </c>
      <c r="C19">
        <v>318.29000000000002</v>
      </c>
      <c r="D19">
        <v>305.61</v>
      </c>
      <c r="E19">
        <v>292.97000000000003</v>
      </c>
      <c r="F19">
        <v>280.37</v>
      </c>
      <c r="G19">
        <v>267.8</v>
      </c>
      <c r="H19">
        <v>255.28</v>
      </c>
      <c r="I19">
        <v>242.8</v>
      </c>
      <c r="J19">
        <v>230.37</v>
      </c>
      <c r="K19">
        <v>218</v>
      </c>
      <c r="L19">
        <v>205.68</v>
      </c>
    </row>
    <row r="20" spans="1:12" x14ac:dyDescent="0.15">
      <c r="A20">
        <v>75</v>
      </c>
      <c r="B20">
        <v>352.72</v>
      </c>
      <c r="C20">
        <v>339.98</v>
      </c>
      <c r="D20">
        <v>327.27</v>
      </c>
      <c r="E20">
        <v>314.60000000000002</v>
      </c>
      <c r="F20">
        <v>301.95</v>
      </c>
      <c r="G20">
        <v>289.33999999999997</v>
      </c>
      <c r="H20">
        <v>276.77</v>
      </c>
      <c r="I20">
        <v>264.24</v>
      </c>
      <c r="J20">
        <v>251.76</v>
      </c>
      <c r="K20">
        <v>239.33</v>
      </c>
      <c r="L20">
        <v>226.95</v>
      </c>
    </row>
    <row r="21" spans="1:12" x14ac:dyDescent="0.15">
      <c r="A21">
        <v>80</v>
      </c>
      <c r="B21">
        <v>374.51</v>
      </c>
      <c r="C21">
        <v>361.74</v>
      </c>
      <c r="D21">
        <v>348.99</v>
      </c>
      <c r="E21">
        <v>336.28</v>
      </c>
      <c r="F21">
        <v>323.60000000000002</v>
      </c>
      <c r="G21">
        <v>310.95</v>
      </c>
      <c r="H21">
        <v>298.33999999999997</v>
      </c>
      <c r="I21">
        <v>285.76</v>
      </c>
      <c r="J21">
        <v>273.23</v>
      </c>
      <c r="K21">
        <v>260.75</v>
      </c>
      <c r="L21">
        <v>248.31</v>
      </c>
    </row>
    <row r="22" spans="1:12" x14ac:dyDescent="0.15">
      <c r="A22">
        <v>85</v>
      </c>
      <c r="B22">
        <v>396.34</v>
      </c>
      <c r="C22">
        <v>383.54</v>
      </c>
      <c r="D22">
        <v>370.77</v>
      </c>
      <c r="E22">
        <v>358.02</v>
      </c>
      <c r="F22">
        <v>345.3</v>
      </c>
      <c r="G22">
        <v>332.62</v>
      </c>
      <c r="H22">
        <v>319.95999999999998</v>
      </c>
      <c r="I22">
        <v>307.35000000000002</v>
      </c>
      <c r="J22">
        <v>294.77</v>
      </c>
      <c r="K22">
        <v>282.24</v>
      </c>
      <c r="L22">
        <v>269.75</v>
      </c>
    </row>
    <row r="23" spans="1:12" x14ac:dyDescent="0.15">
      <c r="A23">
        <v>90</v>
      </c>
      <c r="B23">
        <v>418.22</v>
      </c>
      <c r="C23">
        <v>405.39</v>
      </c>
      <c r="D23">
        <v>392.59</v>
      </c>
      <c r="E23">
        <v>379.81</v>
      </c>
      <c r="F23">
        <v>367.06</v>
      </c>
      <c r="G23">
        <v>354.34</v>
      </c>
      <c r="H23">
        <v>341.65</v>
      </c>
      <c r="I23">
        <v>329</v>
      </c>
      <c r="J23">
        <v>316.38</v>
      </c>
      <c r="K23">
        <v>303.8</v>
      </c>
      <c r="L23">
        <v>291.26</v>
      </c>
    </row>
    <row r="24" spans="1:12" x14ac:dyDescent="0.15">
      <c r="A24">
        <v>95</v>
      </c>
      <c r="B24">
        <v>440.14</v>
      </c>
      <c r="C24">
        <v>427.29</v>
      </c>
      <c r="D24">
        <v>414.46</v>
      </c>
      <c r="E24">
        <v>401.65</v>
      </c>
      <c r="F24">
        <v>388.87</v>
      </c>
      <c r="G24">
        <v>376.12</v>
      </c>
      <c r="H24">
        <v>363.4</v>
      </c>
      <c r="I24">
        <v>350.7</v>
      </c>
      <c r="J24">
        <v>338.05</v>
      </c>
      <c r="K24">
        <v>325.42</v>
      </c>
      <c r="L24">
        <v>312.83999999999997</v>
      </c>
    </row>
    <row r="25" spans="1:12" x14ac:dyDescent="0.15">
      <c r="A25">
        <v>100</v>
      </c>
      <c r="B25">
        <v>462.1</v>
      </c>
      <c r="C25">
        <v>449.23</v>
      </c>
      <c r="D25">
        <v>436.37</v>
      </c>
      <c r="E25">
        <v>423.54</v>
      </c>
      <c r="F25">
        <v>410.73</v>
      </c>
      <c r="G25">
        <v>397.95</v>
      </c>
      <c r="H25">
        <v>385.19</v>
      </c>
      <c r="I25">
        <v>372.47</v>
      </c>
      <c r="J25">
        <v>359.77</v>
      </c>
      <c r="K25">
        <v>347.11</v>
      </c>
      <c r="L25">
        <v>334.49</v>
      </c>
    </row>
    <row r="26" spans="1:12" x14ac:dyDescent="0.15">
      <c r="A26">
        <v>105</v>
      </c>
      <c r="B26">
        <v>484.1</v>
      </c>
      <c r="C26">
        <v>471.21</v>
      </c>
      <c r="D26">
        <v>458.33</v>
      </c>
      <c r="E26">
        <v>445.47</v>
      </c>
      <c r="F26">
        <v>432.63</v>
      </c>
      <c r="G26">
        <v>419.82</v>
      </c>
      <c r="H26">
        <v>407.04</v>
      </c>
      <c r="I26">
        <v>394.28</v>
      </c>
      <c r="J26">
        <v>381.55</v>
      </c>
      <c r="K26">
        <v>368.85</v>
      </c>
      <c r="L26">
        <v>356.19</v>
      </c>
    </row>
    <row r="27" spans="1:12" x14ac:dyDescent="0.15">
      <c r="A27">
        <v>110</v>
      </c>
      <c r="B27">
        <v>506.14</v>
      </c>
      <c r="C27">
        <v>493.22</v>
      </c>
      <c r="D27">
        <v>480.32</v>
      </c>
      <c r="E27">
        <v>467.44</v>
      </c>
      <c r="F27">
        <v>454.58</v>
      </c>
      <c r="G27">
        <v>441.74</v>
      </c>
      <c r="H27">
        <v>428.93</v>
      </c>
      <c r="I27">
        <v>416.14</v>
      </c>
      <c r="J27">
        <v>403.38</v>
      </c>
      <c r="K27">
        <v>390.65</v>
      </c>
      <c r="L27">
        <v>377.95</v>
      </c>
    </row>
    <row r="28" spans="1:12" x14ac:dyDescent="0.15">
      <c r="A28">
        <v>115</v>
      </c>
      <c r="B28">
        <v>528.20000000000005</v>
      </c>
      <c r="C28">
        <v>515.27</v>
      </c>
      <c r="D28">
        <v>502.34</v>
      </c>
      <c r="E28">
        <v>489.44</v>
      </c>
      <c r="F28">
        <v>476.56</v>
      </c>
      <c r="G28">
        <v>463.7</v>
      </c>
      <c r="H28">
        <v>450.86</v>
      </c>
      <c r="I28">
        <v>438.04</v>
      </c>
      <c r="J28">
        <v>425.25</v>
      </c>
      <c r="K28">
        <v>412.49</v>
      </c>
      <c r="L28">
        <v>399.76</v>
      </c>
    </row>
    <row r="29" spans="1:12" x14ac:dyDescent="0.15">
      <c r="A29">
        <v>120</v>
      </c>
      <c r="B29">
        <v>550.29999999999995</v>
      </c>
      <c r="C29">
        <v>537.34</v>
      </c>
      <c r="D29">
        <v>524.4</v>
      </c>
      <c r="E29">
        <v>511.48</v>
      </c>
      <c r="F29">
        <v>498.58</v>
      </c>
      <c r="G29">
        <v>485.69</v>
      </c>
      <c r="H29">
        <v>472.83</v>
      </c>
      <c r="I29">
        <v>459.99</v>
      </c>
      <c r="J29">
        <v>447.17</v>
      </c>
      <c r="K29">
        <v>434.38</v>
      </c>
      <c r="L29">
        <v>421.61</v>
      </c>
    </row>
    <row r="30" spans="1:12" x14ac:dyDescent="0.15">
      <c r="A30">
        <v>125</v>
      </c>
      <c r="B30">
        <v>572.41999999999996</v>
      </c>
      <c r="C30">
        <v>559.45000000000005</v>
      </c>
      <c r="D30">
        <v>546.49</v>
      </c>
      <c r="E30">
        <v>533.54999999999995</v>
      </c>
      <c r="F30">
        <v>520.63</v>
      </c>
      <c r="G30">
        <v>507.72</v>
      </c>
      <c r="H30">
        <v>494.83</v>
      </c>
      <c r="I30">
        <v>481.97</v>
      </c>
      <c r="J30">
        <v>469.13</v>
      </c>
      <c r="K30">
        <v>456.31</v>
      </c>
      <c r="L30">
        <v>443.51</v>
      </c>
    </row>
    <row r="31" spans="1:12" x14ac:dyDescent="0.15">
      <c r="A31">
        <v>130</v>
      </c>
      <c r="B31">
        <v>594.55999999999995</v>
      </c>
      <c r="C31">
        <v>581.58000000000004</v>
      </c>
      <c r="D31">
        <v>568.61</v>
      </c>
      <c r="E31">
        <v>555.65</v>
      </c>
      <c r="F31">
        <v>542.71</v>
      </c>
      <c r="G31">
        <v>529.78</v>
      </c>
      <c r="H31">
        <v>516.87</v>
      </c>
      <c r="I31">
        <v>503.99</v>
      </c>
      <c r="J31">
        <v>491.12</v>
      </c>
      <c r="K31">
        <v>478.27</v>
      </c>
      <c r="L31">
        <v>465.45</v>
      </c>
    </row>
    <row r="32" spans="1:12" x14ac:dyDescent="0.15">
      <c r="A32">
        <v>135</v>
      </c>
      <c r="B32">
        <v>616.73</v>
      </c>
      <c r="C32">
        <v>603.73</v>
      </c>
      <c r="D32">
        <v>590.74</v>
      </c>
      <c r="E32">
        <v>577.77</v>
      </c>
      <c r="F32">
        <v>564.80999999999995</v>
      </c>
      <c r="G32">
        <v>551.87</v>
      </c>
      <c r="H32">
        <v>538.94000000000005</v>
      </c>
      <c r="I32">
        <v>526.03</v>
      </c>
      <c r="J32">
        <v>513.15</v>
      </c>
      <c r="K32">
        <v>500.28</v>
      </c>
      <c r="L32">
        <v>487.43</v>
      </c>
    </row>
    <row r="33" spans="1:12" x14ac:dyDescent="0.15">
      <c r="A33">
        <v>140</v>
      </c>
      <c r="B33">
        <v>638.91</v>
      </c>
      <c r="C33">
        <v>625.9</v>
      </c>
      <c r="D33">
        <v>612.9</v>
      </c>
      <c r="E33">
        <v>599.91999999999996</v>
      </c>
      <c r="F33">
        <v>586.94000000000005</v>
      </c>
      <c r="G33">
        <v>573.98</v>
      </c>
      <c r="H33">
        <v>561.04</v>
      </c>
      <c r="I33">
        <v>548.11</v>
      </c>
      <c r="J33">
        <v>535.20000000000005</v>
      </c>
      <c r="K33">
        <v>522.30999999999995</v>
      </c>
      <c r="L33">
        <v>509.44</v>
      </c>
    </row>
    <row r="34" spans="1:12" x14ac:dyDescent="0.15">
      <c r="A34">
        <v>145</v>
      </c>
      <c r="B34">
        <v>661.11</v>
      </c>
      <c r="C34">
        <v>648.09</v>
      </c>
      <c r="D34">
        <v>635.08000000000004</v>
      </c>
      <c r="E34">
        <v>622.08000000000004</v>
      </c>
      <c r="F34">
        <v>609.1</v>
      </c>
      <c r="G34">
        <v>596.12</v>
      </c>
      <c r="H34">
        <v>583.16</v>
      </c>
      <c r="I34">
        <v>570.22</v>
      </c>
      <c r="J34">
        <v>557.29</v>
      </c>
      <c r="K34">
        <v>544.38</v>
      </c>
      <c r="L34">
        <v>531.48</v>
      </c>
    </row>
    <row r="35" spans="1:12" x14ac:dyDescent="0.15">
      <c r="A35">
        <v>150</v>
      </c>
      <c r="B35">
        <v>683.32</v>
      </c>
      <c r="C35">
        <v>670.29</v>
      </c>
      <c r="D35">
        <v>657.28</v>
      </c>
      <c r="E35">
        <v>644.27</v>
      </c>
      <c r="F35">
        <v>631.27</v>
      </c>
      <c r="G35">
        <v>618.28</v>
      </c>
      <c r="H35">
        <v>605.29999999999995</v>
      </c>
      <c r="I35">
        <v>592.34</v>
      </c>
      <c r="J35">
        <v>579.4</v>
      </c>
      <c r="K35">
        <v>566.47</v>
      </c>
      <c r="L35">
        <v>553.55999999999995</v>
      </c>
    </row>
    <row r="36" spans="1:12" x14ac:dyDescent="0.15">
      <c r="A36">
        <v>155</v>
      </c>
      <c r="B36">
        <v>705.43</v>
      </c>
      <c r="C36">
        <v>692.51</v>
      </c>
      <c r="D36">
        <v>679.48</v>
      </c>
      <c r="E36">
        <v>666.46</v>
      </c>
      <c r="F36">
        <v>653.45000000000005</v>
      </c>
      <c r="G36">
        <v>640.45000000000005</v>
      </c>
      <c r="H36">
        <v>627.47</v>
      </c>
      <c r="I36">
        <v>614.49</v>
      </c>
      <c r="J36">
        <v>601.53</v>
      </c>
      <c r="K36">
        <v>588.58000000000004</v>
      </c>
      <c r="L36">
        <v>575.65</v>
      </c>
    </row>
    <row r="37" spans="1:12" x14ac:dyDescent="0.15">
      <c r="A37">
        <v>160</v>
      </c>
      <c r="B37">
        <v>723.89</v>
      </c>
      <c r="C37">
        <v>714.74</v>
      </c>
      <c r="D37">
        <v>701.7</v>
      </c>
      <c r="E37">
        <v>688.68</v>
      </c>
      <c r="F37">
        <v>675.66</v>
      </c>
      <c r="G37">
        <v>662.65</v>
      </c>
      <c r="H37">
        <v>649.65</v>
      </c>
      <c r="I37">
        <v>636.66</v>
      </c>
      <c r="J37">
        <v>623.67999999999995</v>
      </c>
      <c r="K37">
        <v>610.72</v>
      </c>
      <c r="L37">
        <v>597.77</v>
      </c>
    </row>
    <row r="38" spans="1:12" x14ac:dyDescent="0.15">
      <c r="A38">
        <v>165</v>
      </c>
      <c r="B38">
        <v>736.76</v>
      </c>
      <c r="C38">
        <v>732.56</v>
      </c>
      <c r="D38">
        <v>723.93</v>
      </c>
      <c r="E38">
        <v>710.9</v>
      </c>
      <c r="F38">
        <v>697.87</v>
      </c>
      <c r="G38">
        <v>684.85</v>
      </c>
      <c r="H38">
        <v>671.82</v>
      </c>
      <c r="I38">
        <v>658.77</v>
      </c>
      <c r="J38">
        <v>645.73</v>
      </c>
      <c r="K38">
        <v>632.71</v>
      </c>
      <c r="L38">
        <v>619.70000000000005</v>
      </c>
    </row>
    <row r="39" spans="1:12" x14ac:dyDescent="0.15">
      <c r="A39">
        <v>170</v>
      </c>
      <c r="B39">
        <v>744.29</v>
      </c>
      <c r="C39">
        <v>740.52</v>
      </c>
      <c r="D39">
        <v>736.73</v>
      </c>
      <c r="E39">
        <v>730.32</v>
      </c>
      <c r="F39">
        <v>718.19</v>
      </c>
      <c r="G39">
        <v>705.42</v>
      </c>
      <c r="H39">
        <v>692.42</v>
      </c>
      <c r="I39">
        <v>679.43</v>
      </c>
      <c r="J39">
        <v>666.44</v>
      </c>
      <c r="K39">
        <v>653.47</v>
      </c>
      <c r="L39">
        <v>640.48</v>
      </c>
    </row>
    <row r="40" spans="1:12" x14ac:dyDescent="0.15">
      <c r="A40">
        <v>175</v>
      </c>
      <c r="B40">
        <v>750.65</v>
      </c>
      <c r="C40">
        <v>746.93</v>
      </c>
      <c r="D40">
        <v>743.17</v>
      </c>
      <c r="E40">
        <v>739.38</v>
      </c>
      <c r="F40">
        <v>732.89</v>
      </c>
      <c r="G40">
        <v>722.21</v>
      </c>
      <c r="H40">
        <v>710.28</v>
      </c>
      <c r="I40">
        <v>697.93</v>
      </c>
      <c r="J40">
        <v>685.59</v>
      </c>
      <c r="K40">
        <v>672.83</v>
      </c>
      <c r="L40">
        <v>659.86</v>
      </c>
    </row>
    <row r="41" spans="1:12" x14ac:dyDescent="0.15">
      <c r="A41">
        <v>180</v>
      </c>
      <c r="B41">
        <v>756.94</v>
      </c>
      <c r="C41">
        <v>753.26</v>
      </c>
      <c r="D41">
        <v>749.55</v>
      </c>
      <c r="E41">
        <v>745.8</v>
      </c>
      <c r="F41">
        <v>742.01</v>
      </c>
      <c r="G41">
        <v>735.21</v>
      </c>
      <c r="H41">
        <v>725.33</v>
      </c>
      <c r="I41">
        <v>714.08</v>
      </c>
      <c r="J41">
        <v>702.29</v>
      </c>
      <c r="K41">
        <v>690.02</v>
      </c>
      <c r="L41">
        <v>677.7</v>
      </c>
    </row>
    <row r="42" spans="1:12" x14ac:dyDescent="0.15">
      <c r="A42">
        <v>185</v>
      </c>
      <c r="B42">
        <v>763.15</v>
      </c>
      <c r="C42">
        <v>759.52</v>
      </c>
      <c r="D42">
        <v>755.85</v>
      </c>
      <c r="E42">
        <v>752.14</v>
      </c>
      <c r="F42">
        <v>748.4</v>
      </c>
      <c r="G42">
        <v>744.45</v>
      </c>
      <c r="H42">
        <v>737.51</v>
      </c>
      <c r="I42">
        <v>727.94</v>
      </c>
      <c r="J42">
        <v>717.7</v>
      </c>
      <c r="K42">
        <v>705.95</v>
      </c>
      <c r="L42">
        <v>694.17</v>
      </c>
    </row>
    <row r="43" spans="1:12" x14ac:dyDescent="0.15">
      <c r="A43">
        <v>190</v>
      </c>
      <c r="B43">
        <v>769.29</v>
      </c>
      <c r="C43">
        <v>765.7</v>
      </c>
      <c r="D43">
        <v>762.07</v>
      </c>
      <c r="E43">
        <v>758.41</v>
      </c>
      <c r="F43">
        <v>754.71</v>
      </c>
      <c r="G43">
        <v>750.97</v>
      </c>
      <c r="H43">
        <v>746.73</v>
      </c>
      <c r="I43">
        <v>739.78</v>
      </c>
      <c r="J43">
        <v>730.52</v>
      </c>
      <c r="K43">
        <v>720.29</v>
      </c>
      <c r="L43">
        <v>709.59</v>
      </c>
    </row>
    <row r="44" spans="1:12" x14ac:dyDescent="0.15">
      <c r="A44">
        <v>195</v>
      </c>
      <c r="B44">
        <v>775.36</v>
      </c>
      <c r="C44">
        <v>771.81</v>
      </c>
      <c r="D44">
        <v>768.22</v>
      </c>
      <c r="E44">
        <v>764.6</v>
      </c>
      <c r="F44">
        <v>760.94</v>
      </c>
      <c r="G44">
        <v>757.25</v>
      </c>
      <c r="H44">
        <v>753.52</v>
      </c>
      <c r="I44">
        <v>748.92</v>
      </c>
      <c r="J44">
        <v>742.03</v>
      </c>
      <c r="K44">
        <v>732.8</v>
      </c>
      <c r="L44">
        <v>722.85</v>
      </c>
    </row>
    <row r="45" spans="1:12" x14ac:dyDescent="0.15">
      <c r="A45">
        <v>200</v>
      </c>
      <c r="B45">
        <v>781.35</v>
      </c>
      <c r="C45">
        <v>777.84</v>
      </c>
      <c r="D45">
        <v>774.3</v>
      </c>
      <c r="E45">
        <v>770.72</v>
      </c>
      <c r="F45">
        <v>767.1</v>
      </c>
      <c r="G45">
        <v>763.45</v>
      </c>
      <c r="H45">
        <v>759.76</v>
      </c>
      <c r="I45">
        <v>756.04</v>
      </c>
      <c r="J45">
        <v>751.01</v>
      </c>
      <c r="K45">
        <v>744.25</v>
      </c>
      <c r="L45">
        <v>735.03</v>
      </c>
    </row>
    <row r="46" spans="1:12" x14ac:dyDescent="0.15">
      <c r="A46">
        <v>205</v>
      </c>
      <c r="B46">
        <v>787.26</v>
      </c>
      <c r="C46">
        <v>783.8</v>
      </c>
      <c r="D46">
        <v>780.3</v>
      </c>
      <c r="E46">
        <v>776.76</v>
      </c>
      <c r="F46">
        <v>773.19</v>
      </c>
      <c r="G46">
        <v>769.58</v>
      </c>
      <c r="H46">
        <v>765.93</v>
      </c>
      <c r="I46">
        <v>762.25</v>
      </c>
      <c r="J46">
        <v>758.4</v>
      </c>
      <c r="K46">
        <v>753.05</v>
      </c>
      <c r="L46">
        <v>746.29</v>
      </c>
    </row>
    <row r="47" spans="1:12" x14ac:dyDescent="0.15">
      <c r="A47">
        <v>210</v>
      </c>
      <c r="B47">
        <v>793.1</v>
      </c>
      <c r="C47">
        <v>789.68</v>
      </c>
      <c r="D47">
        <v>786.22</v>
      </c>
      <c r="E47">
        <v>782.73</v>
      </c>
      <c r="F47">
        <v>779.2</v>
      </c>
      <c r="G47">
        <v>775.63</v>
      </c>
      <c r="H47">
        <v>772.03</v>
      </c>
      <c r="I47">
        <v>768.39</v>
      </c>
      <c r="J47">
        <v>764.71</v>
      </c>
      <c r="K47">
        <v>760.71</v>
      </c>
      <c r="L47">
        <v>755.06</v>
      </c>
    </row>
    <row r="48" spans="1:12" x14ac:dyDescent="0.15">
      <c r="A48">
        <v>215</v>
      </c>
      <c r="B48">
        <v>798.87</v>
      </c>
      <c r="C48">
        <v>795.49</v>
      </c>
      <c r="D48">
        <v>792.08</v>
      </c>
      <c r="E48">
        <v>788.62</v>
      </c>
      <c r="F48">
        <v>785.14</v>
      </c>
      <c r="G48">
        <v>781.61</v>
      </c>
      <c r="H48">
        <v>778.05</v>
      </c>
      <c r="I48">
        <v>774.45</v>
      </c>
      <c r="J48">
        <v>770.82</v>
      </c>
      <c r="K48">
        <v>767.15</v>
      </c>
      <c r="L48">
        <v>762.99</v>
      </c>
    </row>
    <row r="49" spans="1:12" x14ac:dyDescent="0.15">
      <c r="A49">
        <v>220</v>
      </c>
      <c r="B49">
        <v>804.55</v>
      </c>
      <c r="C49">
        <v>801.22</v>
      </c>
      <c r="D49">
        <v>797.85</v>
      </c>
      <c r="E49">
        <v>794.44</v>
      </c>
      <c r="F49">
        <v>791</v>
      </c>
      <c r="G49">
        <v>787.52</v>
      </c>
      <c r="H49">
        <v>784</v>
      </c>
      <c r="I49">
        <v>780.44</v>
      </c>
      <c r="J49">
        <v>776.85</v>
      </c>
      <c r="K49">
        <v>773.23</v>
      </c>
      <c r="L49">
        <v>769.56</v>
      </c>
    </row>
    <row r="50" spans="1:12" x14ac:dyDescent="0.15">
      <c r="A50">
        <v>225</v>
      </c>
      <c r="B50">
        <v>810.17</v>
      </c>
      <c r="C50">
        <v>806.88</v>
      </c>
      <c r="D50">
        <v>803.55</v>
      </c>
      <c r="E50">
        <v>800.19</v>
      </c>
      <c r="F50">
        <v>796.78</v>
      </c>
      <c r="G50">
        <v>793.35</v>
      </c>
      <c r="H50">
        <v>789.87</v>
      </c>
      <c r="I50">
        <v>786.36</v>
      </c>
      <c r="J50">
        <v>782.81</v>
      </c>
      <c r="K50">
        <v>779.23</v>
      </c>
      <c r="L50">
        <v>775.61</v>
      </c>
    </row>
    <row r="51" spans="1:12" x14ac:dyDescent="0.15">
      <c r="A51">
        <v>230</v>
      </c>
      <c r="B51">
        <v>815.7</v>
      </c>
      <c r="C51">
        <v>812.46</v>
      </c>
      <c r="D51">
        <v>809.18</v>
      </c>
      <c r="E51">
        <v>805.85</v>
      </c>
      <c r="F51">
        <v>802.5</v>
      </c>
      <c r="G51">
        <v>799.1</v>
      </c>
      <c r="H51">
        <v>795.67</v>
      </c>
      <c r="I51">
        <v>792.2</v>
      </c>
      <c r="J51">
        <v>788.69</v>
      </c>
      <c r="K51">
        <v>785.15</v>
      </c>
      <c r="L51">
        <v>781.57</v>
      </c>
    </row>
    <row r="52" spans="1:12" x14ac:dyDescent="0.15">
      <c r="A52">
        <v>235</v>
      </c>
      <c r="B52">
        <v>821.17</v>
      </c>
      <c r="C52">
        <v>817.96</v>
      </c>
      <c r="D52">
        <v>814.72</v>
      </c>
      <c r="E52">
        <v>811.45</v>
      </c>
      <c r="F52">
        <v>808.13</v>
      </c>
      <c r="G52">
        <v>804.78</v>
      </c>
      <c r="H52">
        <v>801.39</v>
      </c>
      <c r="I52">
        <v>797.97</v>
      </c>
      <c r="J52">
        <v>794.5</v>
      </c>
      <c r="K52">
        <v>791</v>
      </c>
      <c r="L52">
        <v>787.47</v>
      </c>
    </row>
    <row r="53" spans="1:12" x14ac:dyDescent="0.15">
      <c r="A53">
        <v>240</v>
      </c>
      <c r="B53">
        <v>826.55</v>
      </c>
      <c r="C53">
        <v>823.39</v>
      </c>
      <c r="D53">
        <v>820.2</v>
      </c>
      <c r="E53">
        <v>816.97</v>
      </c>
      <c r="F53">
        <v>813.69</v>
      </c>
      <c r="G53">
        <v>810.39</v>
      </c>
      <c r="H53">
        <v>807.04</v>
      </c>
      <c r="I53">
        <v>803.66</v>
      </c>
      <c r="J53">
        <v>800.24</v>
      </c>
      <c r="K53">
        <v>796.78</v>
      </c>
      <c r="L53">
        <v>793.29</v>
      </c>
    </row>
    <row r="54" spans="1:12" x14ac:dyDescent="0.15">
      <c r="A54">
        <v>245</v>
      </c>
      <c r="B54">
        <v>831.86</v>
      </c>
      <c r="C54">
        <v>828.75</v>
      </c>
      <c r="D54">
        <v>825.59</v>
      </c>
      <c r="E54">
        <v>822.41</v>
      </c>
      <c r="F54">
        <v>819.18</v>
      </c>
      <c r="G54">
        <v>815.91</v>
      </c>
      <c r="H54">
        <v>812.61</v>
      </c>
      <c r="I54">
        <v>809.27</v>
      </c>
      <c r="J54">
        <v>805.9</v>
      </c>
      <c r="K54">
        <v>802.48</v>
      </c>
      <c r="L54">
        <v>799.03</v>
      </c>
    </row>
    <row r="55" spans="1:12" x14ac:dyDescent="0.15">
      <c r="A55">
        <v>250</v>
      </c>
      <c r="B55">
        <v>837.09</v>
      </c>
      <c r="C55">
        <v>834.02</v>
      </c>
      <c r="D55">
        <v>830.91</v>
      </c>
      <c r="E55">
        <v>827.77</v>
      </c>
      <c r="F55">
        <v>824.59</v>
      </c>
      <c r="G55">
        <v>821.37</v>
      </c>
      <c r="H55">
        <v>818.11</v>
      </c>
      <c r="I55">
        <v>814.81</v>
      </c>
      <c r="J55">
        <v>811.48</v>
      </c>
      <c r="K55">
        <v>808.11</v>
      </c>
      <c r="L55">
        <v>804.7</v>
      </c>
    </row>
    <row r="56" spans="1:12" x14ac:dyDescent="0.15">
      <c r="A56">
        <v>255</v>
      </c>
      <c r="B56">
        <v>842.25</v>
      </c>
      <c r="C56">
        <v>839.22</v>
      </c>
      <c r="D56">
        <v>836.16</v>
      </c>
      <c r="E56">
        <v>833.06</v>
      </c>
      <c r="F56">
        <v>829.92</v>
      </c>
      <c r="G56">
        <v>826.74</v>
      </c>
      <c r="H56">
        <v>823.53</v>
      </c>
      <c r="I56">
        <v>820.28</v>
      </c>
      <c r="J56">
        <v>816.99</v>
      </c>
      <c r="K56">
        <v>813.66</v>
      </c>
      <c r="L56">
        <v>810.3</v>
      </c>
    </row>
    <row r="57" spans="1:12" x14ac:dyDescent="0.15">
      <c r="A57">
        <v>260</v>
      </c>
      <c r="B57">
        <v>847.32</v>
      </c>
      <c r="C57">
        <v>844.35</v>
      </c>
      <c r="D57">
        <v>841.33</v>
      </c>
      <c r="E57">
        <v>838.27</v>
      </c>
      <c r="F57">
        <v>835.18</v>
      </c>
      <c r="G57">
        <v>832.05</v>
      </c>
      <c r="H57">
        <v>828.88</v>
      </c>
      <c r="I57">
        <v>825.67</v>
      </c>
      <c r="J57">
        <v>822.42</v>
      </c>
      <c r="K57">
        <v>819.14</v>
      </c>
      <c r="L57">
        <v>815.82</v>
      </c>
    </row>
    <row r="58" spans="1:12" x14ac:dyDescent="0.15">
      <c r="A58">
        <v>265</v>
      </c>
      <c r="B58">
        <v>852.33</v>
      </c>
      <c r="C58">
        <v>849.39</v>
      </c>
      <c r="D58">
        <v>846.42</v>
      </c>
      <c r="E58">
        <v>843.41</v>
      </c>
      <c r="F58">
        <v>840.36</v>
      </c>
      <c r="G58">
        <v>837.27</v>
      </c>
      <c r="H58">
        <v>834.14</v>
      </c>
      <c r="I58">
        <v>830.98</v>
      </c>
      <c r="J58">
        <v>827.78</v>
      </c>
      <c r="K58">
        <v>824.54</v>
      </c>
      <c r="L58">
        <v>821.26</v>
      </c>
    </row>
    <row r="59" spans="1:12" x14ac:dyDescent="0.15">
      <c r="A59">
        <v>270</v>
      </c>
      <c r="B59">
        <v>857.25</v>
      </c>
      <c r="C59">
        <v>854.36</v>
      </c>
      <c r="D59">
        <v>851.43</v>
      </c>
      <c r="E59">
        <v>848.47</v>
      </c>
      <c r="F59">
        <v>845.46</v>
      </c>
      <c r="G59">
        <v>842.42</v>
      </c>
      <c r="H59">
        <v>839.34</v>
      </c>
      <c r="I59">
        <v>836.22</v>
      </c>
      <c r="J59">
        <v>833.06</v>
      </c>
      <c r="K59">
        <v>829.86</v>
      </c>
      <c r="L59">
        <v>826.63</v>
      </c>
    </row>
    <row r="60" spans="1:12" x14ac:dyDescent="0.15">
      <c r="A60">
        <v>275</v>
      </c>
      <c r="B60">
        <v>862.1</v>
      </c>
      <c r="C60">
        <v>859.26</v>
      </c>
      <c r="D60">
        <v>856.37</v>
      </c>
      <c r="E60">
        <v>853.45</v>
      </c>
      <c r="F60">
        <v>850.49</v>
      </c>
      <c r="G60">
        <v>847.49</v>
      </c>
      <c r="H60">
        <v>844.45</v>
      </c>
      <c r="I60">
        <v>841.38</v>
      </c>
      <c r="J60">
        <v>838.26</v>
      </c>
      <c r="K60">
        <v>835.11</v>
      </c>
      <c r="L60">
        <v>831.92</v>
      </c>
    </row>
    <row r="61" spans="1:12" x14ac:dyDescent="0.15">
      <c r="A61">
        <v>280</v>
      </c>
      <c r="B61">
        <v>866.87</v>
      </c>
      <c r="C61">
        <v>864.07</v>
      </c>
      <c r="D61">
        <v>861.23</v>
      </c>
      <c r="E61">
        <v>858.36</v>
      </c>
      <c r="F61">
        <v>855.44</v>
      </c>
      <c r="G61">
        <v>852.49</v>
      </c>
      <c r="H61">
        <v>849.5</v>
      </c>
      <c r="I61">
        <v>846.46</v>
      </c>
      <c r="J61">
        <v>843.39</v>
      </c>
      <c r="K61">
        <v>840.29</v>
      </c>
      <c r="L61">
        <v>837.14</v>
      </c>
    </row>
    <row r="62" spans="1:12" x14ac:dyDescent="0.15">
      <c r="A62">
        <v>285</v>
      </c>
      <c r="B62">
        <v>871.56</v>
      </c>
      <c r="C62">
        <v>868.81</v>
      </c>
      <c r="D62">
        <v>866.02</v>
      </c>
      <c r="E62">
        <v>863.19</v>
      </c>
      <c r="F62">
        <v>860.32</v>
      </c>
      <c r="G62">
        <v>857.41</v>
      </c>
      <c r="H62">
        <v>854.46</v>
      </c>
      <c r="I62">
        <v>851.47</v>
      </c>
      <c r="J62">
        <v>848.45</v>
      </c>
      <c r="K62">
        <v>845.38</v>
      </c>
      <c r="L62">
        <v>842.28</v>
      </c>
    </row>
    <row r="63" spans="1:12" x14ac:dyDescent="0.15">
      <c r="A63">
        <v>290</v>
      </c>
      <c r="B63">
        <v>876.18</v>
      </c>
      <c r="C63">
        <v>873.47</v>
      </c>
      <c r="D63">
        <v>870.72</v>
      </c>
      <c r="E63">
        <v>867.94</v>
      </c>
      <c r="F63">
        <v>865.11</v>
      </c>
      <c r="G63">
        <v>862.25</v>
      </c>
      <c r="H63">
        <v>859.35</v>
      </c>
      <c r="I63">
        <v>856.4</v>
      </c>
      <c r="J63">
        <v>853.42</v>
      </c>
      <c r="K63">
        <v>850.4</v>
      </c>
      <c r="L63">
        <v>847.35</v>
      </c>
    </row>
    <row r="64" spans="1:12" x14ac:dyDescent="0.15">
      <c r="A64">
        <v>295</v>
      </c>
      <c r="B64">
        <v>880.72</v>
      </c>
      <c r="C64">
        <v>878.06</v>
      </c>
      <c r="D64">
        <v>875.35</v>
      </c>
      <c r="E64">
        <v>872.62</v>
      </c>
      <c r="F64">
        <v>869.84</v>
      </c>
      <c r="G64">
        <v>867.02</v>
      </c>
      <c r="H64">
        <v>864.16</v>
      </c>
      <c r="I64">
        <v>861.26</v>
      </c>
      <c r="J64">
        <v>858.32</v>
      </c>
      <c r="K64">
        <v>855.35</v>
      </c>
      <c r="L64">
        <v>852.34</v>
      </c>
    </row>
    <row r="65" spans="1:12" x14ac:dyDescent="0.15">
      <c r="A65">
        <v>300</v>
      </c>
      <c r="B65">
        <v>885.18</v>
      </c>
      <c r="C65">
        <v>882.56</v>
      </c>
      <c r="D65">
        <v>879.91</v>
      </c>
      <c r="E65">
        <v>877.21</v>
      </c>
      <c r="F65">
        <v>874.48</v>
      </c>
      <c r="G65">
        <v>871.7</v>
      </c>
      <c r="H65">
        <v>868.89</v>
      </c>
      <c r="I65">
        <v>866.04</v>
      </c>
      <c r="J65">
        <v>863.15</v>
      </c>
      <c r="K65">
        <v>860.22</v>
      </c>
      <c r="L65">
        <v>857.25</v>
      </c>
    </row>
    <row r="66" spans="1:12" x14ac:dyDescent="0.15">
      <c r="A66">
        <v>305</v>
      </c>
      <c r="B66">
        <v>889.57</v>
      </c>
      <c r="C66">
        <v>886.99</v>
      </c>
      <c r="D66">
        <v>884.38</v>
      </c>
      <c r="E66">
        <v>881.73</v>
      </c>
      <c r="F66">
        <v>879.04</v>
      </c>
      <c r="G66">
        <v>876.32</v>
      </c>
      <c r="H66">
        <v>873.55</v>
      </c>
      <c r="I66">
        <v>870.74</v>
      </c>
      <c r="J66">
        <v>867.89</v>
      </c>
      <c r="K66">
        <v>865.01</v>
      </c>
      <c r="L66">
        <v>862.09</v>
      </c>
    </row>
    <row r="67" spans="1:12" x14ac:dyDescent="0.15">
      <c r="A67">
        <v>310</v>
      </c>
      <c r="B67">
        <v>893.87</v>
      </c>
      <c r="C67">
        <v>891.35</v>
      </c>
      <c r="D67">
        <v>888.78</v>
      </c>
      <c r="E67">
        <v>886.18</v>
      </c>
      <c r="F67">
        <v>883.53</v>
      </c>
      <c r="G67">
        <v>880.85</v>
      </c>
      <c r="H67">
        <v>878.13</v>
      </c>
      <c r="I67">
        <v>875.37</v>
      </c>
      <c r="J67">
        <v>872.56</v>
      </c>
      <c r="K67">
        <v>869.72</v>
      </c>
      <c r="L67">
        <v>866.85</v>
      </c>
    </row>
    <row r="68" spans="1:12" x14ac:dyDescent="0.15">
      <c r="A68">
        <v>315</v>
      </c>
      <c r="B68">
        <v>898.1</v>
      </c>
      <c r="C68">
        <v>895.62</v>
      </c>
      <c r="D68">
        <v>893.1</v>
      </c>
      <c r="E68">
        <v>890.54</v>
      </c>
      <c r="F68">
        <v>887.95</v>
      </c>
      <c r="G68">
        <v>885.31</v>
      </c>
      <c r="H68">
        <v>882.63</v>
      </c>
      <c r="I68">
        <v>879.91</v>
      </c>
      <c r="J68">
        <v>877.16</v>
      </c>
      <c r="K68">
        <v>874.36</v>
      </c>
      <c r="L68">
        <v>871.53</v>
      </c>
    </row>
    <row r="69" spans="1:12" x14ac:dyDescent="0.15">
      <c r="A69">
        <v>320</v>
      </c>
      <c r="B69">
        <v>902.25</v>
      </c>
      <c r="C69">
        <v>899.82</v>
      </c>
      <c r="D69">
        <v>897.34</v>
      </c>
      <c r="E69">
        <v>894.83</v>
      </c>
      <c r="F69">
        <v>892.28</v>
      </c>
      <c r="G69">
        <v>889.69</v>
      </c>
      <c r="H69">
        <v>887.06</v>
      </c>
      <c r="I69">
        <v>884.38</v>
      </c>
      <c r="J69">
        <v>881.67</v>
      </c>
      <c r="K69">
        <v>878.92</v>
      </c>
      <c r="L69">
        <v>876.13</v>
      </c>
    </row>
    <row r="70" spans="1:12" x14ac:dyDescent="0.15">
      <c r="A70">
        <v>325</v>
      </c>
      <c r="B70">
        <v>906.33</v>
      </c>
      <c r="C70">
        <v>903.94</v>
      </c>
      <c r="D70">
        <v>901.51</v>
      </c>
      <c r="E70">
        <v>899.05</v>
      </c>
      <c r="F70">
        <v>896.54</v>
      </c>
      <c r="G70">
        <v>893.99</v>
      </c>
      <c r="H70">
        <v>891.4</v>
      </c>
      <c r="I70">
        <v>888.78</v>
      </c>
      <c r="J70">
        <v>886.11</v>
      </c>
      <c r="K70">
        <v>883.41</v>
      </c>
      <c r="L70">
        <v>880.66</v>
      </c>
    </row>
    <row r="71" spans="1:12" x14ac:dyDescent="0.15">
      <c r="A71">
        <v>330</v>
      </c>
      <c r="B71">
        <v>910.33</v>
      </c>
      <c r="C71">
        <v>907.98</v>
      </c>
      <c r="D71">
        <v>905.6</v>
      </c>
      <c r="E71">
        <v>903.18</v>
      </c>
      <c r="F71">
        <v>900.72</v>
      </c>
      <c r="G71">
        <v>898.22</v>
      </c>
      <c r="H71">
        <v>895.68</v>
      </c>
      <c r="I71">
        <v>893.1</v>
      </c>
      <c r="J71">
        <v>890.48</v>
      </c>
      <c r="K71">
        <v>887.82</v>
      </c>
      <c r="L71">
        <v>885.12</v>
      </c>
    </row>
    <row r="72" spans="1:12" x14ac:dyDescent="0.15">
      <c r="A72">
        <v>335</v>
      </c>
      <c r="B72">
        <v>914.25</v>
      </c>
      <c r="C72">
        <v>911.95</v>
      </c>
      <c r="D72">
        <v>909.61</v>
      </c>
      <c r="E72">
        <v>907.24</v>
      </c>
      <c r="F72">
        <v>904.82</v>
      </c>
      <c r="G72">
        <v>902.37</v>
      </c>
      <c r="H72">
        <v>899.87</v>
      </c>
      <c r="I72">
        <v>897.33</v>
      </c>
      <c r="J72">
        <v>894.76</v>
      </c>
      <c r="K72">
        <v>892.15</v>
      </c>
      <c r="L72">
        <v>889.49</v>
      </c>
    </row>
    <row r="73" spans="1:12" x14ac:dyDescent="0.15">
      <c r="A73">
        <v>340</v>
      </c>
      <c r="B73">
        <v>918.09</v>
      </c>
      <c r="C73">
        <v>915.84</v>
      </c>
      <c r="D73">
        <v>913.54</v>
      </c>
      <c r="E73">
        <v>911.22</v>
      </c>
      <c r="F73">
        <v>908.85</v>
      </c>
      <c r="G73">
        <v>906.44</v>
      </c>
      <c r="H73">
        <v>903.99</v>
      </c>
      <c r="I73">
        <v>901.5</v>
      </c>
      <c r="J73">
        <v>898.97</v>
      </c>
      <c r="K73">
        <v>896.4</v>
      </c>
      <c r="L73">
        <v>893.79</v>
      </c>
    </row>
    <row r="74" spans="1:12" x14ac:dyDescent="0.15">
      <c r="A74">
        <v>345</v>
      </c>
      <c r="B74">
        <v>921.85</v>
      </c>
      <c r="C74">
        <v>919.65</v>
      </c>
      <c r="D74">
        <v>917.4</v>
      </c>
      <c r="E74">
        <v>915.12</v>
      </c>
      <c r="F74">
        <v>912.79</v>
      </c>
      <c r="G74">
        <v>910.43</v>
      </c>
      <c r="H74">
        <v>908.03</v>
      </c>
      <c r="I74">
        <v>905.58</v>
      </c>
      <c r="J74">
        <v>903.1</v>
      </c>
      <c r="K74">
        <v>900.57</v>
      </c>
      <c r="L74">
        <v>898.01</v>
      </c>
    </row>
    <row r="75" spans="1:12" x14ac:dyDescent="0.15">
      <c r="A75">
        <v>350</v>
      </c>
      <c r="B75">
        <v>925.54</v>
      </c>
      <c r="C75">
        <v>923.38</v>
      </c>
      <c r="D75">
        <v>921.18</v>
      </c>
      <c r="E75">
        <v>918.94</v>
      </c>
      <c r="F75">
        <v>916.66</v>
      </c>
      <c r="G75">
        <v>914.35</v>
      </c>
      <c r="H75">
        <v>911.99</v>
      </c>
      <c r="I75">
        <v>909.59</v>
      </c>
      <c r="J75">
        <v>907.15</v>
      </c>
      <c r="K75">
        <v>904.67</v>
      </c>
      <c r="L75">
        <v>902.16</v>
      </c>
    </row>
    <row r="76" spans="1:12" x14ac:dyDescent="0.15">
      <c r="A76">
        <v>355</v>
      </c>
      <c r="B76">
        <v>929.15</v>
      </c>
      <c r="C76">
        <v>927.04</v>
      </c>
      <c r="D76">
        <v>924.88</v>
      </c>
      <c r="E76">
        <v>922.69</v>
      </c>
      <c r="F76">
        <v>920.46</v>
      </c>
      <c r="G76">
        <v>918.18</v>
      </c>
      <c r="H76">
        <v>915.87</v>
      </c>
      <c r="I76">
        <v>913.52</v>
      </c>
      <c r="J76">
        <v>911.13</v>
      </c>
      <c r="K76">
        <v>908.69</v>
      </c>
      <c r="L76">
        <v>906.22</v>
      </c>
    </row>
    <row r="77" spans="1:12" x14ac:dyDescent="0.15">
      <c r="A77">
        <v>360</v>
      </c>
      <c r="B77">
        <v>932.68</v>
      </c>
      <c r="C77">
        <v>930.62</v>
      </c>
      <c r="D77">
        <v>928.5</v>
      </c>
      <c r="E77">
        <v>926.36</v>
      </c>
      <c r="F77">
        <v>924.17</v>
      </c>
      <c r="G77">
        <v>921.94</v>
      </c>
      <c r="H77">
        <v>919.68</v>
      </c>
      <c r="I77">
        <v>917.37</v>
      </c>
      <c r="J77">
        <v>915.02</v>
      </c>
      <c r="K77">
        <v>912.64</v>
      </c>
      <c r="L77">
        <v>910.21</v>
      </c>
    </row>
    <row r="78" spans="1:12" x14ac:dyDescent="0.15">
      <c r="A78">
        <v>365</v>
      </c>
      <c r="B78">
        <v>936.13</v>
      </c>
      <c r="C78">
        <v>934.11</v>
      </c>
      <c r="D78">
        <v>932.05</v>
      </c>
      <c r="E78">
        <v>929.95</v>
      </c>
      <c r="F78">
        <v>927.81</v>
      </c>
      <c r="G78">
        <v>925.63</v>
      </c>
      <c r="H78">
        <v>923.41</v>
      </c>
      <c r="I78">
        <v>921.15</v>
      </c>
      <c r="J78">
        <v>918.84</v>
      </c>
      <c r="K78">
        <v>916.5</v>
      </c>
      <c r="L78">
        <v>914.12</v>
      </c>
    </row>
    <row r="79" spans="1:12" x14ac:dyDescent="0.15">
      <c r="A79">
        <v>370</v>
      </c>
      <c r="B79">
        <v>939.51</v>
      </c>
      <c r="C79">
        <v>937.54</v>
      </c>
      <c r="D79">
        <v>935.52</v>
      </c>
      <c r="E79">
        <v>933.47</v>
      </c>
      <c r="F79">
        <v>931.37</v>
      </c>
      <c r="G79">
        <v>929.23</v>
      </c>
      <c r="H79">
        <v>927.06</v>
      </c>
      <c r="I79">
        <v>924.84</v>
      </c>
      <c r="J79">
        <v>922.59</v>
      </c>
      <c r="K79">
        <v>920.29</v>
      </c>
      <c r="L79">
        <v>917.96</v>
      </c>
    </row>
    <row r="80" spans="1:12" x14ac:dyDescent="0.15">
      <c r="A80">
        <v>375</v>
      </c>
      <c r="B80">
        <v>942.81</v>
      </c>
      <c r="C80">
        <v>940.88</v>
      </c>
      <c r="D80">
        <v>938.91</v>
      </c>
      <c r="E80">
        <v>936.9</v>
      </c>
      <c r="F80">
        <v>934.85</v>
      </c>
      <c r="G80">
        <v>932.76</v>
      </c>
      <c r="H80">
        <v>930.63</v>
      </c>
      <c r="I80">
        <v>928.46</v>
      </c>
      <c r="J80">
        <v>926.25</v>
      </c>
      <c r="K80">
        <v>924</v>
      </c>
      <c r="L80">
        <v>921.72</v>
      </c>
    </row>
    <row r="81" spans="1:12" x14ac:dyDescent="0.15">
      <c r="A81">
        <v>380</v>
      </c>
      <c r="B81">
        <v>946.03</v>
      </c>
      <c r="C81">
        <v>944.15</v>
      </c>
      <c r="D81">
        <v>942.22</v>
      </c>
      <c r="E81">
        <v>940.26</v>
      </c>
      <c r="F81">
        <v>938.26</v>
      </c>
      <c r="G81">
        <v>936.21</v>
      </c>
      <c r="H81">
        <v>934.13</v>
      </c>
      <c r="I81">
        <v>932.01</v>
      </c>
      <c r="J81">
        <v>929.84</v>
      </c>
      <c r="K81">
        <v>927.64</v>
      </c>
      <c r="L81">
        <v>925.39</v>
      </c>
    </row>
    <row r="82" spans="1:12" x14ac:dyDescent="0.15">
      <c r="A82">
        <v>385</v>
      </c>
      <c r="B82">
        <v>949.17</v>
      </c>
      <c r="C82">
        <v>947.34</v>
      </c>
      <c r="D82">
        <v>945.46</v>
      </c>
      <c r="E82">
        <v>943.54</v>
      </c>
      <c r="F82">
        <v>941.58</v>
      </c>
      <c r="G82">
        <v>939.59</v>
      </c>
      <c r="H82">
        <v>937.55</v>
      </c>
      <c r="I82">
        <v>935.47</v>
      </c>
      <c r="J82">
        <v>933.35</v>
      </c>
      <c r="K82">
        <v>931.19</v>
      </c>
      <c r="L82">
        <v>929</v>
      </c>
    </row>
    <row r="83" spans="1:12" x14ac:dyDescent="0.15">
      <c r="A83">
        <v>390</v>
      </c>
      <c r="B83">
        <v>952.24</v>
      </c>
      <c r="C83">
        <v>950.45</v>
      </c>
      <c r="D83">
        <v>948.61</v>
      </c>
      <c r="E83">
        <v>946.75</v>
      </c>
      <c r="F83">
        <v>944.83</v>
      </c>
      <c r="G83">
        <v>942.88</v>
      </c>
      <c r="H83">
        <v>940.89</v>
      </c>
      <c r="I83">
        <v>938.86</v>
      </c>
      <c r="J83">
        <v>936.79</v>
      </c>
      <c r="K83">
        <v>934.67</v>
      </c>
      <c r="L83">
        <v>932.52</v>
      </c>
    </row>
    <row r="84" spans="1:12" x14ac:dyDescent="0.15">
      <c r="A84">
        <v>395</v>
      </c>
      <c r="B84">
        <v>955.23</v>
      </c>
      <c r="C84">
        <v>953.48</v>
      </c>
      <c r="D84">
        <v>951.69</v>
      </c>
      <c r="E84">
        <v>949.87</v>
      </c>
      <c r="F84">
        <v>948.01</v>
      </c>
      <c r="G84">
        <v>946.1</v>
      </c>
      <c r="H84">
        <v>944.15</v>
      </c>
      <c r="I84">
        <v>942.17</v>
      </c>
      <c r="J84">
        <v>940.14</v>
      </c>
      <c r="K84">
        <v>938.07</v>
      </c>
      <c r="L84">
        <v>935.97</v>
      </c>
    </row>
    <row r="85" spans="1:12" x14ac:dyDescent="0.15">
      <c r="A85">
        <v>400</v>
      </c>
      <c r="B85">
        <v>958.14</v>
      </c>
      <c r="C85">
        <v>956.44</v>
      </c>
      <c r="D85">
        <v>954.7</v>
      </c>
      <c r="E85">
        <v>952.92</v>
      </c>
      <c r="F85">
        <v>951.1</v>
      </c>
      <c r="G85">
        <v>949.24</v>
      </c>
      <c r="H85">
        <v>947.34</v>
      </c>
      <c r="I85">
        <v>945.4</v>
      </c>
      <c r="J85">
        <v>943.42</v>
      </c>
      <c r="K85">
        <v>941.4</v>
      </c>
      <c r="L85">
        <v>939.34</v>
      </c>
    </row>
    <row r="86" spans="1:12" x14ac:dyDescent="0.15">
      <c r="A86">
        <v>405</v>
      </c>
      <c r="B86">
        <v>960.97</v>
      </c>
      <c r="C86">
        <v>959.31</v>
      </c>
      <c r="D86">
        <v>957.62</v>
      </c>
      <c r="E86">
        <v>955.89</v>
      </c>
      <c r="F86">
        <v>954.12</v>
      </c>
      <c r="G86">
        <v>952.3</v>
      </c>
      <c r="H86">
        <v>950.45</v>
      </c>
      <c r="I86">
        <v>948.55</v>
      </c>
      <c r="J86">
        <v>946.62</v>
      </c>
      <c r="K86">
        <v>944.64</v>
      </c>
      <c r="L86">
        <v>942.63</v>
      </c>
    </row>
    <row r="87" spans="1:12" x14ac:dyDescent="0.15">
      <c r="A87">
        <v>410</v>
      </c>
      <c r="B87">
        <v>963.72</v>
      </c>
      <c r="C87">
        <v>962.11</v>
      </c>
      <c r="D87">
        <v>960.47</v>
      </c>
      <c r="E87">
        <v>958.78</v>
      </c>
      <c r="F87">
        <v>957.05</v>
      </c>
      <c r="G87">
        <v>955.29</v>
      </c>
      <c r="H87">
        <v>953.48</v>
      </c>
      <c r="I87">
        <v>951.63</v>
      </c>
      <c r="J87">
        <v>949.74</v>
      </c>
      <c r="K87">
        <v>947.81</v>
      </c>
      <c r="L87">
        <v>945.84</v>
      </c>
    </row>
    <row r="88" spans="1:12" x14ac:dyDescent="0.15">
      <c r="A88">
        <v>415</v>
      </c>
      <c r="B88">
        <v>966.4</v>
      </c>
      <c r="C88">
        <v>964.84</v>
      </c>
      <c r="D88">
        <v>963.23</v>
      </c>
      <c r="E88">
        <v>961.6</v>
      </c>
      <c r="F88">
        <v>959.91</v>
      </c>
      <c r="G88">
        <v>958.19</v>
      </c>
      <c r="H88">
        <v>956.43</v>
      </c>
      <c r="I88">
        <v>954.63</v>
      </c>
      <c r="J88">
        <v>952.79</v>
      </c>
      <c r="K88">
        <v>950.9</v>
      </c>
      <c r="L88">
        <v>948.98</v>
      </c>
    </row>
    <row r="89" spans="1:12" x14ac:dyDescent="0.15">
      <c r="A89">
        <v>420</v>
      </c>
      <c r="B89">
        <v>969</v>
      </c>
      <c r="C89">
        <v>967.48</v>
      </c>
      <c r="D89">
        <v>965.93</v>
      </c>
      <c r="E89">
        <v>964.33</v>
      </c>
      <c r="F89">
        <v>962.7</v>
      </c>
      <c r="G89">
        <v>961.02</v>
      </c>
      <c r="H89">
        <v>959.31</v>
      </c>
      <c r="I89">
        <v>957.55</v>
      </c>
      <c r="J89">
        <v>955.75</v>
      </c>
      <c r="K89">
        <v>953.92</v>
      </c>
      <c r="L89">
        <v>952.04</v>
      </c>
    </row>
    <row r="90" spans="1:12" x14ac:dyDescent="0.15">
      <c r="A90">
        <v>425</v>
      </c>
      <c r="B90">
        <v>971.52</v>
      </c>
      <c r="C90">
        <v>970.05</v>
      </c>
      <c r="D90">
        <v>968.54</v>
      </c>
      <c r="E90">
        <v>966.99</v>
      </c>
      <c r="F90">
        <v>965.4</v>
      </c>
      <c r="G90">
        <v>963.77</v>
      </c>
      <c r="H90">
        <v>962.1</v>
      </c>
      <c r="I90">
        <v>960.39</v>
      </c>
      <c r="J90">
        <v>958.64</v>
      </c>
      <c r="K90">
        <v>956.85</v>
      </c>
      <c r="L90">
        <v>955.02</v>
      </c>
    </row>
    <row r="91" spans="1:12" x14ac:dyDescent="0.15">
      <c r="A91">
        <v>430</v>
      </c>
      <c r="B91">
        <v>973.96</v>
      </c>
      <c r="C91">
        <v>972.54</v>
      </c>
      <c r="D91">
        <v>971.07</v>
      </c>
      <c r="E91">
        <v>969.57</v>
      </c>
      <c r="F91">
        <v>968.03</v>
      </c>
      <c r="G91">
        <v>966.45</v>
      </c>
      <c r="H91">
        <v>964.82</v>
      </c>
      <c r="I91">
        <v>963.16</v>
      </c>
      <c r="J91">
        <v>961.45</v>
      </c>
      <c r="K91">
        <v>959.71</v>
      </c>
      <c r="L91">
        <v>957.93</v>
      </c>
    </row>
    <row r="92" spans="1:12" x14ac:dyDescent="0.15">
      <c r="A92">
        <v>435</v>
      </c>
      <c r="B92">
        <v>976.32</v>
      </c>
      <c r="C92">
        <v>974.95</v>
      </c>
      <c r="D92">
        <v>973.53</v>
      </c>
      <c r="E92">
        <v>972.08</v>
      </c>
      <c r="F92">
        <v>970.58</v>
      </c>
      <c r="G92">
        <v>969.04</v>
      </c>
      <c r="H92">
        <v>967.46</v>
      </c>
      <c r="I92">
        <v>965.85</v>
      </c>
      <c r="J92">
        <v>964.19</v>
      </c>
      <c r="K92">
        <v>962.49</v>
      </c>
      <c r="L92">
        <v>960.75</v>
      </c>
    </row>
    <row r="93" spans="1:12" x14ac:dyDescent="0.15">
      <c r="A93">
        <v>440</v>
      </c>
      <c r="B93">
        <v>978.61</v>
      </c>
      <c r="C93">
        <v>977.28</v>
      </c>
      <c r="D93">
        <v>975.91</v>
      </c>
      <c r="E93">
        <v>974.5</v>
      </c>
      <c r="F93">
        <v>973.05</v>
      </c>
      <c r="G93">
        <v>971.56</v>
      </c>
      <c r="H93">
        <v>970.03</v>
      </c>
      <c r="I93">
        <v>968.46</v>
      </c>
      <c r="J93">
        <v>966.84</v>
      </c>
      <c r="K93">
        <v>965.19</v>
      </c>
      <c r="L93">
        <v>963.5</v>
      </c>
    </row>
    <row r="94" spans="1:12" x14ac:dyDescent="0.15">
      <c r="A94">
        <v>445</v>
      </c>
      <c r="B94">
        <v>980.82</v>
      </c>
      <c r="C94">
        <v>979.54</v>
      </c>
      <c r="D94">
        <v>978.21</v>
      </c>
      <c r="E94">
        <v>976.85</v>
      </c>
      <c r="F94">
        <v>975.44</v>
      </c>
      <c r="G94">
        <v>974</v>
      </c>
      <c r="H94">
        <v>972.51</v>
      </c>
      <c r="I94">
        <v>970.99</v>
      </c>
      <c r="J94">
        <v>969.42</v>
      </c>
      <c r="K94">
        <v>967.82</v>
      </c>
      <c r="L94">
        <v>966.17</v>
      </c>
    </row>
    <row r="95" spans="1:12" x14ac:dyDescent="0.15">
      <c r="A95">
        <v>450</v>
      </c>
      <c r="B95">
        <v>982.95</v>
      </c>
      <c r="C95">
        <v>981.71</v>
      </c>
      <c r="D95">
        <v>980.43</v>
      </c>
      <c r="E95">
        <v>979.12</v>
      </c>
      <c r="F95">
        <v>977.76</v>
      </c>
      <c r="G95">
        <v>976.36</v>
      </c>
      <c r="H95">
        <v>974.92</v>
      </c>
      <c r="I95">
        <v>973.44</v>
      </c>
      <c r="J95">
        <v>971.92</v>
      </c>
      <c r="K95">
        <v>970.36</v>
      </c>
      <c r="L95">
        <v>968.76</v>
      </c>
    </row>
    <row r="96" spans="1:12" x14ac:dyDescent="0.15">
      <c r="A96">
        <v>455</v>
      </c>
      <c r="B96">
        <v>985</v>
      </c>
      <c r="C96">
        <v>983.81</v>
      </c>
      <c r="D96">
        <v>982.58</v>
      </c>
      <c r="E96">
        <v>981.31</v>
      </c>
      <c r="F96">
        <v>980</v>
      </c>
      <c r="G96">
        <v>978.65</v>
      </c>
      <c r="H96">
        <v>977.25</v>
      </c>
      <c r="I96">
        <v>975.82</v>
      </c>
      <c r="J96">
        <v>974.35</v>
      </c>
      <c r="K96">
        <v>972.83</v>
      </c>
      <c r="L96">
        <v>971.28</v>
      </c>
    </row>
    <row r="97" spans="1:12" x14ac:dyDescent="0.15">
      <c r="A97">
        <v>460</v>
      </c>
      <c r="B97">
        <v>986.98</v>
      </c>
      <c r="C97">
        <v>985.83</v>
      </c>
      <c r="D97">
        <v>984.65</v>
      </c>
      <c r="E97">
        <v>983.42</v>
      </c>
      <c r="F97">
        <v>982.16</v>
      </c>
      <c r="G97">
        <v>980.85</v>
      </c>
      <c r="H97">
        <v>979.51</v>
      </c>
      <c r="I97">
        <v>978.12</v>
      </c>
      <c r="J97">
        <v>976.69</v>
      </c>
      <c r="K97">
        <v>975.22</v>
      </c>
      <c r="L97">
        <v>973.72</v>
      </c>
    </row>
    <row r="98" spans="1:12" x14ac:dyDescent="0.15">
      <c r="A98">
        <v>465</v>
      </c>
      <c r="B98">
        <v>988.87</v>
      </c>
      <c r="C98">
        <v>987.77</v>
      </c>
      <c r="D98">
        <v>986.63</v>
      </c>
      <c r="E98">
        <v>985.46</v>
      </c>
      <c r="F98">
        <v>984.24</v>
      </c>
      <c r="G98">
        <v>982.98</v>
      </c>
      <c r="H98">
        <v>981.68</v>
      </c>
      <c r="I98">
        <v>980.34</v>
      </c>
      <c r="J98">
        <v>978.96</v>
      </c>
      <c r="K98">
        <v>977.54</v>
      </c>
      <c r="L98">
        <v>976.08</v>
      </c>
    </row>
    <row r="99" spans="1:12" x14ac:dyDescent="0.15">
      <c r="A99">
        <v>470</v>
      </c>
      <c r="B99">
        <v>990.69</v>
      </c>
      <c r="C99">
        <v>989.64</v>
      </c>
      <c r="D99">
        <v>988.55</v>
      </c>
      <c r="E99">
        <v>987.42</v>
      </c>
      <c r="F99">
        <v>986.24</v>
      </c>
      <c r="G99">
        <v>985.03</v>
      </c>
      <c r="H99">
        <v>983.78</v>
      </c>
      <c r="I99">
        <v>982.48</v>
      </c>
      <c r="J99">
        <v>981.15</v>
      </c>
      <c r="K99">
        <v>979.77</v>
      </c>
      <c r="L99">
        <v>978.36</v>
      </c>
    </row>
    <row r="100" spans="1:12" x14ac:dyDescent="0.15">
      <c r="A100">
        <v>475</v>
      </c>
      <c r="B100">
        <v>992.43</v>
      </c>
      <c r="C100">
        <v>991.43</v>
      </c>
      <c r="D100">
        <v>990.38</v>
      </c>
      <c r="E100">
        <v>989.3</v>
      </c>
      <c r="F100">
        <v>988.17</v>
      </c>
      <c r="G100">
        <v>987</v>
      </c>
      <c r="H100">
        <v>985.79</v>
      </c>
      <c r="I100">
        <v>984.55</v>
      </c>
      <c r="J100">
        <v>983.26</v>
      </c>
      <c r="K100">
        <v>981.93</v>
      </c>
      <c r="L100">
        <v>980.56</v>
      </c>
    </row>
    <row r="101" spans="1:12" x14ac:dyDescent="0.15">
      <c r="A101">
        <v>480</v>
      </c>
      <c r="B101">
        <v>994.09</v>
      </c>
      <c r="C101">
        <v>993.13</v>
      </c>
      <c r="D101">
        <v>992.13</v>
      </c>
      <c r="E101">
        <v>991.1</v>
      </c>
      <c r="F101">
        <v>990.02</v>
      </c>
      <c r="G101">
        <v>988.9</v>
      </c>
      <c r="H101">
        <v>987.74</v>
      </c>
      <c r="I101">
        <v>986.53</v>
      </c>
      <c r="J101">
        <v>985.29</v>
      </c>
      <c r="K101">
        <v>984.01</v>
      </c>
      <c r="L101">
        <v>982.69</v>
      </c>
    </row>
    <row r="102" spans="1:12" x14ac:dyDescent="0.15">
      <c r="A102">
        <v>485</v>
      </c>
      <c r="B102">
        <v>995.67</v>
      </c>
      <c r="C102">
        <v>994.76</v>
      </c>
      <c r="D102">
        <v>993.81</v>
      </c>
      <c r="E102">
        <v>992.82</v>
      </c>
      <c r="F102">
        <v>991.79</v>
      </c>
      <c r="G102">
        <v>990.71</v>
      </c>
      <c r="H102">
        <v>989.6</v>
      </c>
      <c r="I102">
        <v>988.44</v>
      </c>
      <c r="J102">
        <v>987.25</v>
      </c>
      <c r="K102">
        <v>986.01</v>
      </c>
      <c r="L102">
        <v>984.73</v>
      </c>
    </row>
    <row r="103" spans="1:12" x14ac:dyDescent="0.15">
      <c r="A103">
        <v>490</v>
      </c>
      <c r="B103">
        <v>997.18</v>
      </c>
      <c r="C103">
        <v>996.32</v>
      </c>
      <c r="D103">
        <v>995.41</v>
      </c>
      <c r="E103">
        <v>994.47</v>
      </c>
      <c r="F103">
        <v>993.48</v>
      </c>
      <c r="G103">
        <v>992.45</v>
      </c>
      <c r="H103">
        <v>991.38</v>
      </c>
      <c r="I103">
        <v>990.27</v>
      </c>
      <c r="J103">
        <v>989.12</v>
      </c>
      <c r="K103">
        <v>987.93</v>
      </c>
      <c r="L103">
        <v>986.7</v>
      </c>
    </row>
    <row r="104" spans="1:12" x14ac:dyDescent="0.15">
      <c r="A104">
        <v>495</v>
      </c>
      <c r="B104">
        <v>998.61</v>
      </c>
      <c r="C104">
        <v>997.79</v>
      </c>
      <c r="D104">
        <v>996.93</v>
      </c>
      <c r="E104">
        <v>996.03</v>
      </c>
      <c r="F104">
        <v>995.09</v>
      </c>
      <c r="G104">
        <v>994.11</v>
      </c>
      <c r="H104">
        <v>993.09</v>
      </c>
      <c r="I104">
        <v>992.03</v>
      </c>
      <c r="J104">
        <v>990.92</v>
      </c>
      <c r="K104">
        <v>989.78</v>
      </c>
      <c r="L104">
        <v>988.6</v>
      </c>
    </row>
    <row r="105" spans="1:12" x14ac:dyDescent="0.15">
      <c r="A105">
        <v>500</v>
      </c>
      <c r="B105">
        <v>999.96</v>
      </c>
      <c r="C105">
        <v>999.19</v>
      </c>
      <c r="D105">
        <v>998.37</v>
      </c>
      <c r="E105">
        <v>997.52</v>
      </c>
      <c r="F105">
        <v>996.63</v>
      </c>
      <c r="G105">
        <v>995.69</v>
      </c>
      <c r="H105">
        <v>994.72</v>
      </c>
      <c r="I105">
        <v>993.7</v>
      </c>
      <c r="J105">
        <v>992.64</v>
      </c>
      <c r="K105">
        <v>991.55</v>
      </c>
      <c r="L105">
        <v>990.41</v>
      </c>
    </row>
    <row r="106" spans="1:12" x14ac:dyDescent="0.15">
      <c r="A106">
        <v>505</v>
      </c>
      <c r="B106">
        <v>1001.24</v>
      </c>
      <c r="C106">
        <v>1000.51</v>
      </c>
      <c r="D106">
        <v>999.74</v>
      </c>
      <c r="E106">
        <v>998.93</v>
      </c>
      <c r="F106">
        <v>998.09</v>
      </c>
      <c r="G106">
        <v>997.2</v>
      </c>
      <c r="H106">
        <v>996.27</v>
      </c>
      <c r="I106">
        <v>995.3</v>
      </c>
      <c r="J106">
        <v>994.29</v>
      </c>
      <c r="K106">
        <v>993.24</v>
      </c>
      <c r="L106">
        <v>992.15</v>
      </c>
    </row>
    <row r="107" spans="1:12" x14ac:dyDescent="0.15">
      <c r="A107">
        <v>510</v>
      </c>
      <c r="B107">
        <v>1002.44</v>
      </c>
      <c r="C107">
        <v>1001.76</v>
      </c>
      <c r="D107">
        <v>1001.03</v>
      </c>
      <c r="E107">
        <v>1000.27</v>
      </c>
      <c r="F107">
        <v>999.47</v>
      </c>
      <c r="G107">
        <v>998.62</v>
      </c>
      <c r="H107">
        <v>997.74</v>
      </c>
      <c r="I107">
        <v>996.82</v>
      </c>
      <c r="J107">
        <v>995.85</v>
      </c>
      <c r="K107">
        <v>994.85</v>
      </c>
      <c r="L107">
        <v>993.8</v>
      </c>
    </row>
    <row r="108" spans="1:12" x14ac:dyDescent="0.15">
      <c r="A108">
        <v>515</v>
      </c>
      <c r="B108">
        <v>1003.57</v>
      </c>
      <c r="C108">
        <v>1002.93</v>
      </c>
      <c r="D108">
        <v>1002.25</v>
      </c>
      <c r="E108">
        <v>1001.53</v>
      </c>
      <c r="F108">
        <v>1000.77</v>
      </c>
      <c r="G108">
        <v>999.98</v>
      </c>
      <c r="H108">
        <v>999.14</v>
      </c>
      <c r="I108">
        <v>998.26</v>
      </c>
      <c r="J108">
        <v>997.35</v>
      </c>
      <c r="K108">
        <v>996.39</v>
      </c>
      <c r="L108">
        <v>995.39</v>
      </c>
    </row>
    <row r="109" spans="1:12" x14ac:dyDescent="0.15">
      <c r="A109">
        <v>520</v>
      </c>
      <c r="B109">
        <v>1004.63</v>
      </c>
      <c r="C109">
        <v>1004.03</v>
      </c>
      <c r="D109">
        <v>1003.39</v>
      </c>
      <c r="E109">
        <v>1002.72</v>
      </c>
      <c r="F109">
        <v>1002.01</v>
      </c>
      <c r="G109">
        <v>1001.25</v>
      </c>
      <c r="H109">
        <v>1000.46</v>
      </c>
      <c r="I109">
        <v>999.63</v>
      </c>
      <c r="J109">
        <v>998.76</v>
      </c>
      <c r="K109">
        <v>997.85</v>
      </c>
      <c r="L109">
        <v>996.9</v>
      </c>
    </row>
    <row r="110" spans="1:12" x14ac:dyDescent="0.15">
      <c r="A110">
        <v>525</v>
      </c>
      <c r="B110">
        <v>1005.61</v>
      </c>
      <c r="C110">
        <v>1005.06</v>
      </c>
      <c r="D110">
        <v>1004.46</v>
      </c>
      <c r="E110">
        <v>1003.83</v>
      </c>
      <c r="F110">
        <v>1003.16</v>
      </c>
      <c r="G110">
        <v>1002.46</v>
      </c>
      <c r="H110">
        <v>1001.71</v>
      </c>
      <c r="I110">
        <v>1000.93</v>
      </c>
      <c r="J110">
        <v>1000.1</v>
      </c>
      <c r="K110">
        <v>999.24</v>
      </c>
      <c r="L110">
        <v>998.33</v>
      </c>
    </row>
    <row r="111" spans="1:12" x14ac:dyDescent="0.15">
      <c r="A111">
        <v>530</v>
      </c>
      <c r="B111">
        <v>1006.52</v>
      </c>
      <c r="C111">
        <v>1006.01</v>
      </c>
      <c r="D111">
        <v>1005.46</v>
      </c>
      <c r="E111">
        <v>1004.87</v>
      </c>
      <c r="F111">
        <v>1004.25</v>
      </c>
      <c r="G111">
        <v>1003.59</v>
      </c>
      <c r="H111">
        <v>1002.88</v>
      </c>
      <c r="I111">
        <v>1002.14</v>
      </c>
      <c r="J111">
        <v>1001.36</v>
      </c>
      <c r="K111">
        <v>1000.54</v>
      </c>
      <c r="L111">
        <v>999.68</v>
      </c>
    </row>
    <row r="112" spans="1:12" x14ac:dyDescent="0.15">
      <c r="A112">
        <v>535</v>
      </c>
      <c r="B112">
        <v>1007.35</v>
      </c>
      <c r="C112">
        <v>1006.89</v>
      </c>
      <c r="D112">
        <v>1006.38</v>
      </c>
      <c r="E112">
        <v>1005.84</v>
      </c>
      <c r="F112">
        <v>1005.26</v>
      </c>
      <c r="G112">
        <v>1004.64</v>
      </c>
      <c r="H112">
        <v>1003.98</v>
      </c>
      <c r="I112">
        <v>1003.28</v>
      </c>
      <c r="J112">
        <v>1002.55</v>
      </c>
      <c r="K112">
        <v>1001.78</v>
      </c>
      <c r="L112">
        <v>1000.96</v>
      </c>
    </row>
    <row r="113" spans="1:12" x14ac:dyDescent="0.15">
      <c r="A113">
        <v>540</v>
      </c>
      <c r="B113">
        <v>1008.11</v>
      </c>
      <c r="C113">
        <v>1007.69</v>
      </c>
      <c r="D113">
        <v>1007.23</v>
      </c>
      <c r="E113">
        <v>1006.73</v>
      </c>
      <c r="F113">
        <v>1006.19</v>
      </c>
      <c r="G113">
        <v>1005.62</v>
      </c>
      <c r="H113">
        <v>1005.01</v>
      </c>
      <c r="I113">
        <v>1004.35</v>
      </c>
      <c r="J113">
        <v>1003.66</v>
      </c>
      <c r="K113">
        <v>1002.94</v>
      </c>
      <c r="L113">
        <v>1002.17</v>
      </c>
    </row>
    <row r="114" spans="1:12" x14ac:dyDescent="0.15">
      <c r="A114">
        <v>545</v>
      </c>
      <c r="B114">
        <v>1008.8</v>
      </c>
      <c r="C114">
        <v>1008.42</v>
      </c>
      <c r="D114">
        <v>1008</v>
      </c>
      <c r="E114">
        <v>1007.55</v>
      </c>
      <c r="F114">
        <v>1007.06</v>
      </c>
      <c r="G114">
        <v>1006.53</v>
      </c>
      <c r="H114">
        <v>1005.96</v>
      </c>
      <c r="I114">
        <v>1005.35</v>
      </c>
      <c r="J114">
        <v>1004.7</v>
      </c>
      <c r="K114">
        <v>1004.02</v>
      </c>
      <c r="L114">
        <v>1003.3</v>
      </c>
    </row>
    <row r="115" spans="1:12" x14ac:dyDescent="0.15">
      <c r="A115">
        <v>550</v>
      </c>
      <c r="B115">
        <v>1009.41</v>
      </c>
      <c r="C115">
        <v>1009.08</v>
      </c>
      <c r="D115">
        <v>1008.7</v>
      </c>
      <c r="E115">
        <v>1008.3</v>
      </c>
      <c r="F115">
        <v>1007.85</v>
      </c>
      <c r="G115">
        <v>1007.36</v>
      </c>
      <c r="H115">
        <v>1006.83</v>
      </c>
      <c r="I115">
        <v>1006.27</v>
      </c>
      <c r="J115">
        <v>1005.67</v>
      </c>
      <c r="K115">
        <v>1005.03</v>
      </c>
      <c r="L115">
        <v>1004.35</v>
      </c>
    </row>
    <row r="116" spans="1:12" x14ac:dyDescent="0.15">
      <c r="A116">
        <v>555</v>
      </c>
      <c r="B116">
        <v>1009.95</v>
      </c>
      <c r="C116">
        <v>1009.66</v>
      </c>
      <c r="D116">
        <v>1009.33</v>
      </c>
      <c r="E116">
        <v>1008.97</v>
      </c>
      <c r="F116">
        <v>1008.56</v>
      </c>
      <c r="G116">
        <v>1008.12</v>
      </c>
      <c r="H116">
        <v>1007.64</v>
      </c>
      <c r="I116">
        <v>1007.12</v>
      </c>
      <c r="J116">
        <v>1006.56</v>
      </c>
      <c r="K116">
        <v>1005.96</v>
      </c>
      <c r="L116">
        <v>1005.33</v>
      </c>
    </row>
    <row r="117" spans="1:12" x14ac:dyDescent="0.15">
      <c r="A117">
        <v>560</v>
      </c>
      <c r="B117">
        <v>1010.41</v>
      </c>
      <c r="C117">
        <v>1010.17</v>
      </c>
      <c r="D117">
        <v>1009.88</v>
      </c>
      <c r="E117">
        <v>1009.56</v>
      </c>
      <c r="F117">
        <v>1009.2</v>
      </c>
      <c r="G117">
        <v>1008.8</v>
      </c>
      <c r="H117">
        <v>1008.36</v>
      </c>
      <c r="I117">
        <v>1007.89</v>
      </c>
      <c r="J117">
        <v>1007.38</v>
      </c>
      <c r="K117">
        <v>1006.82</v>
      </c>
      <c r="L117">
        <v>1006.23</v>
      </c>
    </row>
    <row r="118" spans="1:12" x14ac:dyDescent="0.15">
      <c r="A118">
        <v>565</v>
      </c>
      <c r="B118">
        <v>1010.8</v>
      </c>
      <c r="C118">
        <v>1010.6</v>
      </c>
      <c r="D118">
        <v>1010.36</v>
      </c>
      <c r="E118">
        <v>1010.08</v>
      </c>
      <c r="F118">
        <v>1009.77</v>
      </c>
      <c r="G118">
        <v>1009.41</v>
      </c>
      <c r="H118">
        <v>1009.02</v>
      </c>
      <c r="I118">
        <v>1008.59</v>
      </c>
      <c r="J118">
        <v>1008.12</v>
      </c>
      <c r="K118">
        <v>1007.61</v>
      </c>
      <c r="L118">
        <v>1007.07</v>
      </c>
    </row>
    <row r="119" spans="1:12" x14ac:dyDescent="0.15">
      <c r="A119">
        <v>570</v>
      </c>
      <c r="B119">
        <v>1011.12</v>
      </c>
      <c r="C119">
        <v>1010.96</v>
      </c>
      <c r="D119">
        <v>1010.76</v>
      </c>
      <c r="E119">
        <v>1010.53</v>
      </c>
      <c r="F119">
        <v>1010.26</v>
      </c>
      <c r="G119">
        <v>1009.95</v>
      </c>
      <c r="H119">
        <v>1009.6</v>
      </c>
      <c r="I119">
        <v>1009.21</v>
      </c>
      <c r="J119">
        <v>1008.79</v>
      </c>
      <c r="K119">
        <v>1008.32</v>
      </c>
      <c r="L119">
        <v>1007.82</v>
      </c>
    </row>
    <row r="120" spans="1:12" x14ac:dyDescent="0.15">
      <c r="A120">
        <v>575</v>
      </c>
      <c r="B120">
        <v>1011.36</v>
      </c>
      <c r="C120">
        <v>1011.24</v>
      </c>
      <c r="D120">
        <v>1011.09</v>
      </c>
      <c r="E120">
        <v>1010.9</v>
      </c>
      <c r="F120">
        <v>1010.68</v>
      </c>
      <c r="G120">
        <v>1010.41</v>
      </c>
      <c r="H120">
        <v>1010.11</v>
      </c>
      <c r="I120">
        <v>1009.76</v>
      </c>
      <c r="J120">
        <v>1009.38</v>
      </c>
      <c r="K120">
        <v>1008.96</v>
      </c>
      <c r="L120">
        <v>1008.5</v>
      </c>
    </row>
    <row r="121" spans="1:12" x14ac:dyDescent="0.15">
      <c r="A121">
        <v>580</v>
      </c>
      <c r="B121">
        <v>1011.45</v>
      </c>
      <c r="C121">
        <v>1011.46</v>
      </c>
      <c r="D121">
        <v>1011.35</v>
      </c>
      <c r="E121">
        <v>1011.2</v>
      </c>
      <c r="F121">
        <v>1011.02</v>
      </c>
      <c r="G121">
        <v>1010.8</v>
      </c>
      <c r="H121">
        <v>1010.54</v>
      </c>
      <c r="I121">
        <v>1010.24</v>
      </c>
      <c r="J121">
        <v>1009.9</v>
      </c>
      <c r="K121">
        <v>1009.53</v>
      </c>
      <c r="L121">
        <v>1009.11</v>
      </c>
    </row>
    <row r="122" spans="1:12" x14ac:dyDescent="0.15">
      <c r="A122">
        <v>585</v>
      </c>
      <c r="B122">
        <v>1011.65</v>
      </c>
      <c r="C122">
        <v>1011.51</v>
      </c>
      <c r="D122">
        <v>1011.53</v>
      </c>
      <c r="E122">
        <v>1011.43</v>
      </c>
      <c r="F122">
        <v>1011.29</v>
      </c>
      <c r="G122">
        <v>1011.11</v>
      </c>
      <c r="H122">
        <v>1010.9</v>
      </c>
      <c r="I122">
        <v>1010.64</v>
      </c>
      <c r="J122">
        <v>1010.35</v>
      </c>
      <c r="K122">
        <v>1010.02</v>
      </c>
      <c r="L122">
        <v>1009.65</v>
      </c>
    </row>
    <row r="123" spans="1:12" x14ac:dyDescent="0.15">
      <c r="A123">
        <v>590</v>
      </c>
      <c r="B123">
        <v>1011.73</v>
      </c>
      <c r="C123">
        <v>1011.68</v>
      </c>
      <c r="D123">
        <v>1011.64</v>
      </c>
      <c r="E123">
        <v>1011.58</v>
      </c>
      <c r="F123">
        <v>1011.48</v>
      </c>
      <c r="G123">
        <v>1011.35</v>
      </c>
      <c r="H123">
        <v>1011.18</v>
      </c>
      <c r="I123">
        <v>1010.97</v>
      </c>
      <c r="J123">
        <v>1010.72</v>
      </c>
      <c r="K123">
        <v>1010.44</v>
      </c>
      <c r="L123">
        <v>1010.11</v>
      </c>
    </row>
    <row r="124" spans="1:12" x14ac:dyDescent="0.15">
      <c r="A124">
        <v>595</v>
      </c>
      <c r="B124">
        <v>1011.81</v>
      </c>
      <c r="C124">
        <v>1011.76</v>
      </c>
      <c r="D124">
        <v>1011.71</v>
      </c>
      <c r="E124">
        <v>1011.54</v>
      </c>
      <c r="F124">
        <v>1011.62</v>
      </c>
      <c r="G124">
        <v>1011.52</v>
      </c>
      <c r="H124">
        <v>1011.39</v>
      </c>
      <c r="I124">
        <v>1011.23</v>
      </c>
      <c r="J124">
        <v>1011.02</v>
      </c>
      <c r="K124">
        <v>1010.78</v>
      </c>
      <c r="L124">
        <v>1010.5</v>
      </c>
    </row>
    <row r="125" spans="1:12" x14ac:dyDescent="0.15">
      <c r="A125">
        <v>600</v>
      </c>
      <c r="B125">
        <v>1011.88</v>
      </c>
      <c r="C125">
        <v>1011.84</v>
      </c>
      <c r="D125">
        <v>1011.79</v>
      </c>
      <c r="E125">
        <v>1011.75</v>
      </c>
      <c r="F125">
        <v>1011.62</v>
      </c>
      <c r="G125">
        <v>1011.64</v>
      </c>
      <c r="H125">
        <v>1011.56</v>
      </c>
      <c r="I125">
        <v>1011.43</v>
      </c>
      <c r="J125">
        <v>1011.27</v>
      </c>
      <c r="K125">
        <v>1011.07</v>
      </c>
      <c r="L125">
        <v>1010.83</v>
      </c>
    </row>
    <row r="126" spans="1:12" x14ac:dyDescent="0.15">
      <c r="A126">
        <v>605</v>
      </c>
      <c r="B126">
        <v>1011.96</v>
      </c>
      <c r="C126">
        <v>1011.91</v>
      </c>
      <c r="D126">
        <v>1011.87</v>
      </c>
      <c r="E126">
        <v>1011.82</v>
      </c>
      <c r="F126">
        <v>1011.78</v>
      </c>
      <c r="G126">
        <v>1011.65</v>
      </c>
      <c r="H126">
        <v>1011.67</v>
      </c>
      <c r="I126">
        <v>1011.57</v>
      </c>
      <c r="J126">
        <v>1011.46</v>
      </c>
      <c r="K126">
        <v>1011.3</v>
      </c>
      <c r="L126">
        <v>1011.11</v>
      </c>
    </row>
    <row r="127" spans="1:12" x14ac:dyDescent="0.15">
      <c r="A127">
        <v>610</v>
      </c>
      <c r="B127">
        <v>1012.03</v>
      </c>
      <c r="C127">
        <v>1011.99</v>
      </c>
      <c r="D127">
        <v>1011.94</v>
      </c>
      <c r="E127">
        <v>1011.9</v>
      </c>
      <c r="F127">
        <v>1011.85</v>
      </c>
      <c r="G127">
        <v>1011.81</v>
      </c>
      <c r="H127">
        <v>1011.68</v>
      </c>
      <c r="I127">
        <v>1011.7</v>
      </c>
      <c r="J127">
        <v>1011.6</v>
      </c>
      <c r="K127">
        <v>1011.48</v>
      </c>
      <c r="L127">
        <v>1011.33</v>
      </c>
    </row>
    <row r="128" spans="1:12" x14ac:dyDescent="0.15">
      <c r="A128">
        <v>615</v>
      </c>
      <c r="B128">
        <v>1012.11</v>
      </c>
      <c r="C128">
        <v>1012.07</v>
      </c>
      <c r="D128">
        <v>1012.02</v>
      </c>
      <c r="E128">
        <v>1011.97</v>
      </c>
      <c r="F128">
        <v>1011.93</v>
      </c>
      <c r="G128">
        <v>1011.88</v>
      </c>
      <c r="H128">
        <v>1011.84</v>
      </c>
      <c r="I128">
        <v>1011.71</v>
      </c>
      <c r="J128">
        <v>1011.72</v>
      </c>
      <c r="K128">
        <v>1011.63</v>
      </c>
      <c r="L128">
        <v>1011.5</v>
      </c>
    </row>
    <row r="129" spans="1:12" x14ac:dyDescent="0.15">
      <c r="A129">
        <v>620</v>
      </c>
      <c r="B129">
        <v>1012.19</v>
      </c>
      <c r="C129">
        <v>1012.14</v>
      </c>
      <c r="D129">
        <v>1012.1</v>
      </c>
      <c r="E129">
        <v>1012.05</v>
      </c>
      <c r="F129">
        <v>1012</v>
      </c>
      <c r="G129">
        <v>1011.96</v>
      </c>
      <c r="H129">
        <v>1011.91</v>
      </c>
      <c r="I129">
        <v>1011.87</v>
      </c>
      <c r="J129">
        <v>1011.69</v>
      </c>
      <c r="K129">
        <v>1011.74</v>
      </c>
      <c r="L129">
        <v>1011.66</v>
      </c>
    </row>
    <row r="130" spans="1:12" x14ac:dyDescent="0.15">
      <c r="A130">
        <v>625</v>
      </c>
      <c r="B130">
        <v>1012.26</v>
      </c>
      <c r="C130">
        <v>1012.22</v>
      </c>
      <c r="D130">
        <v>1012.17</v>
      </c>
      <c r="E130">
        <v>1012.13</v>
      </c>
      <c r="F130">
        <v>1012.08</v>
      </c>
      <c r="G130">
        <v>1012.04</v>
      </c>
      <c r="H130">
        <v>1011.99</v>
      </c>
      <c r="I130">
        <v>1011.94</v>
      </c>
      <c r="J130">
        <v>1011.9</v>
      </c>
      <c r="K130">
        <v>1011.77</v>
      </c>
      <c r="L130">
        <v>1011.72</v>
      </c>
    </row>
    <row r="131" spans="1:12" x14ac:dyDescent="0.15">
      <c r="A131">
        <v>630</v>
      </c>
      <c r="B131">
        <v>1012.34</v>
      </c>
      <c r="C131">
        <v>1012.29</v>
      </c>
      <c r="D131">
        <v>1012.25</v>
      </c>
      <c r="E131">
        <v>1012.2</v>
      </c>
      <c r="F131">
        <v>1012.16</v>
      </c>
      <c r="G131">
        <v>1012.11</v>
      </c>
      <c r="H131">
        <v>1012.07</v>
      </c>
      <c r="I131">
        <v>1012.02</v>
      </c>
      <c r="J131">
        <v>1011.97</v>
      </c>
      <c r="K131">
        <v>1011.93</v>
      </c>
      <c r="L131">
        <v>1011.79</v>
      </c>
    </row>
    <row r="132" spans="1:12" x14ac:dyDescent="0.15">
      <c r="A132">
        <v>635</v>
      </c>
      <c r="B132">
        <v>1012.42</v>
      </c>
      <c r="C132">
        <v>1012.37</v>
      </c>
      <c r="D132">
        <v>1012.32</v>
      </c>
      <c r="E132">
        <v>1012.28</v>
      </c>
      <c r="F132">
        <v>1012.23</v>
      </c>
      <c r="G132">
        <v>1012.19</v>
      </c>
      <c r="H132">
        <v>1012.14</v>
      </c>
      <c r="I132">
        <v>1012.1</v>
      </c>
      <c r="J132">
        <v>1012.05</v>
      </c>
      <c r="K132">
        <v>1012.01</v>
      </c>
      <c r="L132">
        <v>1011.96</v>
      </c>
    </row>
    <row r="133" spans="1:12" x14ac:dyDescent="0.15">
      <c r="A133">
        <v>640</v>
      </c>
      <c r="B133">
        <v>1012.49</v>
      </c>
      <c r="C133">
        <v>1012.45</v>
      </c>
      <c r="D133">
        <v>1012.4</v>
      </c>
      <c r="E133">
        <v>1012.36</v>
      </c>
      <c r="F133">
        <v>1012.31</v>
      </c>
      <c r="G133">
        <v>1012.26</v>
      </c>
      <c r="H133">
        <v>1012.22</v>
      </c>
      <c r="I133">
        <v>1012.17</v>
      </c>
      <c r="J133">
        <v>1012.13</v>
      </c>
      <c r="K133">
        <v>1012.08</v>
      </c>
      <c r="L133">
        <v>1012.04</v>
      </c>
    </row>
    <row r="134" spans="1:12" x14ac:dyDescent="0.15">
      <c r="A134">
        <v>645</v>
      </c>
      <c r="B134">
        <v>1012.57</v>
      </c>
      <c r="C134">
        <v>1012.52</v>
      </c>
      <c r="D134">
        <v>1012.48</v>
      </c>
      <c r="E134">
        <v>1012.43</v>
      </c>
      <c r="F134">
        <v>1012.39</v>
      </c>
      <c r="G134">
        <v>1012.34</v>
      </c>
      <c r="H134">
        <v>1012.3</v>
      </c>
      <c r="I134">
        <v>1012.25</v>
      </c>
      <c r="J134">
        <v>1012.2</v>
      </c>
      <c r="K134">
        <v>1012.16</v>
      </c>
      <c r="L134">
        <v>1012.11</v>
      </c>
    </row>
    <row r="135" spans="1:12" x14ac:dyDescent="0.15">
      <c r="A135">
        <v>650</v>
      </c>
      <c r="B135">
        <v>1012.64</v>
      </c>
      <c r="C135">
        <v>1012.6</v>
      </c>
      <c r="D135">
        <v>1012.55</v>
      </c>
      <c r="E135">
        <v>1012.51</v>
      </c>
      <c r="F135">
        <v>1012.46</v>
      </c>
      <c r="G135">
        <v>1012.42</v>
      </c>
      <c r="H135">
        <v>1012.37</v>
      </c>
      <c r="I135">
        <v>1012.33</v>
      </c>
      <c r="J135">
        <v>1012.28</v>
      </c>
      <c r="K135">
        <v>1012.23</v>
      </c>
      <c r="L135">
        <v>1012.19</v>
      </c>
    </row>
    <row r="136" spans="1:12" x14ac:dyDescent="0.15">
      <c r="A136">
        <v>655</v>
      </c>
      <c r="B136">
        <v>1012.72</v>
      </c>
      <c r="C136">
        <v>1012.68</v>
      </c>
      <c r="D136">
        <v>1012.63</v>
      </c>
      <c r="E136">
        <v>1012.58</v>
      </c>
      <c r="F136">
        <v>1012.54</v>
      </c>
      <c r="G136">
        <v>1012.49</v>
      </c>
      <c r="H136">
        <v>1012.45</v>
      </c>
      <c r="I136">
        <v>1012.4</v>
      </c>
      <c r="J136">
        <v>1012.36</v>
      </c>
      <c r="K136">
        <v>1012.31</v>
      </c>
      <c r="L136">
        <v>1012.27</v>
      </c>
    </row>
    <row r="137" spans="1:12" x14ac:dyDescent="0.15">
      <c r="A137">
        <v>660</v>
      </c>
      <c r="B137">
        <v>1012.8</v>
      </c>
      <c r="C137">
        <v>1012.75</v>
      </c>
      <c r="D137">
        <v>1012.71</v>
      </c>
      <c r="E137">
        <v>1012.66</v>
      </c>
      <c r="F137">
        <v>1012.62</v>
      </c>
      <c r="G137">
        <v>1012.57</v>
      </c>
      <c r="H137">
        <v>1012.52</v>
      </c>
      <c r="I137">
        <v>1012.48</v>
      </c>
      <c r="J137">
        <v>1012.43</v>
      </c>
      <c r="K137">
        <v>1012.39</v>
      </c>
      <c r="L137">
        <v>1012.34</v>
      </c>
    </row>
    <row r="138" spans="1:12" x14ac:dyDescent="0.15">
      <c r="A138">
        <v>665</v>
      </c>
      <c r="B138">
        <v>1012.87</v>
      </c>
      <c r="C138">
        <v>1012.83</v>
      </c>
      <c r="D138">
        <v>1012.78</v>
      </c>
      <c r="E138">
        <v>1012.74</v>
      </c>
      <c r="F138">
        <v>1012.69</v>
      </c>
      <c r="G138">
        <v>1012.65</v>
      </c>
      <c r="H138">
        <v>1012.6</v>
      </c>
      <c r="I138">
        <v>1012.55</v>
      </c>
      <c r="J138">
        <v>1012.51</v>
      </c>
      <c r="K138">
        <v>1012.46</v>
      </c>
      <c r="L138">
        <v>1012.42</v>
      </c>
    </row>
    <row r="139" spans="1:12" x14ac:dyDescent="0.15">
      <c r="A139">
        <v>670</v>
      </c>
      <c r="B139">
        <v>1012.95</v>
      </c>
      <c r="C139">
        <v>1012.9</v>
      </c>
      <c r="D139">
        <v>1012.86</v>
      </c>
      <c r="E139">
        <v>1012.81</v>
      </c>
      <c r="F139">
        <v>1012.77</v>
      </c>
      <c r="G139">
        <v>1012.72</v>
      </c>
      <c r="H139">
        <v>1012.68</v>
      </c>
      <c r="I139">
        <v>1012.63</v>
      </c>
      <c r="J139">
        <v>1012.59</v>
      </c>
      <c r="K139">
        <v>1012.54</v>
      </c>
      <c r="L139">
        <v>1012.49</v>
      </c>
    </row>
    <row r="140" spans="1:12" x14ac:dyDescent="0.15">
      <c r="A140">
        <v>675</v>
      </c>
      <c r="B140">
        <v>1013.03</v>
      </c>
      <c r="C140">
        <v>1012.98</v>
      </c>
      <c r="D140">
        <v>1012.93</v>
      </c>
      <c r="E140">
        <v>1012.89</v>
      </c>
      <c r="F140">
        <v>1012.84</v>
      </c>
      <c r="G140">
        <v>1012.8</v>
      </c>
      <c r="H140">
        <v>1012.75</v>
      </c>
      <c r="I140">
        <v>1012.71</v>
      </c>
      <c r="J140">
        <v>1012.66</v>
      </c>
      <c r="K140">
        <v>1012.62</v>
      </c>
      <c r="L140">
        <v>1012.57</v>
      </c>
    </row>
    <row r="141" spans="1:12" x14ac:dyDescent="0.15">
      <c r="A141">
        <v>680</v>
      </c>
      <c r="B141">
        <v>1013.1</v>
      </c>
      <c r="C141">
        <v>1013.06</v>
      </c>
      <c r="D141">
        <v>1013.01</v>
      </c>
      <c r="E141">
        <v>1012.97</v>
      </c>
      <c r="F141">
        <v>1012.92</v>
      </c>
      <c r="G141">
        <v>1012.87</v>
      </c>
      <c r="H141">
        <v>1012.83</v>
      </c>
      <c r="I141">
        <v>1012.78</v>
      </c>
      <c r="J141">
        <v>1012.74</v>
      </c>
      <c r="K141">
        <v>1012.69</v>
      </c>
      <c r="L141">
        <v>1012.65</v>
      </c>
    </row>
    <row r="142" spans="1:12" x14ac:dyDescent="0.15">
      <c r="A142">
        <v>685</v>
      </c>
      <c r="B142">
        <v>1013.18</v>
      </c>
      <c r="C142">
        <v>1013.13</v>
      </c>
      <c r="D142">
        <v>1013.09</v>
      </c>
      <c r="E142">
        <v>1013.04</v>
      </c>
      <c r="F142">
        <v>1013</v>
      </c>
      <c r="G142">
        <v>1012.95</v>
      </c>
      <c r="H142">
        <v>1012.91</v>
      </c>
      <c r="I142">
        <v>1012.86</v>
      </c>
      <c r="J142">
        <v>1012.81</v>
      </c>
      <c r="K142">
        <v>1012.77</v>
      </c>
      <c r="L142">
        <v>1012.72</v>
      </c>
    </row>
    <row r="143" spans="1:12" x14ac:dyDescent="0.15">
      <c r="A143">
        <v>690</v>
      </c>
      <c r="B143">
        <v>1013.25</v>
      </c>
      <c r="C143">
        <v>1013.21</v>
      </c>
      <c r="D143">
        <v>1013.16</v>
      </c>
      <c r="E143">
        <v>1013.12</v>
      </c>
      <c r="F143">
        <v>1013.07</v>
      </c>
      <c r="G143">
        <v>1013.03</v>
      </c>
      <c r="H143">
        <v>1012.98</v>
      </c>
      <c r="I143">
        <v>1012.94</v>
      </c>
      <c r="J143">
        <v>1012.89</v>
      </c>
      <c r="K143">
        <v>1012.84</v>
      </c>
      <c r="L143">
        <v>1012.8</v>
      </c>
    </row>
    <row r="144" spans="1:12" x14ac:dyDescent="0.15">
      <c r="A144">
        <v>695</v>
      </c>
      <c r="B144">
        <v>1013.33</v>
      </c>
      <c r="C144">
        <v>1013.29</v>
      </c>
      <c r="D144">
        <v>1013.24</v>
      </c>
      <c r="E144">
        <v>1013.19</v>
      </c>
      <c r="F144">
        <v>1013.15</v>
      </c>
      <c r="G144">
        <v>1013.1</v>
      </c>
      <c r="H144">
        <v>1013.06</v>
      </c>
      <c r="I144">
        <v>1013.01</v>
      </c>
      <c r="J144">
        <v>1012.97</v>
      </c>
      <c r="K144">
        <v>1012.92</v>
      </c>
      <c r="L144">
        <v>1012.88</v>
      </c>
    </row>
    <row r="145" spans="1:12" x14ac:dyDescent="0.15">
      <c r="A145">
        <v>700</v>
      </c>
      <c r="B145">
        <v>1013.41</v>
      </c>
      <c r="C145">
        <v>1013.36</v>
      </c>
      <c r="D145">
        <v>1013.32</v>
      </c>
      <c r="E145">
        <v>1013.27</v>
      </c>
      <c r="F145">
        <v>1013.23</v>
      </c>
      <c r="G145">
        <v>1013.18</v>
      </c>
      <c r="H145">
        <v>1013.13</v>
      </c>
      <c r="I145">
        <v>1013.09</v>
      </c>
      <c r="J145">
        <v>1013.04</v>
      </c>
      <c r="K145">
        <v>1013</v>
      </c>
      <c r="L145">
        <v>1012.95</v>
      </c>
    </row>
    <row r="146" spans="1:12" x14ac:dyDescent="0.15">
      <c r="A146">
        <v>705</v>
      </c>
      <c r="B146">
        <v>1013.48</v>
      </c>
      <c r="C146">
        <v>1013.44</v>
      </c>
      <c r="D146">
        <v>1013.39</v>
      </c>
      <c r="E146">
        <v>1013.35</v>
      </c>
      <c r="F146">
        <v>1013.3</v>
      </c>
      <c r="G146">
        <v>1013.26</v>
      </c>
      <c r="H146">
        <v>1013.21</v>
      </c>
      <c r="I146">
        <v>1013.16</v>
      </c>
      <c r="J146">
        <v>1013.12</v>
      </c>
      <c r="K146">
        <v>1013.07</v>
      </c>
      <c r="L146">
        <v>1013.03</v>
      </c>
    </row>
    <row r="147" spans="1:12" x14ac:dyDescent="0.15">
      <c r="A147">
        <v>710</v>
      </c>
      <c r="B147">
        <v>1013.56</v>
      </c>
      <c r="C147">
        <v>1013.51</v>
      </c>
      <c r="D147">
        <v>1013.47</v>
      </c>
      <c r="E147">
        <v>1013.42</v>
      </c>
      <c r="F147">
        <v>1013.38</v>
      </c>
      <c r="G147">
        <v>1013.33</v>
      </c>
      <c r="H147">
        <v>1013.29</v>
      </c>
      <c r="I147">
        <v>1013.24</v>
      </c>
      <c r="J147">
        <v>1013.2</v>
      </c>
      <c r="K147">
        <v>1013.15</v>
      </c>
      <c r="L147">
        <v>1013.1</v>
      </c>
    </row>
    <row r="148" spans="1:12" x14ac:dyDescent="0.15">
      <c r="A148">
        <v>715</v>
      </c>
      <c r="B148">
        <v>1013.64</v>
      </c>
      <c r="C148">
        <v>1013.59</v>
      </c>
      <c r="D148">
        <v>1013.55</v>
      </c>
      <c r="E148">
        <v>1013.5</v>
      </c>
      <c r="F148">
        <v>1013.45</v>
      </c>
      <c r="G148">
        <v>1013.41</v>
      </c>
      <c r="H148">
        <v>1013.36</v>
      </c>
      <c r="I148">
        <v>1013.32</v>
      </c>
      <c r="J148">
        <v>1013.27</v>
      </c>
      <c r="K148">
        <v>1013.23</v>
      </c>
      <c r="L148">
        <v>1013.18</v>
      </c>
    </row>
    <row r="149" spans="1:12" x14ac:dyDescent="0.15">
      <c r="A149">
        <v>720</v>
      </c>
      <c r="B149">
        <v>1013.71</v>
      </c>
      <c r="C149">
        <v>1013.67</v>
      </c>
      <c r="D149">
        <v>1013.62</v>
      </c>
      <c r="E149">
        <v>1013.58</v>
      </c>
      <c r="F149">
        <v>1013.53</v>
      </c>
      <c r="G149">
        <v>1013.48</v>
      </c>
      <c r="H149">
        <v>1013.44</v>
      </c>
      <c r="I149">
        <v>1013.39</v>
      </c>
      <c r="J149">
        <v>1013.35</v>
      </c>
      <c r="K149">
        <v>1013.3</v>
      </c>
      <c r="L149">
        <v>1013.26</v>
      </c>
    </row>
    <row r="150" spans="1:12" x14ac:dyDescent="0.15">
      <c r="A150">
        <v>725</v>
      </c>
      <c r="B150">
        <v>1013.79</v>
      </c>
      <c r="C150">
        <v>1013.74</v>
      </c>
      <c r="D150">
        <v>1013.7</v>
      </c>
      <c r="E150">
        <v>1013.65</v>
      </c>
      <c r="F150">
        <v>1013.61</v>
      </c>
      <c r="G150">
        <v>1013.56</v>
      </c>
      <c r="H150">
        <v>1013.52</v>
      </c>
      <c r="I150">
        <v>1013.47</v>
      </c>
      <c r="J150">
        <v>1013.42</v>
      </c>
      <c r="K150">
        <v>1013.38</v>
      </c>
      <c r="L150">
        <v>1013.33</v>
      </c>
    </row>
    <row r="151" spans="1:12" x14ac:dyDescent="0.15">
      <c r="A151">
        <v>730</v>
      </c>
      <c r="B151">
        <v>1013.87</v>
      </c>
      <c r="C151">
        <v>1013.82</v>
      </c>
      <c r="D151">
        <v>1013.77</v>
      </c>
      <c r="E151">
        <v>1013.73</v>
      </c>
      <c r="F151">
        <v>1013.68</v>
      </c>
      <c r="G151">
        <v>1013.64</v>
      </c>
      <c r="H151">
        <v>1013.59</v>
      </c>
      <c r="I151">
        <v>1013.55</v>
      </c>
      <c r="J151">
        <v>1013.5</v>
      </c>
      <c r="K151">
        <v>1013.46</v>
      </c>
      <c r="L151">
        <v>1013.41</v>
      </c>
    </row>
    <row r="152" spans="1:12" x14ac:dyDescent="0.15">
      <c r="A152">
        <v>735</v>
      </c>
      <c r="B152">
        <v>1013.94</v>
      </c>
      <c r="C152">
        <v>1013.9</v>
      </c>
      <c r="D152">
        <v>1013.85</v>
      </c>
      <c r="E152">
        <v>1013.8</v>
      </c>
      <c r="F152">
        <v>1013.76</v>
      </c>
      <c r="G152">
        <v>1013.71</v>
      </c>
      <c r="H152">
        <v>1013.67</v>
      </c>
      <c r="I152">
        <v>1013.62</v>
      </c>
      <c r="J152">
        <v>1013.58</v>
      </c>
      <c r="K152">
        <v>1013.53</v>
      </c>
      <c r="L152">
        <v>1013.49</v>
      </c>
    </row>
    <row r="153" spans="1:12" x14ac:dyDescent="0.15">
      <c r="A153">
        <v>740</v>
      </c>
      <c r="B153">
        <v>1014.02</v>
      </c>
      <c r="C153">
        <v>1013.97</v>
      </c>
      <c r="D153">
        <v>1013.93</v>
      </c>
      <c r="E153">
        <v>1013.88</v>
      </c>
      <c r="F153">
        <v>1013.84</v>
      </c>
      <c r="G153">
        <v>1013.79</v>
      </c>
      <c r="H153">
        <v>1013.74</v>
      </c>
      <c r="I153">
        <v>1013.7</v>
      </c>
      <c r="J153">
        <v>1013.65</v>
      </c>
      <c r="K153">
        <v>1013.61</v>
      </c>
      <c r="L153">
        <v>1013.56</v>
      </c>
    </row>
    <row r="154" spans="1:12" x14ac:dyDescent="0.15">
      <c r="A154">
        <v>745</v>
      </c>
      <c r="B154">
        <v>1014.09</v>
      </c>
      <c r="C154">
        <v>1014.05</v>
      </c>
      <c r="D154">
        <v>1014</v>
      </c>
      <c r="E154">
        <v>1013.96</v>
      </c>
      <c r="F154">
        <v>1013.91</v>
      </c>
      <c r="G154">
        <v>1013.87</v>
      </c>
      <c r="H154">
        <v>1013.82</v>
      </c>
      <c r="I154">
        <v>1013.78</v>
      </c>
      <c r="J154">
        <v>1013.73</v>
      </c>
      <c r="K154">
        <v>1013.68</v>
      </c>
      <c r="L154">
        <v>1013.64</v>
      </c>
    </row>
    <row r="155" spans="1:12" x14ac:dyDescent="0.15">
      <c r="A155">
        <v>750</v>
      </c>
      <c r="B155">
        <v>1014.17</v>
      </c>
      <c r="C155">
        <v>1014.12</v>
      </c>
      <c r="D155">
        <v>1014.08</v>
      </c>
      <c r="E155">
        <v>1014.03</v>
      </c>
      <c r="F155">
        <v>1013.99</v>
      </c>
      <c r="G155">
        <v>1013.94</v>
      </c>
      <c r="H155">
        <v>1013.9</v>
      </c>
      <c r="I155">
        <v>1013.85</v>
      </c>
      <c r="J155">
        <v>1013.81</v>
      </c>
      <c r="K155">
        <v>1013.76</v>
      </c>
      <c r="L155">
        <v>1013.71</v>
      </c>
    </row>
    <row r="156" spans="1:12" x14ac:dyDescent="0.15">
      <c r="A156">
        <v>755</v>
      </c>
      <c r="B156">
        <v>1014.25</v>
      </c>
      <c r="C156">
        <v>1014.2</v>
      </c>
      <c r="D156">
        <v>1014.16</v>
      </c>
      <c r="E156">
        <v>1014.11</v>
      </c>
      <c r="F156">
        <v>1014.06</v>
      </c>
      <c r="G156">
        <v>1014.02</v>
      </c>
      <c r="H156">
        <v>1013.97</v>
      </c>
      <c r="I156">
        <v>1013.93</v>
      </c>
      <c r="J156">
        <v>1013.88</v>
      </c>
      <c r="K156">
        <v>1013.84</v>
      </c>
      <c r="L156">
        <v>1013.79</v>
      </c>
    </row>
    <row r="157" spans="1:12" x14ac:dyDescent="0.15">
      <c r="A157">
        <v>760</v>
      </c>
      <c r="B157">
        <v>1014.32</v>
      </c>
      <c r="C157">
        <v>1014.28</v>
      </c>
      <c r="D157">
        <v>1014.23</v>
      </c>
      <c r="E157">
        <v>1014.19</v>
      </c>
      <c r="F157">
        <v>1014.14</v>
      </c>
      <c r="G157">
        <v>1014.1</v>
      </c>
      <c r="H157">
        <v>1014.05</v>
      </c>
      <c r="I157">
        <v>1014</v>
      </c>
      <c r="J157">
        <v>1013.96</v>
      </c>
      <c r="K157">
        <v>1013.91</v>
      </c>
      <c r="L157">
        <v>1013.87</v>
      </c>
    </row>
    <row r="158" spans="1:12" x14ac:dyDescent="0.15">
      <c r="A158">
        <v>765</v>
      </c>
      <c r="B158">
        <v>1014.4</v>
      </c>
      <c r="C158">
        <v>1014.35</v>
      </c>
      <c r="D158">
        <v>1014.31</v>
      </c>
      <c r="E158">
        <v>1014.26</v>
      </c>
      <c r="F158">
        <v>1014.22</v>
      </c>
      <c r="G158">
        <v>1014.17</v>
      </c>
      <c r="H158">
        <v>1014.13</v>
      </c>
      <c r="I158">
        <v>1014.08</v>
      </c>
      <c r="J158">
        <v>1014.03</v>
      </c>
      <c r="K158">
        <v>1013.99</v>
      </c>
      <c r="L158">
        <v>1013.94</v>
      </c>
    </row>
    <row r="159" spans="1:12" x14ac:dyDescent="0.15">
      <c r="A159">
        <v>770</v>
      </c>
      <c r="B159">
        <v>1014.48</v>
      </c>
      <c r="C159">
        <v>1014.43</v>
      </c>
      <c r="D159">
        <v>1014.38</v>
      </c>
      <c r="E159">
        <v>1014.34</v>
      </c>
      <c r="F159">
        <v>1014.29</v>
      </c>
      <c r="G159">
        <v>1014.25</v>
      </c>
      <c r="H159">
        <v>1014.2</v>
      </c>
      <c r="I159">
        <v>1014.16</v>
      </c>
      <c r="J159">
        <v>1014.11</v>
      </c>
      <c r="K159">
        <v>1014.07</v>
      </c>
      <c r="L159">
        <v>1014.02</v>
      </c>
    </row>
    <row r="160" spans="1:12" x14ac:dyDescent="0.15">
      <c r="A160">
        <v>775</v>
      </c>
      <c r="B160">
        <v>1014.55</v>
      </c>
      <c r="C160">
        <v>1014.51</v>
      </c>
      <c r="D160">
        <v>1014.46</v>
      </c>
      <c r="E160">
        <v>1014.42</v>
      </c>
      <c r="F160">
        <v>1014.37</v>
      </c>
      <c r="G160">
        <v>1014.32</v>
      </c>
      <c r="H160">
        <v>1014.28</v>
      </c>
      <c r="I160">
        <v>1014.23</v>
      </c>
      <c r="J160">
        <v>1014.19</v>
      </c>
      <c r="K160">
        <v>1014.14</v>
      </c>
      <c r="L160">
        <v>1014.1</v>
      </c>
    </row>
    <row r="161" spans="1:12" x14ac:dyDescent="0.15">
      <c r="A161">
        <v>780</v>
      </c>
      <c r="B161">
        <v>1014.63</v>
      </c>
      <c r="C161">
        <v>1014.58</v>
      </c>
      <c r="D161">
        <v>1014.54</v>
      </c>
      <c r="E161">
        <v>1014.49</v>
      </c>
      <c r="F161">
        <v>1014.45</v>
      </c>
      <c r="G161">
        <v>1014.4</v>
      </c>
      <c r="H161">
        <v>1014.35</v>
      </c>
      <c r="I161">
        <v>1014.31</v>
      </c>
      <c r="J161">
        <v>1014.26</v>
      </c>
      <c r="K161">
        <v>1014.22</v>
      </c>
      <c r="L161">
        <v>1014.17</v>
      </c>
    </row>
    <row r="162" spans="1:12" x14ac:dyDescent="0.15">
      <c r="A162">
        <v>785</v>
      </c>
      <c r="B162">
        <v>1014.7</v>
      </c>
      <c r="C162">
        <v>1014.66</v>
      </c>
      <c r="D162">
        <v>1014.61</v>
      </c>
      <c r="E162">
        <v>1014.57</v>
      </c>
      <c r="F162">
        <v>1014.52</v>
      </c>
      <c r="G162">
        <v>1014.48</v>
      </c>
      <c r="H162">
        <v>1014.43</v>
      </c>
      <c r="I162">
        <v>1014.39</v>
      </c>
      <c r="J162">
        <v>1014.34</v>
      </c>
      <c r="K162">
        <v>1014.29</v>
      </c>
      <c r="L162">
        <v>1014.25</v>
      </c>
    </row>
    <row r="163" spans="1:12" x14ac:dyDescent="0.15">
      <c r="A163">
        <v>790</v>
      </c>
      <c r="B163">
        <v>1014.78</v>
      </c>
      <c r="C163">
        <v>1014.73</v>
      </c>
      <c r="D163">
        <v>1014.69</v>
      </c>
      <c r="E163">
        <v>1014.64</v>
      </c>
      <c r="F163">
        <v>1014.6</v>
      </c>
      <c r="G163">
        <v>1014.55</v>
      </c>
      <c r="H163">
        <v>1014.51</v>
      </c>
      <c r="I163">
        <v>1014.46</v>
      </c>
      <c r="J163">
        <v>1014.42</v>
      </c>
      <c r="K163">
        <v>1014.37</v>
      </c>
      <c r="L163">
        <v>1014.32</v>
      </c>
    </row>
    <row r="164" spans="1:12" x14ac:dyDescent="0.15">
      <c r="A164">
        <v>795</v>
      </c>
      <c r="B164">
        <v>1014.86</v>
      </c>
      <c r="C164">
        <v>1014.81</v>
      </c>
      <c r="D164">
        <v>1014.77</v>
      </c>
      <c r="E164">
        <v>1014.72</v>
      </c>
      <c r="F164">
        <v>1014.67</v>
      </c>
      <c r="G164">
        <v>1014.63</v>
      </c>
      <c r="H164">
        <v>1014.58</v>
      </c>
      <c r="I164">
        <v>1014.54</v>
      </c>
      <c r="J164">
        <v>1014.49</v>
      </c>
      <c r="K164">
        <v>1014.45</v>
      </c>
      <c r="L164">
        <v>1014.4</v>
      </c>
    </row>
    <row r="165" spans="1:12" x14ac:dyDescent="0.15">
      <c r="A165">
        <v>800</v>
      </c>
      <c r="B165">
        <v>1014.93</v>
      </c>
      <c r="C165">
        <v>1014.89</v>
      </c>
      <c r="D165">
        <v>1014.84</v>
      </c>
      <c r="E165">
        <v>1014.8</v>
      </c>
      <c r="F165">
        <v>1014.75</v>
      </c>
      <c r="G165">
        <v>1014.71</v>
      </c>
      <c r="H165">
        <v>1014.66</v>
      </c>
      <c r="I165">
        <v>1014.61</v>
      </c>
      <c r="J165">
        <v>1014.57</v>
      </c>
      <c r="K165">
        <v>1014.52</v>
      </c>
      <c r="L165">
        <v>1014.48</v>
      </c>
    </row>
    <row r="166" spans="1:12" x14ac:dyDescent="0.15">
      <c r="A166">
        <v>805</v>
      </c>
      <c r="B166">
        <v>1015.01</v>
      </c>
      <c r="C166">
        <v>1014.96</v>
      </c>
      <c r="D166">
        <v>1014.92</v>
      </c>
      <c r="E166">
        <v>1014.87</v>
      </c>
      <c r="F166">
        <v>1014.83</v>
      </c>
      <c r="G166">
        <v>1014.78</v>
      </c>
      <c r="H166">
        <v>1014.74</v>
      </c>
      <c r="I166">
        <v>1014.69</v>
      </c>
      <c r="J166">
        <v>1014.64</v>
      </c>
      <c r="K166">
        <v>1014.6</v>
      </c>
      <c r="L166">
        <v>1014.55</v>
      </c>
    </row>
    <row r="167" spans="1:12" x14ac:dyDescent="0.15">
      <c r="A167">
        <v>810</v>
      </c>
      <c r="B167">
        <v>1015.09</v>
      </c>
      <c r="C167">
        <v>1015.04</v>
      </c>
      <c r="D167">
        <v>1014.99</v>
      </c>
      <c r="E167">
        <v>1014.95</v>
      </c>
      <c r="F167">
        <v>1014.9</v>
      </c>
      <c r="G167">
        <v>1014.86</v>
      </c>
      <c r="H167">
        <v>1014.81</v>
      </c>
      <c r="I167">
        <v>1014.77</v>
      </c>
      <c r="J167">
        <v>1014.72</v>
      </c>
      <c r="K167">
        <v>1014.68</v>
      </c>
      <c r="L167">
        <v>1014.63</v>
      </c>
    </row>
    <row r="168" spans="1:12" x14ac:dyDescent="0.15">
      <c r="A168">
        <v>815</v>
      </c>
      <c r="B168">
        <v>1015.16</v>
      </c>
      <c r="C168">
        <v>1015.12</v>
      </c>
      <c r="D168">
        <v>1015.07</v>
      </c>
      <c r="E168">
        <v>1015.03</v>
      </c>
      <c r="F168">
        <v>1014.98</v>
      </c>
      <c r="G168">
        <v>1014.93</v>
      </c>
      <c r="H168">
        <v>1014.89</v>
      </c>
      <c r="I168">
        <v>1014.84</v>
      </c>
      <c r="J168">
        <v>1014.8</v>
      </c>
      <c r="K168">
        <v>1014.75</v>
      </c>
      <c r="L168">
        <v>1014.71</v>
      </c>
    </row>
    <row r="169" spans="1:12" x14ac:dyDescent="0.15">
      <c r="A169">
        <v>820</v>
      </c>
      <c r="B169">
        <v>1015.24</v>
      </c>
      <c r="C169">
        <v>1015.19</v>
      </c>
      <c r="D169">
        <v>1015.15</v>
      </c>
      <c r="E169">
        <v>1015.1</v>
      </c>
      <c r="F169">
        <v>1015.06</v>
      </c>
      <c r="G169">
        <v>1015.01</v>
      </c>
      <c r="H169">
        <v>1014.97</v>
      </c>
      <c r="I169">
        <v>1014.92</v>
      </c>
      <c r="J169">
        <v>1014.87</v>
      </c>
      <c r="K169">
        <v>1014.83</v>
      </c>
      <c r="L169">
        <v>1014.78</v>
      </c>
    </row>
    <row r="170" spans="1:12" x14ac:dyDescent="0.15">
      <c r="A170">
        <v>825</v>
      </c>
      <c r="B170">
        <v>1015.31</v>
      </c>
      <c r="C170">
        <v>1015.27</v>
      </c>
      <c r="D170">
        <v>1015.22</v>
      </c>
      <c r="E170">
        <v>1015.18</v>
      </c>
      <c r="F170">
        <v>1015.13</v>
      </c>
      <c r="G170">
        <v>1015.09</v>
      </c>
      <c r="H170">
        <v>1015.04</v>
      </c>
      <c r="I170">
        <v>1015</v>
      </c>
      <c r="J170">
        <v>1014.95</v>
      </c>
      <c r="K170">
        <v>1014.9</v>
      </c>
      <c r="L170">
        <v>1014.86</v>
      </c>
    </row>
    <row r="171" spans="1:12" x14ac:dyDescent="0.15">
      <c r="A171">
        <v>830</v>
      </c>
      <c r="B171">
        <v>1015.39</v>
      </c>
      <c r="C171">
        <v>1015.35</v>
      </c>
      <c r="D171">
        <v>1015.3</v>
      </c>
      <c r="E171">
        <v>1015.25</v>
      </c>
      <c r="F171">
        <v>1015.21</v>
      </c>
      <c r="G171">
        <v>1015.16</v>
      </c>
      <c r="H171">
        <v>1015.12</v>
      </c>
      <c r="I171">
        <v>1015.07</v>
      </c>
      <c r="J171">
        <v>1015.03</v>
      </c>
      <c r="K171">
        <v>1014.98</v>
      </c>
      <c r="L171">
        <v>1014.94</v>
      </c>
    </row>
    <row r="172" spans="1:12" x14ac:dyDescent="0.15">
      <c r="A172">
        <v>835</v>
      </c>
      <c r="B172">
        <v>1015.47</v>
      </c>
      <c r="C172">
        <v>1015.42</v>
      </c>
      <c r="D172">
        <v>1015.38</v>
      </c>
      <c r="E172">
        <v>1015.33</v>
      </c>
      <c r="F172">
        <v>1015.29</v>
      </c>
      <c r="G172">
        <v>1015.24</v>
      </c>
      <c r="H172">
        <v>1015.19</v>
      </c>
      <c r="I172">
        <v>1015.15</v>
      </c>
      <c r="J172">
        <v>1015.1</v>
      </c>
      <c r="K172">
        <v>1015.06</v>
      </c>
      <c r="L172">
        <v>1015.01</v>
      </c>
    </row>
    <row r="173" spans="1:12" x14ac:dyDescent="0.15">
      <c r="A173">
        <v>840</v>
      </c>
      <c r="B173">
        <v>1015.54</v>
      </c>
      <c r="C173">
        <v>1015.5</v>
      </c>
      <c r="D173">
        <v>1015.45</v>
      </c>
      <c r="E173">
        <v>1015.41</v>
      </c>
      <c r="F173">
        <v>1015.36</v>
      </c>
      <c r="G173">
        <v>1015.32</v>
      </c>
      <c r="H173">
        <v>1015.27</v>
      </c>
      <c r="I173">
        <v>1015.22</v>
      </c>
      <c r="J173">
        <v>1015.18</v>
      </c>
      <c r="K173">
        <v>1015.13</v>
      </c>
      <c r="L173">
        <v>1015.09</v>
      </c>
    </row>
    <row r="174" spans="1:12" x14ac:dyDescent="0.15">
      <c r="A174">
        <v>845</v>
      </c>
      <c r="B174">
        <v>1015.62</v>
      </c>
      <c r="C174">
        <v>1015.57</v>
      </c>
      <c r="D174">
        <v>1015.53</v>
      </c>
      <c r="E174">
        <v>1015.48</v>
      </c>
      <c r="F174">
        <v>1015.44</v>
      </c>
      <c r="G174">
        <v>1015.39</v>
      </c>
      <c r="H174">
        <v>1015.35</v>
      </c>
      <c r="I174">
        <v>1015.3</v>
      </c>
      <c r="J174">
        <v>1015.26</v>
      </c>
      <c r="K174">
        <v>1015.21</v>
      </c>
      <c r="L174">
        <v>1015.16</v>
      </c>
    </row>
    <row r="175" spans="1:12" x14ac:dyDescent="0.15">
      <c r="A175">
        <v>850</v>
      </c>
      <c r="B175">
        <v>1015.7</v>
      </c>
      <c r="C175">
        <v>1015.65</v>
      </c>
      <c r="D175">
        <v>1015.6</v>
      </c>
      <c r="E175">
        <v>1015.56</v>
      </c>
      <c r="F175">
        <v>1015.51</v>
      </c>
      <c r="G175">
        <v>1015.47</v>
      </c>
      <c r="H175">
        <v>1015.42</v>
      </c>
      <c r="I175">
        <v>1015.38</v>
      </c>
      <c r="J175">
        <v>1015.33</v>
      </c>
      <c r="K175">
        <v>1015.29</v>
      </c>
      <c r="L175">
        <v>1015.24</v>
      </c>
    </row>
    <row r="176" spans="1:12" x14ac:dyDescent="0.15">
      <c r="A176">
        <v>855</v>
      </c>
      <c r="B176">
        <v>1015.77</v>
      </c>
      <c r="C176">
        <v>1015.73</v>
      </c>
      <c r="D176">
        <v>1015.68</v>
      </c>
      <c r="E176">
        <v>1015.64</v>
      </c>
      <c r="F176">
        <v>1015.59</v>
      </c>
      <c r="G176">
        <v>1015.54</v>
      </c>
      <c r="H176">
        <v>1015.5</v>
      </c>
      <c r="I176">
        <v>1015.45</v>
      </c>
      <c r="J176">
        <v>1015.41</v>
      </c>
      <c r="K176">
        <v>1015.36</v>
      </c>
      <c r="L176">
        <v>1015.32</v>
      </c>
    </row>
    <row r="177" spans="1:12" x14ac:dyDescent="0.15">
      <c r="A177">
        <v>860</v>
      </c>
      <c r="B177">
        <v>1015.85</v>
      </c>
      <c r="C177">
        <v>1015.8</v>
      </c>
      <c r="D177">
        <v>1015.76</v>
      </c>
      <c r="E177">
        <v>1015.71</v>
      </c>
      <c r="F177">
        <v>1015.67</v>
      </c>
      <c r="G177">
        <v>1015.62</v>
      </c>
      <c r="H177">
        <v>1015.58</v>
      </c>
      <c r="I177">
        <v>1015.53</v>
      </c>
      <c r="J177">
        <v>1015.48</v>
      </c>
      <c r="K177">
        <v>1015.44</v>
      </c>
      <c r="L177">
        <v>1015.39</v>
      </c>
    </row>
    <row r="178" spans="1:12" x14ac:dyDescent="0.15">
      <c r="A178">
        <v>865</v>
      </c>
      <c r="B178">
        <v>1015.92</v>
      </c>
      <c r="C178">
        <v>1015.88</v>
      </c>
      <c r="D178">
        <v>1015.83</v>
      </c>
      <c r="E178">
        <v>1015.79</v>
      </c>
      <c r="F178">
        <v>1015.74</v>
      </c>
      <c r="G178">
        <v>1015.7</v>
      </c>
      <c r="H178">
        <v>1015.65</v>
      </c>
      <c r="I178">
        <v>1015.61</v>
      </c>
      <c r="J178">
        <v>1015.56</v>
      </c>
      <c r="K178">
        <v>1015.51</v>
      </c>
      <c r="L178">
        <v>1015.47</v>
      </c>
    </row>
    <row r="179" spans="1:12" x14ac:dyDescent="0.15">
      <c r="A179">
        <v>870</v>
      </c>
      <c r="B179">
        <v>1016</v>
      </c>
      <c r="C179">
        <v>1015.96</v>
      </c>
      <c r="D179">
        <v>1015.91</v>
      </c>
      <c r="E179">
        <v>1015.86</v>
      </c>
      <c r="F179">
        <v>1015.82</v>
      </c>
      <c r="G179">
        <v>1015.77</v>
      </c>
      <c r="H179">
        <v>1015.73</v>
      </c>
      <c r="I179">
        <v>1015.68</v>
      </c>
      <c r="J179">
        <v>1015.64</v>
      </c>
      <c r="K179">
        <v>1015.59</v>
      </c>
      <c r="L179">
        <v>1015.55</v>
      </c>
    </row>
    <row r="180" spans="1:12" x14ac:dyDescent="0.15">
      <c r="A180">
        <v>875</v>
      </c>
      <c r="B180">
        <v>1016.08</v>
      </c>
      <c r="C180">
        <v>1016.03</v>
      </c>
      <c r="D180">
        <v>1015.99</v>
      </c>
      <c r="E180">
        <v>1015.94</v>
      </c>
      <c r="F180">
        <v>1015.9</v>
      </c>
      <c r="G180">
        <v>1015.85</v>
      </c>
      <c r="H180">
        <v>1015.8</v>
      </c>
      <c r="I180">
        <v>1015.76</v>
      </c>
      <c r="J180">
        <v>1015.71</v>
      </c>
      <c r="K180">
        <v>1015.67</v>
      </c>
      <c r="L180">
        <v>1015.62</v>
      </c>
    </row>
    <row r="181" spans="1:12" x14ac:dyDescent="0.15">
      <c r="A181">
        <v>880</v>
      </c>
      <c r="B181">
        <v>1016.15</v>
      </c>
      <c r="C181">
        <v>1016.11</v>
      </c>
      <c r="D181">
        <v>1016.06</v>
      </c>
      <c r="E181">
        <v>1016.02</v>
      </c>
      <c r="F181">
        <v>1015.97</v>
      </c>
      <c r="G181">
        <v>1015.93</v>
      </c>
      <c r="H181">
        <v>1015.88</v>
      </c>
      <c r="I181">
        <v>1015.83</v>
      </c>
      <c r="J181">
        <v>1015.79</v>
      </c>
      <c r="K181">
        <v>1015.74</v>
      </c>
      <c r="L181">
        <v>1015.7</v>
      </c>
    </row>
    <row r="182" spans="1:12" x14ac:dyDescent="0.15">
      <c r="A182">
        <v>885</v>
      </c>
      <c r="B182">
        <v>1016.23</v>
      </c>
      <c r="C182">
        <v>1016.18</v>
      </c>
      <c r="D182">
        <v>1016.14</v>
      </c>
      <c r="E182">
        <v>1016.09</v>
      </c>
      <c r="F182">
        <v>1016.05</v>
      </c>
      <c r="G182">
        <v>1016</v>
      </c>
      <c r="H182">
        <v>1015.96</v>
      </c>
      <c r="I182">
        <v>1015.91</v>
      </c>
      <c r="J182">
        <v>1015.87</v>
      </c>
      <c r="K182">
        <v>1015.82</v>
      </c>
      <c r="L182">
        <v>1015.77</v>
      </c>
    </row>
    <row r="183" spans="1:12" x14ac:dyDescent="0.15">
      <c r="A183">
        <v>890</v>
      </c>
      <c r="B183">
        <v>1016.31</v>
      </c>
      <c r="C183">
        <v>1016.26</v>
      </c>
      <c r="D183">
        <v>1016.22</v>
      </c>
      <c r="E183">
        <v>1016.17</v>
      </c>
      <c r="F183">
        <v>1016.12</v>
      </c>
      <c r="G183">
        <v>1016.08</v>
      </c>
      <c r="H183">
        <v>1016.03</v>
      </c>
      <c r="I183">
        <v>1015.99</v>
      </c>
      <c r="J183">
        <v>1015.94</v>
      </c>
      <c r="K183">
        <v>1015.9</v>
      </c>
      <c r="L183">
        <v>1015.85</v>
      </c>
    </row>
    <row r="184" spans="1:12" x14ac:dyDescent="0.15">
      <c r="A184">
        <v>895</v>
      </c>
      <c r="B184">
        <v>1016.38</v>
      </c>
      <c r="C184">
        <v>1016.34</v>
      </c>
      <c r="D184">
        <v>1016.29</v>
      </c>
      <c r="E184">
        <v>1016.25</v>
      </c>
      <c r="F184">
        <v>1016.2</v>
      </c>
      <c r="G184">
        <v>1016.15</v>
      </c>
      <c r="H184">
        <v>1016.11</v>
      </c>
      <c r="I184">
        <v>1016.06</v>
      </c>
      <c r="J184">
        <v>1016.02</v>
      </c>
      <c r="K184">
        <v>1015.97</v>
      </c>
      <c r="L184">
        <v>1015.93</v>
      </c>
    </row>
    <row r="185" spans="1:12" x14ac:dyDescent="0.15">
      <c r="A185">
        <v>900</v>
      </c>
      <c r="B185">
        <v>1016.46</v>
      </c>
      <c r="C185">
        <v>1016.41</v>
      </c>
      <c r="D185">
        <v>1016.37</v>
      </c>
      <c r="E185">
        <v>1016.32</v>
      </c>
      <c r="F185">
        <v>1016.28</v>
      </c>
      <c r="G185">
        <v>1016.23</v>
      </c>
      <c r="H185">
        <v>1016.19</v>
      </c>
      <c r="I185">
        <v>1016.14</v>
      </c>
      <c r="J185">
        <v>1016.09</v>
      </c>
      <c r="K185">
        <v>1016.05</v>
      </c>
      <c r="L185">
        <v>1016</v>
      </c>
    </row>
    <row r="186" spans="1:12" x14ac:dyDescent="0.15">
      <c r="A186">
        <v>905</v>
      </c>
      <c r="B186">
        <v>1016.54</v>
      </c>
      <c r="C186">
        <v>1016.49</v>
      </c>
      <c r="D186">
        <v>1016.44</v>
      </c>
      <c r="E186">
        <v>1016.4</v>
      </c>
      <c r="F186">
        <v>1016.35</v>
      </c>
      <c r="G186">
        <v>1016.31</v>
      </c>
      <c r="H186">
        <v>1016.26</v>
      </c>
      <c r="I186">
        <v>1016.22</v>
      </c>
      <c r="J186">
        <v>1016.17</v>
      </c>
      <c r="K186">
        <v>1016.13</v>
      </c>
      <c r="L186">
        <v>1016.08</v>
      </c>
    </row>
    <row r="187" spans="1:12" x14ac:dyDescent="0.15">
      <c r="A187">
        <v>910</v>
      </c>
      <c r="B187">
        <v>1016.61</v>
      </c>
      <c r="C187">
        <v>1016.57</v>
      </c>
      <c r="D187">
        <v>1016.52</v>
      </c>
      <c r="E187">
        <v>1016.47</v>
      </c>
      <c r="F187">
        <v>1016.43</v>
      </c>
      <c r="G187">
        <v>1016.38</v>
      </c>
      <c r="H187">
        <v>1016.34</v>
      </c>
      <c r="I187">
        <v>1016.29</v>
      </c>
      <c r="J187">
        <v>1016.25</v>
      </c>
      <c r="K187">
        <v>1016.2</v>
      </c>
      <c r="L187">
        <v>1016.16</v>
      </c>
    </row>
    <row r="188" spans="1:12" x14ac:dyDescent="0.15">
      <c r="A188">
        <v>915</v>
      </c>
      <c r="B188">
        <v>1016.69</v>
      </c>
      <c r="C188">
        <v>1016.64</v>
      </c>
      <c r="D188">
        <v>1016.6</v>
      </c>
      <c r="E188">
        <v>1016.55</v>
      </c>
      <c r="F188">
        <v>1016.51</v>
      </c>
      <c r="G188">
        <v>1016.46</v>
      </c>
      <c r="H188">
        <v>1016.41</v>
      </c>
      <c r="I188">
        <v>1016.37</v>
      </c>
      <c r="J188">
        <v>1016.32</v>
      </c>
      <c r="K188">
        <v>1016.28</v>
      </c>
      <c r="L188">
        <v>1016.23</v>
      </c>
    </row>
    <row r="189" spans="1:12" x14ac:dyDescent="0.15">
      <c r="A189">
        <v>920</v>
      </c>
      <c r="B189">
        <v>1016.76</v>
      </c>
      <c r="C189">
        <v>1016.72</v>
      </c>
      <c r="D189">
        <v>1016.67</v>
      </c>
      <c r="E189">
        <v>1016.63</v>
      </c>
      <c r="F189">
        <v>1016.58</v>
      </c>
      <c r="G189">
        <v>1016.54</v>
      </c>
      <c r="H189">
        <v>1016.49</v>
      </c>
      <c r="I189">
        <v>1016.45</v>
      </c>
      <c r="J189">
        <v>1016.4</v>
      </c>
      <c r="K189">
        <v>1016.35</v>
      </c>
      <c r="L189">
        <v>1016.31</v>
      </c>
    </row>
    <row r="190" spans="1:12" x14ac:dyDescent="0.15">
      <c r="A190">
        <v>925</v>
      </c>
      <c r="B190">
        <v>1016.84</v>
      </c>
      <c r="C190">
        <v>1016.79</v>
      </c>
      <c r="D190">
        <v>1016.75</v>
      </c>
      <c r="E190">
        <v>1016.7</v>
      </c>
      <c r="F190">
        <v>1016.66</v>
      </c>
      <c r="G190">
        <v>1016.61</v>
      </c>
      <c r="H190">
        <v>1016.57</v>
      </c>
      <c r="I190">
        <v>1016.52</v>
      </c>
      <c r="J190">
        <v>1016.48</v>
      </c>
      <c r="K190">
        <v>1016.43</v>
      </c>
      <c r="L190">
        <v>1016.38</v>
      </c>
    </row>
    <row r="191" spans="1:12" x14ac:dyDescent="0.15">
      <c r="A191">
        <v>930</v>
      </c>
      <c r="B191">
        <v>1016.92</v>
      </c>
      <c r="C191">
        <v>1016.87</v>
      </c>
      <c r="D191">
        <v>1016.83</v>
      </c>
      <c r="E191">
        <v>1016.78</v>
      </c>
      <c r="F191">
        <v>1016.73</v>
      </c>
      <c r="G191">
        <v>1016.69</v>
      </c>
      <c r="H191">
        <v>1016.64</v>
      </c>
      <c r="I191">
        <v>1016.6</v>
      </c>
      <c r="J191">
        <v>1016.55</v>
      </c>
      <c r="K191">
        <v>1016.51</v>
      </c>
      <c r="L191">
        <v>1016.46</v>
      </c>
    </row>
    <row r="192" spans="1:12" x14ac:dyDescent="0.15">
      <c r="A192">
        <v>935</v>
      </c>
      <c r="B192">
        <v>1016.99</v>
      </c>
      <c r="C192">
        <v>1016.95</v>
      </c>
      <c r="D192">
        <v>1016.9</v>
      </c>
      <c r="E192">
        <v>1016.86</v>
      </c>
      <c r="F192">
        <v>1016.81</v>
      </c>
      <c r="G192">
        <v>1016.77</v>
      </c>
      <c r="H192">
        <v>1016.72</v>
      </c>
      <c r="I192">
        <v>1016.67</v>
      </c>
      <c r="J192">
        <v>1016.63</v>
      </c>
      <c r="K192">
        <v>1016.58</v>
      </c>
      <c r="L192">
        <v>1016.54</v>
      </c>
    </row>
    <row r="193" spans="1:12" x14ac:dyDescent="0.15">
      <c r="A193">
        <v>940</v>
      </c>
      <c r="B193">
        <v>1017.07</v>
      </c>
      <c r="C193">
        <v>1017.02</v>
      </c>
      <c r="D193">
        <v>1016.98</v>
      </c>
      <c r="E193">
        <v>1016.93</v>
      </c>
      <c r="F193">
        <v>1016.89</v>
      </c>
      <c r="G193">
        <v>1016.84</v>
      </c>
      <c r="H193">
        <v>1016.8</v>
      </c>
      <c r="I193">
        <v>1016.75</v>
      </c>
      <c r="J193">
        <v>1016.7</v>
      </c>
      <c r="K193">
        <v>1016.66</v>
      </c>
      <c r="L193">
        <v>1016.61</v>
      </c>
    </row>
    <row r="194" spans="1:12" x14ac:dyDescent="0.15">
      <c r="A194">
        <v>945</v>
      </c>
      <c r="B194">
        <v>1017.15</v>
      </c>
      <c r="C194">
        <v>1017.1</v>
      </c>
      <c r="D194">
        <v>1017.05</v>
      </c>
      <c r="E194">
        <v>1017.01</v>
      </c>
      <c r="F194">
        <v>1016.96</v>
      </c>
      <c r="G194">
        <v>1016.92</v>
      </c>
      <c r="H194">
        <v>1016.87</v>
      </c>
      <c r="I194">
        <v>1016.83</v>
      </c>
      <c r="J194">
        <v>1016.78</v>
      </c>
      <c r="K194">
        <v>1016.74</v>
      </c>
      <c r="L194">
        <v>1016.69</v>
      </c>
    </row>
    <row r="195" spans="1:12" x14ac:dyDescent="0.15">
      <c r="A195">
        <v>950</v>
      </c>
      <c r="B195">
        <v>1017.22</v>
      </c>
      <c r="C195">
        <v>1017.18</v>
      </c>
      <c r="D195">
        <v>1017.13</v>
      </c>
      <c r="E195">
        <v>1017.09</v>
      </c>
      <c r="F195">
        <v>1017.04</v>
      </c>
      <c r="G195">
        <v>1016.99</v>
      </c>
      <c r="H195">
        <v>1016.95</v>
      </c>
      <c r="I195">
        <v>1016.9</v>
      </c>
      <c r="J195">
        <v>1016.86</v>
      </c>
      <c r="K195">
        <v>1016.81</v>
      </c>
      <c r="L195">
        <v>1016.77</v>
      </c>
    </row>
    <row r="196" spans="1:12" x14ac:dyDescent="0.15">
      <c r="A196">
        <v>955</v>
      </c>
      <c r="B196">
        <v>1017.3</v>
      </c>
      <c r="C196">
        <v>1017.25</v>
      </c>
      <c r="D196">
        <v>1017.21</v>
      </c>
      <c r="E196">
        <v>1017.16</v>
      </c>
      <c r="F196">
        <v>1017.12</v>
      </c>
      <c r="G196">
        <v>1017.07</v>
      </c>
      <c r="H196">
        <v>1017.02</v>
      </c>
      <c r="I196">
        <v>1016.98</v>
      </c>
      <c r="J196">
        <v>1016.93</v>
      </c>
      <c r="K196">
        <v>1016.89</v>
      </c>
      <c r="L196">
        <v>1016.84</v>
      </c>
    </row>
    <row r="197" spans="1:12" x14ac:dyDescent="0.15">
      <c r="A197">
        <v>960</v>
      </c>
      <c r="B197">
        <v>1017.37</v>
      </c>
      <c r="C197">
        <v>1017.33</v>
      </c>
      <c r="D197">
        <v>1017.28</v>
      </c>
      <c r="E197">
        <v>1017.24</v>
      </c>
      <c r="F197">
        <v>1017.19</v>
      </c>
      <c r="G197">
        <v>1017.15</v>
      </c>
      <c r="H197">
        <v>1017.1</v>
      </c>
      <c r="I197">
        <v>1017.06</v>
      </c>
      <c r="J197">
        <v>1017.01</v>
      </c>
      <c r="K197">
        <v>1016.96</v>
      </c>
      <c r="L197">
        <v>1016.92</v>
      </c>
    </row>
    <row r="198" spans="1:12" x14ac:dyDescent="0.15">
      <c r="A198">
        <v>965</v>
      </c>
      <c r="B198">
        <v>1017.45</v>
      </c>
      <c r="C198">
        <v>1017.4</v>
      </c>
      <c r="D198">
        <v>1017.36</v>
      </c>
      <c r="E198">
        <v>1017.31</v>
      </c>
      <c r="F198">
        <v>1017.27</v>
      </c>
      <c r="G198">
        <v>1017.22</v>
      </c>
      <c r="H198">
        <v>1017.18</v>
      </c>
      <c r="I198">
        <v>1017.13</v>
      </c>
      <c r="J198">
        <v>1017.09</v>
      </c>
      <c r="K198">
        <v>1017.04</v>
      </c>
      <c r="L198">
        <v>1016.99</v>
      </c>
    </row>
    <row r="199" spans="1:12" x14ac:dyDescent="0.15">
      <c r="A199">
        <v>970</v>
      </c>
      <c r="B199">
        <v>1017.53</v>
      </c>
      <c r="C199">
        <v>1017.48</v>
      </c>
      <c r="D199">
        <v>1017.44</v>
      </c>
      <c r="E199">
        <v>1017.39</v>
      </c>
      <c r="F199">
        <v>1017.34</v>
      </c>
      <c r="G199">
        <v>1017.3</v>
      </c>
      <c r="H199">
        <v>1017.25</v>
      </c>
      <c r="I199">
        <v>1017.21</v>
      </c>
      <c r="J199">
        <v>1017.16</v>
      </c>
      <c r="K199">
        <v>1017.12</v>
      </c>
      <c r="L199">
        <v>1017.07</v>
      </c>
    </row>
    <row r="200" spans="1:12" x14ac:dyDescent="0.15">
      <c r="A200">
        <v>975</v>
      </c>
      <c r="B200">
        <v>1017.6</v>
      </c>
      <c r="C200">
        <v>1017.56</v>
      </c>
      <c r="D200">
        <v>1017.51</v>
      </c>
      <c r="E200">
        <v>1017.47</v>
      </c>
      <c r="F200">
        <v>1017.42</v>
      </c>
      <c r="G200">
        <v>1017.38</v>
      </c>
      <c r="H200">
        <v>1017.33</v>
      </c>
      <c r="I200">
        <v>1017.28</v>
      </c>
      <c r="J200">
        <v>1017.24</v>
      </c>
      <c r="K200">
        <v>1017.19</v>
      </c>
      <c r="L200">
        <v>1017.15</v>
      </c>
    </row>
    <row r="201" spans="1:12" x14ac:dyDescent="0.15">
      <c r="A201">
        <v>980</v>
      </c>
      <c r="B201">
        <v>1017.68</v>
      </c>
      <c r="C201">
        <v>1017.63</v>
      </c>
      <c r="D201">
        <v>1017.59</v>
      </c>
      <c r="E201">
        <v>1017.54</v>
      </c>
      <c r="F201">
        <v>1017.5</v>
      </c>
      <c r="G201">
        <v>1017.45</v>
      </c>
      <c r="H201">
        <v>1017.41</v>
      </c>
      <c r="I201">
        <v>1017.36</v>
      </c>
      <c r="J201">
        <v>1017.31</v>
      </c>
      <c r="K201">
        <v>1017.27</v>
      </c>
      <c r="L201">
        <v>1017.22</v>
      </c>
    </row>
    <row r="202" spans="1:12" x14ac:dyDescent="0.15">
      <c r="A202">
        <v>985</v>
      </c>
      <c r="B202">
        <v>1017.76</v>
      </c>
      <c r="C202">
        <v>1017.71</v>
      </c>
      <c r="D202">
        <v>1017.66</v>
      </c>
      <c r="E202">
        <v>1017.62</v>
      </c>
      <c r="F202">
        <v>1017.57</v>
      </c>
      <c r="G202">
        <v>1017.53</v>
      </c>
      <c r="H202">
        <v>1017.48</v>
      </c>
      <c r="I202">
        <v>1017.44</v>
      </c>
      <c r="J202">
        <v>1017.39</v>
      </c>
      <c r="K202">
        <v>1017.35</v>
      </c>
      <c r="L202">
        <v>1017.3</v>
      </c>
    </row>
    <row r="203" spans="1:12" x14ac:dyDescent="0.15">
      <c r="A203">
        <v>990</v>
      </c>
      <c r="B203">
        <v>1017.83</v>
      </c>
      <c r="C203">
        <v>1017.79</v>
      </c>
      <c r="D203">
        <v>1017.74</v>
      </c>
      <c r="E203">
        <v>1017.7</v>
      </c>
      <c r="F203">
        <v>1017.65</v>
      </c>
      <c r="G203">
        <v>1017.6</v>
      </c>
      <c r="H203">
        <v>1017.56</v>
      </c>
      <c r="I203">
        <v>1017.51</v>
      </c>
      <c r="J203">
        <v>1017.47</v>
      </c>
      <c r="K203">
        <v>1017.42</v>
      </c>
      <c r="L203">
        <v>1017.38</v>
      </c>
    </row>
    <row r="204" spans="1:12" x14ac:dyDescent="0.15">
      <c r="A204">
        <v>995</v>
      </c>
      <c r="B204">
        <v>1017.91</v>
      </c>
      <c r="C204">
        <v>1017.86</v>
      </c>
      <c r="D204">
        <v>1017.82</v>
      </c>
      <c r="E204">
        <v>1017.77</v>
      </c>
      <c r="F204">
        <v>1017.73</v>
      </c>
      <c r="G204">
        <v>1017.68</v>
      </c>
      <c r="H204">
        <v>1017.64</v>
      </c>
      <c r="I204">
        <v>1017.59</v>
      </c>
      <c r="J204">
        <v>1017.54</v>
      </c>
      <c r="K204">
        <v>1017.5</v>
      </c>
      <c r="L204">
        <v>1017.45</v>
      </c>
    </row>
    <row r="205" spans="1:12" x14ac:dyDescent="0.15">
      <c r="A205">
        <v>1000</v>
      </c>
      <c r="B205">
        <v>1017.98</v>
      </c>
      <c r="C205">
        <v>1017.94</v>
      </c>
      <c r="D205">
        <v>1017.89</v>
      </c>
      <c r="E205">
        <v>1017.85</v>
      </c>
      <c r="F205">
        <v>1017.8</v>
      </c>
      <c r="G205">
        <v>1017.76</v>
      </c>
      <c r="H205">
        <v>1017.71</v>
      </c>
      <c r="I205">
        <v>1017.67</v>
      </c>
      <c r="J205">
        <v>1017.62</v>
      </c>
      <c r="K205">
        <v>1017.57</v>
      </c>
      <c r="L205">
        <v>1017.53</v>
      </c>
    </row>
    <row r="206" spans="1:12" x14ac:dyDescent="0.15">
      <c r="A206">
        <v>1005</v>
      </c>
      <c r="B206">
        <v>1018.06</v>
      </c>
      <c r="C206">
        <v>1018.02</v>
      </c>
      <c r="D206">
        <v>1017.97</v>
      </c>
      <c r="E206">
        <v>1017.92</v>
      </c>
      <c r="F206">
        <v>1017.88</v>
      </c>
      <c r="G206">
        <v>1017.83</v>
      </c>
      <c r="H206">
        <v>1017.79</v>
      </c>
      <c r="I206">
        <v>1017.74</v>
      </c>
      <c r="J206">
        <v>1017.7</v>
      </c>
      <c r="K206">
        <v>1017.65</v>
      </c>
      <c r="L206">
        <v>1017.61</v>
      </c>
    </row>
    <row r="207" spans="1:12" x14ac:dyDescent="0.15">
      <c r="A207">
        <v>1010</v>
      </c>
      <c r="B207">
        <v>1018.14</v>
      </c>
      <c r="C207">
        <v>1018.09</v>
      </c>
      <c r="D207">
        <v>1018.05</v>
      </c>
      <c r="E207">
        <v>1018</v>
      </c>
      <c r="F207">
        <v>1017.96</v>
      </c>
      <c r="G207">
        <v>1017.91</v>
      </c>
      <c r="H207">
        <v>1017.86</v>
      </c>
      <c r="I207">
        <v>1017.82</v>
      </c>
      <c r="J207">
        <v>1017.77</v>
      </c>
      <c r="K207">
        <v>1017.73</v>
      </c>
      <c r="L207">
        <v>1017.68</v>
      </c>
    </row>
    <row r="208" spans="1:12" x14ac:dyDescent="0.15">
      <c r="A208">
        <v>1015</v>
      </c>
      <c r="B208">
        <v>1018.21</v>
      </c>
      <c r="C208">
        <v>1018.17</v>
      </c>
      <c r="D208">
        <v>1018.12</v>
      </c>
      <c r="E208">
        <v>1018.08</v>
      </c>
      <c r="F208">
        <v>1018.03</v>
      </c>
      <c r="G208">
        <v>1017.99</v>
      </c>
      <c r="H208">
        <v>1017.94</v>
      </c>
      <c r="I208">
        <v>1017.89</v>
      </c>
      <c r="J208">
        <v>1017.85</v>
      </c>
      <c r="K208">
        <v>1017.8</v>
      </c>
      <c r="L208">
        <v>1017.76</v>
      </c>
    </row>
    <row r="209" spans="1:12" x14ac:dyDescent="0.15">
      <c r="A209">
        <v>1020</v>
      </c>
      <c r="B209">
        <v>1018.29</v>
      </c>
      <c r="C209">
        <v>1018.24</v>
      </c>
      <c r="D209">
        <v>1018.2</v>
      </c>
      <c r="E209">
        <v>1018.15</v>
      </c>
      <c r="F209">
        <v>1018.11</v>
      </c>
      <c r="G209">
        <v>1018.06</v>
      </c>
      <c r="H209">
        <v>1018.02</v>
      </c>
      <c r="I209">
        <v>1017.97</v>
      </c>
      <c r="J209">
        <v>1017.93</v>
      </c>
      <c r="K209">
        <v>1017.88</v>
      </c>
      <c r="L209">
        <v>1017.83</v>
      </c>
    </row>
    <row r="210" spans="1:12" x14ac:dyDescent="0.15">
      <c r="A210">
        <v>1025</v>
      </c>
      <c r="B210">
        <v>1018.37</v>
      </c>
      <c r="C210">
        <v>1018.32</v>
      </c>
      <c r="D210">
        <v>1018.27</v>
      </c>
      <c r="E210">
        <v>1018.23</v>
      </c>
      <c r="F210">
        <v>1018.18</v>
      </c>
      <c r="G210">
        <v>1018.14</v>
      </c>
      <c r="H210">
        <v>1018.09</v>
      </c>
      <c r="I210">
        <v>1018.05</v>
      </c>
      <c r="J210">
        <v>1018</v>
      </c>
      <c r="K210">
        <v>1017.96</v>
      </c>
      <c r="L210">
        <v>1017.91</v>
      </c>
    </row>
    <row r="211" spans="1:12" x14ac:dyDescent="0.15">
      <c r="A211">
        <v>1030</v>
      </c>
      <c r="B211">
        <v>1018.44</v>
      </c>
      <c r="C211">
        <v>1018.4</v>
      </c>
      <c r="D211">
        <v>1018.35</v>
      </c>
      <c r="E211">
        <v>1018.31</v>
      </c>
      <c r="F211">
        <v>1018.26</v>
      </c>
      <c r="G211">
        <v>1018.21</v>
      </c>
      <c r="H211">
        <v>1018.17</v>
      </c>
      <c r="I211">
        <v>1018.12</v>
      </c>
      <c r="J211">
        <v>1018.08</v>
      </c>
      <c r="K211">
        <v>1018.03</v>
      </c>
      <c r="L211">
        <v>1017.99</v>
      </c>
    </row>
    <row r="212" spans="1:12" x14ac:dyDescent="0.15">
      <c r="A212">
        <v>1035</v>
      </c>
      <c r="B212">
        <v>1018.52</v>
      </c>
      <c r="C212">
        <v>1018.47</v>
      </c>
      <c r="D212">
        <v>1018.43</v>
      </c>
      <c r="E212">
        <v>1018.38</v>
      </c>
      <c r="F212">
        <v>1018.34</v>
      </c>
      <c r="G212">
        <v>1018.29</v>
      </c>
      <c r="H212">
        <v>1018.25</v>
      </c>
      <c r="I212">
        <v>1018.2</v>
      </c>
      <c r="J212">
        <v>1018.15</v>
      </c>
      <c r="K212">
        <v>1018.11</v>
      </c>
      <c r="L212">
        <v>1018.06</v>
      </c>
    </row>
    <row r="213" spans="1:12" x14ac:dyDescent="0.15">
      <c r="A213">
        <v>1040</v>
      </c>
      <c r="B213">
        <v>1018.59</v>
      </c>
      <c r="C213">
        <v>1018.55</v>
      </c>
      <c r="D213">
        <v>1018.5</v>
      </c>
      <c r="E213">
        <v>1018.46</v>
      </c>
      <c r="F213">
        <v>1018.41</v>
      </c>
      <c r="G213">
        <v>1018.37</v>
      </c>
      <c r="H213">
        <v>1018.32</v>
      </c>
      <c r="I213">
        <v>1018.28</v>
      </c>
      <c r="J213">
        <v>1018.23</v>
      </c>
      <c r="K213">
        <v>1018.18</v>
      </c>
      <c r="L213">
        <v>1018.14</v>
      </c>
    </row>
    <row r="214" spans="1:12" x14ac:dyDescent="0.15">
      <c r="A214">
        <v>1045</v>
      </c>
      <c r="B214">
        <v>1018.67</v>
      </c>
      <c r="C214">
        <v>1018.63</v>
      </c>
      <c r="D214">
        <v>1018.58</v>
      </c>
      <c r="E214">
        <v>1018.53</v>
      </c>
      <c r="F214">
        <v>1018.49</v>
      </c>
      <c r="G214">
        <v>1018.44</v>
      </c>
      <c r="H214">
        <v>1018.4</v>
      </c>
      <c r="I214">
        <v>1018.35</v>
      </c>
      <c r="J214">
        <v>1018.31</v>
      </c>
      <c r="K214">
        <v>1018.26</v>
      </c>
      <c r="L214">
        <v>1018.22</v>
      </c>
    </row>
    <row r="215" spans="1:12" x14ac:dyDescent="0.15">
      <c r="A215">
        <v>1050</v>
      </c>
      <c r="B215">
        <v>1018.75</v>
      </c>
      <c r="C215">
        <v>1018.7</v>
      </c>
      <c r="D215">
        <v>1018.66</v>
      </c>
      <c r="E215">
        <v>1018.61</v>
      </c>
      <c r="F215">
        <v>1018.57</v>
      </c>
      <c r="G215">
        <v>1018.52</v>
      </c>
      <c r="H215">
        <v>1018.47</v>
      </c>
      <c r="I215">
        <v>1018.43</v>
      </c>
      <c r="J215">
        <v>1018.38</v>
      </c>
      <c r="K215">
        <v>1018.34</v>
      </c>
      <c r="L215">
        <v>1018.29</v>
      </c>
    </row>
    <row r="216" spans="1:12" x14ac:dyDescent="0.15">
      <c r="A216">
        <v>1055</v>
      </c>
      <c r="B216">
        <v>1018.82</v>
      </c>
      <c r="C216">
        <v>1018.78</v>
      </c>
      <c r="D216">
        <v>1018.73</v>
      </c>
      <c r="E216">
        <v>1018.69</v>
      </c>
      <c r="F216">
        <v>1018.64</v>
      </c>
      <c r="G216">
        <v>1018.6</v>
      </c>
      <c r="H216">
        <v>1018.55</v>
      </c>
      <c r="I216">
        <v>1018.5</v>
      </c>
      <c r="J216">
        <v>1018.46</v>
      </c>
      <c r="K216">
        <v>1018.41</v>
      </c>
      <c r="L216">
        <v>1018.37</v>
      </c>
    </row>
    <row r="217" spans="1:12" x14ac:dyDescent="0.15">
      <c r="A217">
        <v>1060</v>
      </c>
      <c r="B217">
        <v>1018.9</v>
      </c>
      <c r="C217">
        <v>1018.85</v>
      </c>
      <c r="D217">
        <v>1018.81</v>
      </c>
      <c r="E217">
        <v>1018.76</v>
      </c>
      <c r="F217">
        <v>1018.72</v>
      </c>
      <c r="G217">
        <v>1018.67</v>
      </c>
      <c r="H217">
        <v>1018.63</v>
      </c>
      <c r="I217">
        <v>1018.58</v>
      </c>
      <c r="J217">
        <v>1018.54</v>
      </c>
      <c r="K217">
        <v>1018.49</v>
      </c>
      <c r="L217">
        <v>1018.44</v>
      </c>
    </row>
    <row r="218" spans="1:12" x14ac:dyDescent="0.15">
      <c r="A218">
        <v>1065</v>
      </c>
      <c r="B218">
        <v>1018.98</v>
      </c>
      <c r="C218">
        <v>1018.93</v>
      </c>
      <c r="D218">
        <v>1018.89</v>
      </c>
      <c r="E218">
        <v>1018.84</v>
      </c>
      <c r="F218">
        <v>1018.79</v>
      </c>
      <c r="G218">
        <v>1018.75</v>
      </c>
      <c r="H218">
        <v>1018.7</v>
      </c>
      <c r="I218">
        <v>1018.66</v>
      </c>
      <c r="J218">
        <v>1018.61</v>
      </c>
      <c r="K218">
        <v>1018.57</v>
      </c>
      <c r="L218">
        <v>1018.52</v>
      </c>
    </row>
    <row r="219" spans="1:12" x14ac:dyDescent="0.15">
      <c r="A219">
        <v>1070</v>
      </c>
      <c r="B219">
        <v>1019.05</v>
      </c>
      <c r="C219">
        <v>1019.01</v>
      </c>
      <c r="D219">
        <v>1018.96</v>
      </c>
      <c r="E219">
        <v>1018.92</v>
      </c>
      <c r="F219">
        <v>1018.87</v>
      </c>
      <c r="G219">
        <v>1018.83</v>
      </c>
      <c r="H219">
        <v>1018.78</v>
      </c>
      <c r="I219">
        <v>1018.73</v>
      </c>
      <c r="J219">
        <v>1018.69</v>
      </c>
      <c r="K219">
        <v>1018.64</v>
      </c>
      <c r="L219">
        <v>1018.6</v>
      </c>
    </row>
    <row r="220" spans="1:12" x14ac:dyDescent="0.15">
      <c r="A220">
        <v>1075</v>
      </c>
      <c r="B220">
        <v>1019.13</v>
      </c>
      <c r="C220">
        <v>1019.08</v>
      </c>
      <c r="D220">
        <v>1019.04</v>
      </c>
      <c r="E220">
        <v>1018.99</v>
      </c>
      <c r="F220">
        <v>1018.95</v>
      </c>
      <c r="G220">
        <v>1018.9</v>
      </c>
      <c r="H220">
        <v>1018.86</v>
      </c>
      <c r="I220">
        <v>1018.81</v>
      </c>
      <c r="J220">
        <v>1018.76</v>
      </c>
      <c r="K220">
        <v>1018.72</v>
      </c>
      <c r="L220">
        <v>1018.67</v>
      </c>
    </row>
    <row r="221" spans="1:12" x14ac:dyDescent="0.15">
      <c r="A221">
        <v>1080</v>
      </c>
      <c r="B221">
        <v>1019.21</v>
      </c>
      <c r="C221">
        <v>1019.16</v>
      </c>
      <c r="D221">
        <v>1019.11</v>
      </c>
      <c r="E221">
        <v>1019.07</v>
      </c>
      <c r="F221">
        <v>1019.02</v>
      </c>
      <c r="G221">
        <v>1018.98</v>
      </c>
      <c r="H221">
        <v>1018.93</v>
      </c>
      <c r="I221">
        <v>1018.89</v>
      </c>
      <c r="J221">
        <v>1018.84</v>
      </c>
      <c r="K221">
        <v>1018.8</v>
      </c>
      <c r="L221">
        <v>1018.75</v>
      </c>
    </row>
    <row r="222" spans="1:12" x14ac:dyDescent="0.15">
      <c r="A222">
        <v>1085</v>
      </c>
      <c r="B222">
        <v>1019.28</v>
      </c>
      <c r="C222">
        <v>1019.24</v>
      </c>
      <c r="D222">
        <v>1019.19</v>
      </c>
      <c r="E222">
        <v>1019.14</v>
      </c>
      <c r="F222">
        <v>1019.1</v>
      </c>
      <c r="G222">
        <v>1019.05</v>
      </c>
      <c r="H222">
        <v>1019.01</v>
      </c>
      <c r="I222">
        <v>1018.96</v>
      </c>
      <c r="J222">
        <v>1018.92</v>
      </c>
      <c r="K222">
        <v>1018.87</v>
      </c>
      <c r="L222">
        <v>1018.83</v>
      </c>
    </row>
    <row r="223" spans="1:12" x14ac:dyDescent="0.15">
      <c r="A223">
        <v>1090</v>
      </c>
      <c r="B223">
        <v>1019.36</v>
      </c>
      <c r="C223">
        <v>1019.31</v>
      </c>
      <c r="D223">
        <v>1019.27</v>
      </c>
      <c r="E223">
        <v>1019.22</v>
      </c>
      <c r="F223">
        <v>1019.18</v>
      </c>
      <c r="G223">
        <v>1019.13</v>
      </c>
      <c r="H223">
        <v>1019.08</v>
      </c>
      <c r="I223">
        <v>1019.04</v>
      </c>
      <c r="J223">
        <v>1018.99</v>
      </c>
      <c r="K223">
        <v>1018.95</v>
      </c>
      <c r="L223">
        <v>1018.9</v>
      </c>
    </row>
    <row r="224" spans="1:12" x14ac:dyDescent="0.15">
      <c r="A224">
        <v>1095</v>
      </c>
      <c r="B224">
        <v>1019.43</v>
      </c>
      <c r="C224">
        <v>1019.39</v>
      </c>
      <c r="D224">
        <v>1019.34</v>
      </c>
      <c r="E224">
        <v>1019.3</v>
      </c>
      <c r="F224">
        <v>1019.25</v>
      </c>
      <c r="G224">
        <v>1019.21</v>
      </c>
      <c r="H224">
        <v>1019.16</v>
      </c>
      <c r="I224">
        <v>1019.12</v>
      </c>
      <c r="J224">
        <v>1019.07</v>
      </c>
      <c r="K224">
        <v>1019.02</v>
      </c>
      <c r="L224">
        <v>1018.98</v>
      </c>
    </row>
    <row r="225" spans="1:12" x14ac:dyDescent="0.15">
      <c r="A225">
        <v>1100</v>
      </c>
      <c r="B225">
        <v>1019.51</v>
      </c>
      <c r="C225">
        <v>1019.46</v>
      </c>
      <c r="D225">
        <v>1019.42</v>
      </c>
      <c r="E225">
        <v>1019.37</v>
      </c>
      <c r="F225">
        <v>1019.33</v>
      </c>
      <c r="G225">
        <v>1019.28</v>
      </c>
      <c r="H225">
        <v>1019.24</v>
      </c>
      <c r="I225">
        <v>1019.19</v>
      </c>
      <c r="J225">
        <v>1019.15</v>
      </c>
      <c r="K225">
        <v>1019.1</v>
      </c>
      <c r="L225">
        <v>1019.05</v>
      </c>
    </row>
    <row r="226" spans="1:12" x14ac:dyDescent="0.15">
      <c r="A226">
        <v>1105</v>
      </c>
      <c r="B226">
        <v>1019.59</v>
      </c>
      <c r="C226">
        <v>1019.54</v>
      </c>
      <c r="D226">
        <v>1019.5</v>
      </c>
      <c r="E226">
        <v>1019.45</v>
      </c>
      <c r="F226">
        <v>1019.4</v>
      </c>
      <c r="G226">
        <v>1019.36</v>
      </c>
      <c r="H226">
        <v>1019.31</v>
      </c>
      <c r="I226">
        <v>1019.27</v>
      </c>
      <c r="J226">
        <v>1019.22</v>
      </c>
      <c r="K226">
        <v>1019.18</v>
      </c>
      <c r="L226">
        <v>1019.13</v>
      </c>
    </row>
    <row r="227" spans="1:12" x14ac:dyDescent="0.15">
      <c r="A227">
        <v>1110</v>
      </c>
      <c r="B227">
        <v>1019.66</v>
      </c>
      <c r="C227">
        <v>1019.62</v>
      </c>
      <c r="D227">
        <v>1019.57</v>
      </c>
      <c r="E227">
        <v>1019.53</v>
      </c>
      <c r="F227">
        <v>1019.48</v>
      </c>
      <c r="G227">
        <v>1019.44</v>
      </c>
      <c r="H227">
        <v>1019.39</v>
      </c>
      <c r="I227">
        <v>1019.34</v>
      </c>
      <c r="J227">
        <v>1019.3</v>
      </c>
      <c r="K227">
        <v>1019.25</v>
      </c>
      <c r="L227">
        <v>1019.21</v>
      </c>
    </row>
    <row r="228" spans="1:12" x14ac:dyDescent="0.15">
      <c r="A228">
        <v>1115</v>
      </c>
      <c r="B228">
        <v>1019.74</v>
      </c>
      <c r="C228">
        <v>1019.69</v>
      </c>
      <c r="D228">
        <v>1019.65</v>
      </c>
      <c r="E228">
        <v>1019.6</v>
      </c>
      <c r="F228">
        <v>1019.56</v>
      </c>
      <c r="G228">
        <v>1019.51</v>
      </c>
      <c r="H228">
        <v>1019.47</v>
      </c>
      <c r="I228">
        <v>1019.42</v>
      </c>
      <c r="J228">
        <v>1019.37</v>
      </c>
      <c r="K228">
        <v>1019.33</v>
      </c>
      <c r="L228">
        <v>1019.28</v>
      </c>
    </row>
    <row r="229" spans="1:12" x14ac:dyDescent="0.15">
      <c r="A229">
        <v>1120</v>
      </c>
      <c r="B229">
        <v>1019.82</v>
      </c>
      <c r="C229">
        <v>1019.77</v>
      </c>
      <c r="D229">
        <v>1019.72</v>
      </c>
      <c r="E229">
        <v>1019.68</v>
      </c>
      <c r="F229">
        <v>1019.63</v>
      </c>
      <c r="G229">
        <v>1019.59</v>
      </c>
      <c r="H229">
        <v>1019.54</v>
      </c>
      <c r="I229">
        <v>1019.5</v>
      </c>
      <c r="J229">
        <v>1019.45</v>
      </c>
      <c r="K229">
        <v>1019.41</v>
      </c>
      <c r="L229">
        <v>1019.36</v>
      </c>
    </row>
    <row r="230" spans="1:12" x14ac:dyDescent="0.15">
      <c r="A230">
        <v>1125</v>
      </c>
      <c r="B230">
        <v>1019.89</v>
      </c>
      <c r="C230">
        <v>1019.85</v>
      </c>
      <c r="D230">
        <v>1019.8</v>
      </c>
      <c r="E230">
        <v>1019.76</v>
      </c>
      <c r="F230">
        <v>1019.71</v>
      </c>
      <c r="G230">
        <v>1019.66</v>
      </c>
      <c r="H230">
        <v>1019.62</v>
      </c>
      <c r="I230">
        <v>1019.57</v>
      </c>
      <c r="J230">
        <v>1019.53</v>
      </c>
      <c r="K230">
        <v>1019.48</v>
      </c>
      <c r="L230">
        <v>1019.44</v>
      </c>
    </row>
    <row r="231" spans="1:12" x14ac:dyDescent="0.15">
      <c r="A231">
        <v>1130</v>
      </c>
      <c r="B231">
        <v>1019.97</v>
      </c>
      <c r="C231">
        <v>1019.92</v>
      </c>
      <c r="D231">
        <v>1019.88</v>
      </c>
      <c r="E231">
        <v>1019.83</v>
      </c>
      <c r="F231">
        <v>1019.79</v>
      </c>
      <c r="G231">
        <v>1019.74</v>
      </c>
      <c r="H231">
        <v>1019.69</v>
      </c>
      <c r="I231">
        <v>1019.65</v>
      </c>
      <c r="J231">
        <v>1019.6</v>
      </c>
      <c r="K231">
        <v>1019.56</v>
      </c>
      <c r="L231">
        <v>1019.51</v>
      </c>
    </row>
    <row r="232" spans="1:12" x14ac:dyDescent="0.15">
      <c r="A232">
        <v>1135</v>
      </c>
      <c r="B232">
        <v>1020.04</v>
      </c>
      <c r="C232">
        <v>1020</v>
      </c>
      <c r="D232">
        <v>1019.95</v>
      </c>
      <c r="E232">
        <v>1019.91</v>
      </c>
      <c r="F232">
        <v>1019.86</v>
      </c>
      <c r="G232">
        <v>1019.82</v>
      </c>
      <c r="H232">
        <v>1019.77</v>
      </c>
      <c r="I232">
        <v>1019.73</v>
      </c>
      <c r="J232">
        <v>1019.68</v>
      </c>
      <c r="K232">
        <v>1019.63</v>
      </c>
      <c r="L232">
        <v>1019.59</v>
      </c>
    </row>
    <row r="233" spans="1:12" x14ac:dyDescent="0.15">
      <c r="A233">
        <v>1140</v>
      </c>
      <c r="B233">
        <v>1020.12</v>
      </c>
      <c r="C233">
        <v>1020.08</v>
      </c>
      <c r="D233">
        <v>1020.03</v>
      </c>
      <c r="E233">
        <v>1019.98</v>
      </c>
      <c r="F233">
        <v>1019.94</v>
      </c>
      <c r="G233">
        <v>1019.89</v>
      </c>
      <c r="H233">
        <v>1019.85</v>
      </c>
      <c r="I233">
        <v>1019.8</v>
      </c>
      <c r="J233">
        <v>1019.76</v>
      </c>
      <c r="K233">
        <v>1019.71</v>
      </c>
      <c r="L233">
        <v>1019.67</v>
      </c>
    </row>
    <row r="234" spans="1:12" x14ac:dyDescent="0.15">
      <c r="A234">
        <v>1145</v>
      </c>
      <c r="B234">
        <v>1020.2</v>
      </c>
      <c r="C234">
        <v>1020.15</v>
      </c>
      <c r="D234">
        <v>1020.11</v>
      </c>
      <c r="E234">
        <v>1020.06</v>
      </c>
      <c r="F234">
        <v>1020.01</v>
      </c>
      <c r="G234">
        <v>1019.97</v>
      </c>
      <c r="H234">
        <v>1019.92</v>
      </c>
      <c r="I234">
        <v>1019.88</v>
      </c>
      <c r="J234">
        <v>1019.83</v>
      </c>
      <c r="K234">
        <v>1019.79</v>
      </c>
      <c r="L234">
        <v>1019.74</v>
      </c>
    </row>
    <row r="235" spans="1:12" x14ac:dyDescent="0.15">
      <c r="A235">
        <v>1150</v>
      </c>
      <c r="B235">
        <v>1020.27</v>
      </c>
      <c r="C235">
        <v>1020.23</v>
      </c>
      <c r="D235">
        <v>1020.18</v>
      </c>
      <c r="E235">
        <v>1020.14</v>
      </c>
      <c r="F235">
        <v>1020.09</v>
      </c>
      <c r="G235">
        <v>1020.05</v>
      </c>
      <c r="H235">
        <v>1020</v>
      </c>
      <c r="I235">
        <v>1019.95</v>
      </c>
      <c r="J235">
        <v>1019.91</v>
      </c>
      <c r="K235">
        <v>1019.86</v>
      </c>
      <c r="L235">
        <v>1019.82</v>
      </c>
    </row>
    <row r="236" spans="1:12" x14ac:dyDescent="0.15">
      <c r="A236">
        <v>1155</v>
      </c>
      <c r="B236">
        <v>1020.35</v>
      </c>
      <c r="C236">
        <v>1020.3</v>
      </c>
      <c r="D236">
        <v>1020.26</v>
      </c>
      <c r="E236">
        <v>1020.21</v>
      </c>
      <c r="F236">
        <v>1020.17</v>
      </c>
      <c r="G236">
        <v>1020.12</v>
      </c>
      <c r="H236">
        <v>1020.08</v>
      </c>
      <c r="I236">
        <v>1020.03</v>
      </c>
      <c r="J236">
        <v>1019.99</v>
      </c>
      <c r="K236">
        <v>1019.94</v>
      </c>
      <c r="L236">
        <v>1019.89</v>
      </c>
    </row>
    <row r="237" spans="1:12" x14ac:dyDescent="0.15">
      <c r="A237">
        <v>1160</v>
      </c>
      <c r="B237">
        <v>1020.43</v>
      </c>
      <c r="C237">
        <v>1020.38</v>
      </c>
      <c r="D237">
        <v>1020.33</v>
      </c>
      <c r="E237">
        <v>1020.29</v>
      </c>
      <c r="F237">
        <v>1020.24</v>
      </c>
      <c r="G237">
        <v>1020.2</v>
      </c>
      <c r="H237">
        <v>1020.15</v>
      </c>
      <c r="I237">
        <v>1020.11</v>
      </c>
      <c r="J237">
        <v>1020.06</v>
      </c>
      <c r="K237">
        <v>1020.02</v>
      </c>
      <c r="L237">
        <v>1019.97</v>
      </c>
    </row>
    <row r="238" spans="1:12" x14ac:dyDescent="0.15">
      <c r="A238">
        <v>1165</v>
      </c>
      <c r="B238">
        <v>1020.5</v>
      </c>
      <c r="C238">
        <v>1020.46</v>
      </c>
      <c r="D238">
        <v>1020.41</v>
      </c>
      <c r="E238">
        <v>1020.37</v>
      </c>
      <c r="F238">
        <v>1020.32</v>
      </c>
      <c r="G238">
        <v>1020.27</v>
      </c>
      <c r="H238">
        <v>1020.23</v>
      </c>
      <c r="I238">
        <v>1020.18</v>
      </c>
      <c r="J238">
        <v>1020.14</v>
      </c>
      <c r="K238">
        <v>1020.09</v>
      </c>
      <c r="L238">
        <v>1020.05</v>
      </c>
    </row>
    <row r="239" spans="1:12" x14ac:dyDescent="0.15">
      <c r="A239">
        <v>1170</v>
      </c>
      <c r="B239">
        <v>1020.58</v>
      </c>
      <c r="C239">
        <v>1020.53</v>
      </c>
      <c r="D239">
        <v>1020.49</v>
      </c>
      <c r="E239">
        <v>1020.44</v>
      </c>
      <c r="F239">
        <v>1020.4</v>
      </c>
      <c r="G239">
        <v>1020.35</v>
      </c>
      <c r="H239">
        <v>1020.31</v>
      </c>
      <c r="I239">
        <v>1020.26</v>
      </c>
      <c r="J239">
        <v>1020.21</v>
      </c>
      <c r="K239">
        <v>1020.17</v>
      </c>
      <c r="L239">
        <v>1020.12</v>
      </c>
    </row>
    <row r="240" spans="1:12" x14ac:dyDescent="0.15">
      <c r="A240">
        <v>1175</v>
      </c>
      <c r="B240">
        <v>1020.65</v>
      </c>
      <c r="C240">
        <v>1020.61</v>
      </c>
      <c r="D240">
        <v>1020.56</v>
      </c>
      <c r="E240">
        <v>1020.52</v>
      </c>
      <c r="F240">
        <v>1020.47</v>
      </c>
      <c r="G240">
        <v>1020.43</v>
      </c>
      <c r="H240">
        <v>1020.38</v>
      </c>
      <c r="I240">
        <v>1020.34</v>
      </c>
      <c r="J240">
        <v>1020.29</v>
      </c>
      <c r="K240">
        <v>1020.24</v>
      </c>
      <c r="L240">
        <v>1020.2</v>
      </c>
    </row>
    <row r="241" spans="1:12" x14ac:dyDescent="0.15">
      <c r="A241">
        <v>1180</v>
      </c>
      <c r="B241">
        <v>1020.73</v>
      </c>
      <c r="C241">
        <v>1020.69</v>
      </c>
      <c r="D241">
        <v>1020.64</v>
      </c>
      <c r="E241">
        <v>1020.59</v>
      </c>
      <c r="F241">
        <v>1020.55</v>
      </c>
      <c r="G241">
        <v>1020.5</v>
      </c>
      <c r="H241">
        <v>1020.46</v>
      </c>
      <c r="I241">
        <v>1020.41</v>
      </c>
      <c r="J241">
        <v>1020.37</v>
      </c>
      <c r="K241">
        <v>1020.32</v>
      </c>
      <c r="L241">
        <v>1020.28</v>
      </c>
    </row>
    <row r="242" spans="1:12" x14ac:dyDescent="0.15">
      <c r="A242">
        <v>1185</v>
      </c>
      <c r="B242">
        <v>1020.81</v>
      </c>
      <c r="C242">
        <v>1020.76</v>
      </c>
      <c r="D242">
        <v>1020.72</v>
      </c>
      <c r="E242">
        <v>1020.67</v>
      </c>
      <c r="F242">
        <v>1020.63</v>
      </c>
      <c r="G242">
        <v>1020.58</v>
      </c>
      <c r="H242">
        <v>1020.53</v>
      </c>
      <c r="I242">
        <v>1020.49</v>
      </c>
      <c r="J242">
        <v>1020.44</v>
      </c>
      <c r="K242">
        <v>1020.4</v>
      </c>
      <c r="L242">
        <v>1020.35</v>
      </c>
    </row>
    <row r="243" spans="1:12" x14ac:dyDescent="0.15">
      <c r="A243">
        <v>1190</v>
      </c>
      <c r="B243">
        <v>1020.88</v>
      </c>
      <c r="C243">
        <v>1020.84</v>
      </c>
      <c r="D243">
        <v>1020.79</v>
      </c>
      <c r="E243">
        <v>1020.75</v>
      </c>
      <c r="F243">
        <v>1020.7</v>
      </c>
      <c r="G243">
        <v>1020.66</v>
      </c>
      <c r="H243">
        <v>1020.61</v>
      </c>
      <c r="I243">
        <v>1020.56</v>
      </c>
      <c r="J243">
        <v>1020.52</v>
      </c>
      <c r="K243">
        <v>1020.47</v>
      </c>
      <c r="L243">
        <v>1020.43</v>
      </c>
    </row>
    <row r="244" spans="1:12" x14ac:dyDescent="0.15">
      <c r="A244">
        <v>1195</v>
      </c>
      <c r="B244">
        <v>1020.96</v>
      </c>
      <c r="C244">
        <v>1020.91</v>
      </c>
      <c r="D244">
        <v>1020.87</v>
      </c>
      <c r="E244">
        <v>1020.82</v>
      </c>
      <c r="F244">
        <v>1020.78</v>
      </c>
      <c r="G244">
        <v>1020.73</v>
      </c>
      <c r="H244">
        <v>1020.69</v>
      </c>
      <c r="I244">
        <v>1020.64</v>
      </c>
      <c r="J244">
        <v>1020.6</v>
      </c>
      <c r="K244">
        <v>1020.55</v>
      </c>
      <c r="L244">
        <v>1020.5</v>
      </c>
    </row>
    <row r="245" spans="1:12" x14ac:dyDescent="0.15">
      <c r="A245">
        <v>1200</v>
      </c>
      <c r="B245">
        <v>1021.04</v>
      </c>
      <c r="C245">
        <v>1020.99</v>
      </c>
      <c r="D245">
        <v>1020.95</v>
      </c>
      <c r="E245">
        <v>1020.9</v>
      </c>
      <c r="F245">
        <v>1020.85</v>
      </c>
      <c r="G245">
        <v>1020.81</v>
      </c>
      <c r="H245">
        <v>1020.76</v>
      </c>
      <c r="I245">
        <v>1020.72</v>
      </c>
      <c r="J245">
        <v>1020.67</v>
      </c>
      <c r="K245">
        <v>1020.63</v>
      </c>
      <c r="L245">
        <v>1020.58</v>
      </c>
    </row>
    <row r="246" spans="1:12" x14ac:dyDescent="0.15">
      <c r="A246">
        <v>1205</v>
      </c>
      <c r="B246">
        <v>1021.11</v>
      </c>
      <c r="C246">
        <v>1021.07</v>
      </c>
      <c r="D246">
        <v>1021.02</v>
      </c>
      <c r="E246">
        <v>1020.98</v>
      </c>
      <c r="F246">
        <v>1020.93</v>
      </c>
      <c r="G246">
        <v>1020.88</v>
      </c>
      <c r="H246">
        <v>1020.84</v>
      </c>
      <c r="I246">
        <v>1020.79</v>
      </c>
      <c r="J246">
        <v>1020.75</v>
      </c>
      <c r="K246">
        <v>1020.7</v>
      </c>
      <c r="L246">
        <v>1020.66</v>
      </c>
    </row>
    <row r="247" spans="1:12" x14ac:dyDescent="0.15">
      <c r="A247">
        <v>1210</v>
      </c>
      <c r="B247">
        <v>1021.19</v>
      </c>
      <c r="C247">
        <v>1021.14</v>
      </c>
      <c r="D247">
        <v>1021.1</v>
      </c>
      <c r="E247">
        <v>1021.05</v>
      </c>
      <c r="F247">
        <v>1021.01</v>
      </c>
      <c r="G247">
        <v>1020.96</v>
      </c>
      <c r="H247">
        <v>1020.92</v>
      </c>
      <c r="I247">
        <v>1020.87</v>
      </c>
      <c r="J247">
        <v>1020.82</v>
      </c>
      <c r="K247">
        <v>1020.78</v>
      </c>
      <c r="L247">
        <v>1020.73</v>
      </c>
    </row>
    <row r="248" spans="1:12" x14ac:dyDescent="0.15">
      <c r="A248">
        <v>1215</v>
      </c>
      <c r="B248">
        <v>1021.27</v>
      </c>
      <c r="C248">
        <v>1021.22</v>
      </c>
      <c r="D248">
        <v>1021.17</v>
      </c>
      <c r="E248">
        <v>1021.13</v>
      </c>
      <c r="F248">
        <v>1021.08</v>
      </c>
      <c r="G248">
        <v>1021.04</v>
      </c>
      <c r="H248">
        <v>1020.99</v>
      </c>
      <c r="I248">
        <v>1020.95</v>
      </c>
      <c r="J248">
        <v>1020.9</v>
      </c>
      <c r="K248">
        <v>1020.85</v>
      </c>
      <c r="L248">
        <v>1020.81</v>
      </c>
    </row>
    <row r="249" spans="1:12" x14ac:dyDescent="0.15">
      <c r="A249">
        <v>1220</v>
      </c>
      <c r="B249">
        <v>1021.34</v>
      </c>
      <c r="C249">
        <v>1021.3</v>
      </c>
      <c r="D249">
        <v>1021.25</v>
      </c>
      <c r="E249">
        <v>1021.2</v>
      </c>
      <c r="F249">
        <v>1021.16</v>
      </c>
      <c r="G249">
        <v>1021.11</v>
      </c>
      <c r="H249">
        <v>1021.07</v>
      </c>
      <c r="I249">
        <v>1021.02</v>
      </c>
      <c r="J249">
        <v>1020.98</v>
      </c>
      <c r="K249">
        <v>1020.93</v>
      </c>
      <c r="L249">
        <v>1020.89</v>
      </c>
    </row>
    <row r="250" spans="1:12" x14ac:dyDescent="0.15">
      <c r="A250">
        <v>1225</v>
      </c>
      <c r="B250">
        <v>1021.42</v>
      </c>
      <c r="C250">
        <v>1021.37</v>
      </c>
      <c r="D250">
        <v>1021.33</v>
      </c>
      <c r="E250">
        <v>1021.28</v>
      </c>
      <c r="F250">
        <v>1021.24</v>
      </c>
      <c r="G250">
        <v>1021.19</v>
      </c>
      <c r="H250">
        <v>1021.14</v>
      </c>
      <c r="I250">
        <v>1021.1</v>
      </c>
      <c r="J250">
        <v>1021.05</v>
      </c>
      <c r="K250">
        <v>1021.01</v>
      </c>
      <c r="L250">
        <v>1020.96</v>
      </c>
    </row>
    <row r="251" spans="1:12" x14ac:dyDescent="0.15">
      <c r="A251">
        <v>1230</v>
      </c>
      <c r="B251">
        <v>1021.49</v>
      </c>
      <c r="C251">
        <v>1021.45</v>
      </c>
      <c r="D251">
        <v>1021.4</v>
      </c>
      <c r="E251">
        <v>1021.36</v>
      </c>
      <c r="F251">
        <v>1021.31</v>
      </c>
      <c r="G251">
        <v>1021.27</v>
      </c>
      <c r="H251">
        <v>1021.22</v>
      </c>
      <c r="I251">
        <v>1021.18</v>
      </c>
      <c r="J251">
        <v>1021.13</v>
      </c>
      <c r="K251">
        <v>1021.08</v>
      </c>
      <c r="L251">
        <v>1021.04</v>
      </c>
    </row>
    <row r="252" spans="1:12" x14ac:dyDescent="0.15">
      <c r="A252">
        <v>1235</v>
      </c>
      <c r="B252">
        <v>1021.57</v>
      </c>
      <c r="C252">
        <v>1021.52</v>
      </c>
      <c r="D252">
        <v>1021.48</v>
      </c>
      <c r="E252">
        <v>1021.43</v>
      </c>
      <c r="F252">
        <v>1021.39</v>
      </c>
      <c r="G252">
        <v>1021.34</v>
      </c>
      <c r="H252">
        <v>1021.3</v>
      </c>
      <c r="I252">
        <v>1021.25</v>
      </c>
      <c r="J252">
        <v>1021.21</v>
      </c>
      <c r="K252">
        <v>1021.16</v>
      </c>
      <c r="L252">
        <v>1021.11</v>
      </c>
    </row>
    <row r="253" spans="1:12" x14ac:dyDescent="0.15">
      <c r="A253">
        <v>1240</v>
      </c>
      <c r="B253">
        <v>1021.65</v>
      </c>
      <c r="C253">
        <v>1021.6</v>
      </c>
      <c r="D253">
        <v>1021.56</v>
      </c>
      <c r="E253">
        <v>1021.51</v>
      </c>
      <c r="F253">
        <v>1021.46</v>
      </c>
      <c r="G253">
        <v>1021.42</v>
      </c>
      <c r="H253">
        <v>1021.37</v>
      </c>
      <c r="I253">
        <v>1021.33</v>
      </c>
      <c r="J253">
        <v>1021.28</v>
      </c>
      <c r="K253">
        <v>1021.24</v>
      </c>
      <c r="L253">
        <v>1021.19</v>
      </c>
    </row>
    <row r="254" spans="1:12" x14ac:dyDescent="0.15">
      <c r="A254">
        <v>1245</v>
      </c>
      <c r="B254">
        <v>1021.72</v>
      </c>
      <c r="C254">
        <v>1021.68</v>
      </c>
      <c r="D254">
        <v>1021.63</v>
      </c>
      <c r="E254">
        <v>1021.59</v>
      </c>
      <c r="F254">
        <v>1021.54</v>
      </c>
      <c r="G254">
        <v>1021.5</v>
      </c>
      <c r="H254">
        <v>1021.45</v>
      </c>
      <c r="I254">
        <v>1021.4</v>
      </c>
      <c r="J254">
        <v>1021.36</v>
      </c>
      <c r="K254">
        <v>1021.31</v>
      </c>
      <c r="L254">
        <v>1021.27</v>
      </c>
    </row>
    <row r="255" spans="1:12" x14ac:dyDescent="0.15">
      <c r="A255">
        <v>1250</v>
      </c>
      <c r="B255">
        <v>1021.8</v>
      </c>
      <c r="C255">
        <v>1021.75</v>
      </c>
      <c r="D255">
        <v>1021.71</v>
      </c>
      <c r="E255">
        <v>1021.66</v>
      </c>
      <c r="F255">
        <v>1021.62</v>
      </c>
      <c r="G255">
        <v>1021.57</v>
      </c>
      <c r="H255">
        <v>1021.53</v>
      </c>
      <c r="I255">
        <v>1021.48</v>
      </c>
      <c r="J255">
        <v>1021.43</v>
      </c>
      <c r="K255">
        <v>1021.39</v>
      </c>
      <c r="L255">
        <v>1021.34</v>
      </c>
    </row>
    <row r="256" spans="1:12" x14ac:dyDescent="0.15">
      <c r="A256">
        <v>1255</v>
      </c>
      <c r="B256">
        <v>1021.88</v>
      </c>
      <c r="C256">
        <v>1021.83</v>
      </c>
      <c r="D256">
        <v>1021.78</v>
      </c>
      <c r="E256">
        <v>1021.74</v>
      </c>
      <c r="F256">
        <v>1021.69</v>
      </c>
      <c r="G256">
        <v>1021.65</v>
      </c>
      <c r="H256">
        <v>1021.6</v>
      </c>
      <c r="I256">
        <v>1021.56</v>
      </c>
      <c r="J256">
        <v>1021.51</v>
      </c>
      <c r="K256">
        <v>1021.47</v>
      </c>
      <c r="L256">
        <v>1021.42</v>
      </c>
    </row>
    <row r="257" spans="1:12" x14ac:dyDescent="0.15">
      <c r="A257">
        <v>1260</v>
      </c>
      <c r="B257">
        <v>1021.95</v>
      </c>
      <c r="C257">
        <v>1021.91</v>
      </c>
      <c r="D257">
        <v>1021.86</v>
      </c>
      <c r="E257">
        <v>1021.82</v>
      </c>
      <c r="F257">
        <v>1021.77</v>
      </c>
      <c r="G257">
        <v>1021.72</v>
      </c>
      <c r="H257">
        <v>1021.68</v>
      </c>
      <c r="I257">
        <v>1021.63</v>
      </c>
      <c r="J257">
        <v>1021.59</v>
      </c>
      <c r="K257">
        <v>1021.54</v>
      </c>
      <c r="L257">
        <v>1021.5</v>
      </c>
    </row>
    <row r="258" spans="1:12" x14ac:dyDescent="0.15">
      <c r="A258">
        <v>1265</v>
      </c>
      <c r="B258">
        <v>1022.03</v>
      </c>
      <c r="C258">
        <v>1021.98</v>
      </c>
      <c r="D258">
        <v>1021.94</v>
      </c>
      <c r="E258">
        <v>1021.89</v>
      </c>
      <c r="F258">
        <v>1021.85</v>
      </c>
      <c r="G258">
        <v>1021.8</v>
      </c>
      <c r="H258">
        <v>1021.75</v>
      </c>
      <c r="I258">
        <v>1021.71</v>
      </c>
      <c r="J258">
        <v>1021.66</v>
      </c>
      <c r="K258">
        <v>1021.62</v>
      </c>
      <c r="L258">
        <v>1021.57</v>
      </c>
    </row>
    <row r="259" spans="1:12" x14ac:dyDescent="0.15">
      <c r="A259">
        <v>1270</v>
      </c>
      <c r="B259">
        <v>1022.1</v>
      </c>
      <c r="C259">
        <v>1022.06</v>
      </c>
      <c r="D259">
        <v>1022.01</v>
      </c>
      <c r="E259">
        <v>1021.97</v>
      </c>
      <c r="F259">
        <v>1021.92</v>
      </c>
      <c r="G259">
        <v>1021.88</v>
      </c>
      <c r="H259">
        <v>1021.83</v>
      </c>
      <c r="I259">
        <v>1021.79</v>
      </c>
      <c r="J259">
        <v>1021.74</v>
      </c>
      <c r="K259">
        <v>1021.69</v>
      </c>
      <c r="L259">
        <v>1021.65</v>
      </c>
    </row>
    <row r="260" spans="1:12" x14ac:dyDescent="0.15">
      <c r="A260">
        <v>1275</v>
      </c>
      <c r="B260">
        <v>1022.18</v>
      </c>
      <c r="C260">
        <v>1022.14</v>
      </c>
      <c r="D260">
        <v>1022.09</v>
      </c>
      <c r="E260">
        <v>1022.04</v>
      </c>
      <c r="F260">
        <v>1022</v>
      </c>
      <c r="G260">
        <v>1021.95</v>
      </c>
      <c r="H260">
        <v>1021.91</v>
      </c>
      <c r="I260">
        <v>1021.86</v>
      </c>
      <c r="J260">
        <v>1021.82</v>
      </c>
      <c r="K260">
        <v>1021.77</v>
      </c>
      <c r="L260">
        <v>1021.72</v>
      </c>
    </row>
    <row r="261" spans="1:12" x14ac:dyDescent="0.15">
      <c r="A261">
        <v>1280</v>
      </c>
      <c r="B261">
        <v>1022.26</v>
      </c>
      <c r="C261">
        <v>1022.21</v>
      </c>
      <c r="D261">
        <v>1022.17</v>
      </c>
      <c r="E261">
        <v>1022.12</v>
      </c>
      <c r="F261">
        <v>1022.07</v>
      </c>
      <c r="G261">
        <v>1022.03</v>
      </c>
      <c r="H261">
        <v>1021.98</v>
      </c>
      <c r="I261">
        <v>1021.94</v>
      </c>
      <c r="J261">
        <v>1021.89</v>
      </c>
      <c r="K261">
        <v>1021.85</v>
      </c>
      <c r="L261">
        <v>1021.8</v>
      </c>
    </row>
    <row r="262" spans="1:12" x14ac:dyDescent="0.15">
      <c r="A262">
        <v>1285</v>
      </c>
      <c r="B262">
        <v>1022.33</v>
      </c>
      <c r="C262">
        <v>1022.29</v>
      </c>
      <c r="D262">
        <v>1022.24</v>
      </c>
      <c r="E262">
        <v>1022.2</v>
      </c>
      <c r="F262">
        <v>1022.15</v>
      </c>
      <c r="G262">
        <v>1022.11</v>
      </c>
      <c r="H262">
        <v>1022.06</v>
      </c>
      <c r="I262">
        <v>1022.01</v>
      </c>
      <c r="J262">
        <v>1021.97</v>
      </c>
      <c r="K262">
        <v>1021.92</v>
      </c>
      <c r="L262">
        <v>1021.88</v>
      </c>
    </row>
    <row r="263" spans="1:12" x14ac:dyDescent="0.15">
      <c r="A263">
        <v>1290</v>
      </c>
      <c r="B263">
        <v>1022.41</v>
      </c>
      <c r="C263">
        <v>1022.36</v>
      </c>
      <c r="D263">
        <v>1022.32</v>
      </c>
      <c r="E263">
        <v>1022.27</v>
      </c>
      <c r="F263">
        <v>1022.23</v>
      </c>
      <c r="G263">
        <v>1022.18</v>
      </c>
      <c r="H263">
        <v>1022.14</v>
      </c>
      <c r="I263">
        <v>1022.09</v>
      </c>
      <c r="J263">
        <v>1022.05</v>
      </c>
      <c r="K263">
        <v>1022</v>
      </c>
      <c r="L263">
        <v>1021.95</v>
      </c>
    </row>
    <row r="264" spans="1:12" x14ac:dyDescent="0.15">
      <c r="A264">
        <v>1295</v>
      </c>
      <c r="B264">
        <v>1022.49</v>
      </c>
      <c r="C264">
        <v>1022.44</v>
      </c>
      <c r="D264">
        <v>1022.39</v>
      </c>
      <c r="E264">
        <v>1022.35</v>
      </c>
      <c r="F264">
        <v>1022.3</v>
      </c>
      <c r="G264">
        <v>1022.26</v>
      </c>
      <c r="H264">
        <v>1022.21</v>
      </c>
      <c r="I264">
        <v>1022.17</v>
      </c>
      <c r="J264">
        <v>1022.12</v>
      </c>
      <c r="K264">
        <v>1022.08</v>
      </c>
      <c r="L264">
        <v>1022.03</v>
      </c>
    </row>
    <row r="265" spans="1:12" x14ac:dyDescent="0.15">
      <c r="A265">
        <v>1300</v>
      </c>
      <c r="B265">
        <v>1022.56</v>
      </c>
      <c r="C265">
        <v>1022.52</v>
      </c>
      <c r="D265">
        <v>1022.47</v>
      </c>
      <c r="E265">
        <v>1022.43</v>
      </c>
      <c r="F265">
        <v>1022.38</v>
      </c>
      <c r="G265">
        <v>1022.33</v>
      </c>
      <c r="H265">
        <v>1022.29</v>
      </c>
      <c r="I265">
        <v>1022.24</v>
      </c>
      <c r="J265">
        <v>1022.2</v>
      </c>
      <c r="K265">
        <v>1022.15</v>
      </c>
      <c r="L265">
        <v>1022.11</v>
      </c>
    </row>
    <row r="266" spans="1:12" x14ac:dyDescent="0.15">
      <c r="A266">
        <v>1305</v>
      </c>
      <c r="B266">
        <v>1022.64</v>
      </c>
      <c r="C266">
        <v>1022.59</v>
      </c>
      <c r="D266">
        <v>1022.55</v>
      </c>
      <c r="E266">
        <v>1022.5</v>
      </c>
      <c r="F266">
        <v>1022.46</v>
      </c>
      <c r="G266">
        <v>1022.41</v>
      </c>
      <c r="H266">
        <v>1022.37</v>
      </c>
      <c r="I266">
        <v>1022.32</v>
      </c>
      <c r="J266">
        <v>1022.27</v>
      </c>
      <c r="K266">
        <v>1022.23</v>
      </c>
      <c r="L266">
        <v>1022.18</v>
      </c>
    </row>
    <row r="267" spans="1:12" x14ac:dyDescent="0.15">
      <c r="A267">
        <v>1310</v>
      </c>
      <c r="B267">
        <v>1022.71</v>
      </c>
      <c r="C267">
        <v>1022.67</v>
      </c>
      <c r="D267">
        <v>1022.62</v>
      </c>
      <c r="E267">
        <v>1022.58</v>
      </c>
      <c r="F267">
        <v>1022.53</v>
      </c>
      <c r="G267">
        <v>1022.49</v>
      </c>
      <c r="H267">
        <v>1022.44</v>
      </c>
      <c r="I267">
        <v>1022.4</v>
      </c>
      <c r="J267">
        <v>1022.35</v>
      </c>
      <c r="K267">
        <v>1022.3</v>
      </c>
      <c r="L267">
        <v>1022.26</v>
      </c>
    </row>
    <row r="268" spans="1:12" x14ac:dyDescent="0.15">
      <c r="A268">
        <v>1315</v>
      </c>
      <c r="B268">
        <v>1022.79</v>
      </c>
      <c r="C268">
        <v>1022.75</v>
      </c>
      <c r="D268">
        <v>1022.7</v>
      </c>
      <c r="E268">
        <v>1022.65</v>
      </c>
      <c r="F268">
        <v>1022.61</v>
      </c>
      <c r="G268">
        <v>1022.56</v>
      </c>
      <c r="H268">
        <v>1022.52</v>
      </c>
      <c r="I268">
        <v>1022.47</v>
      </c>
      <c r="J268">
        <v>1022.43</v>
      </c>
      <c r="K268">
        <v>1022.38</v>
      </c>
      <c r="L268">
        <v>1022.34</v>
      </c>
    </row>
    <row r="269" spans="1:12" x14ac:dyDescent="0.15">
      <c r="A269">
        <v>1320</v>
      </c>
      <c r="B269">
        <v>1022.87</v>
      </c>
      <c r="C269">
        <v>1022.82</v>
      </c>
      <c r="D269">
        <v>1022.78</v>
      </c>
      <c r="E269">
        <v>1022.73</v>
      </c>
      <c r="F269">
        <v>1022.69</v>
      </c>
      <c r="G269">
        <v>1022.64</v>
      </c>
      <c r="H269">
        <v>1022.59</v>
      </c>
      <c r="I269">
        <v>1022.55</v>
      </c>
      <c r="J269">
        <v>1022.5</v>
      </c>
      <c r="K269">
        <v>1022.46</v>
      </c>
      <c r="L269">
        <v>1022.41</v>
      </c>
    </row>
    <row r="270" spans="1:12" x14ac:dyDescent="0.15">
      <c r="A270">
        <v>1325</v>
      </c>
      <c r="B270">
        <v>1022.94</v>
      </c>
      <c r="C270">
        <v>1022.9</v>
      </c>
      <c r="D270">
        <v>1022.85</v>
      </c>
      <c r="E270">
        <v>1022.81</v>
      </c>
      <c r="F270">
        <v>1022.76</v>
      </c>
      <c r="G270">
        <v>1022.72</v>
      </c>
      <c r="H270">
        <v>1022.67</v>
      </c>
      <c r="I270">
        <v>1022.62</v>
      </c>
      <c r="J270">
        <v>1022.58</v>
      </c>
      <c r="K270">
        <v>1022.53</v>
      </c>
      <c r="L270">
        <v>1022.49</v>
      </c>
    </row>
    <row r="271" spans="1:12" x14ac:dyDescent="0.15">
      <c r="A271">
        <v>1330</v>
      </c>
      <c r="B271">
        <v>1023.02</v>
      </c>
      <c r="C271">
        <v>1022.97</v>
      </c>
      <c r="D271">
        <v>1022.93</v>
      </c>
      <c r="E271">
        <v>1022.88</v>
      </c>
      <c r="F271">
        <v>1022.84</v>
      </c>
      <c r="G271">
        <v>1022.79</v>
      </c>
      <c r="H271">
        <v>1022.75</v>
      </c>
      <c r="I271">
        <v>1022.7</v>
      </c>
      <c r="J271">
        <v>1022.66</v>
      </c>
      <c r="K271">
        <v>1022.61</v>
      </c>
      <c r="L271">
        <v>1022.56</v>
      </c>
    </row>
    <row r="272" spans="1:12" x14ac:dyDescent="0.15">
      <c r="A272">
        <v>1335</v>
      </c>
      <c r="B272">
        <v>1023.1</v>
      </c>
      <c r="C272">
        <v>1023.05</v>
      </c>
      <c r="D272">
        <v>1023.01</v>
      </c>
      <c r="E272">
        <v>1022.96</v>
      </c>
      <c r="F272">
        <v>1022.91</v>
      </c>
      <c r="G272">
        <v>1022.87</v>
      </c>
      <c r="H272">
        <v>1022.82</v>
      </c>
      <c r="I272">
        <v>1022.78</v>
      </c>
      <c r="J272">
        <v>1022.73</v>
      </c>
      <c r="K272">
        <v>1022.69</v>
      </c>
      <c r="L272">
        <v>1022.64</v>
      </c>
    </row>
    <row r="273" spans="1:12" x14ac:dyDescent="0.15">
      <c r="A273">
        <v>1340</v>
      </c>
      <c r="B273">
        <v>1023.17</v>
      </c>
      <c r="C273">
        <v>1023.13</v>
      </c>
      <c r="D273">
        <v>1023.08</v>
      </c>
      <c r="E273">
        <v>1023.04</v>
      </c>
      <c r="F273">
        <v>1022.99</v>
      </c>
      <c r="G273">
        <v>1022.94</v>
      </c>
      <c r="H273">
        <v>1022.9</v>
      </c>
      <c r="I273">
        <v>1022.85</v>
      </c>
      <c r="J273">
        <v>1022.81</v>
      </c>
      <c r="K273">
        <v>1022.76</v>
      </c>
      <c r="L273">
        <v>1022.72</v>
      </c>
    </row>
    <row r="274" spans="1:12" x14ac:dyDescent="0.15">
      <c r="A274">
        <v>1345</v>
      </c>
      <c r="B274">
        <v>1023.25</v>
      </c>
      <c r="C274">
        <v>1023.2</v>
      </c>
      <c r="D274">
        <v>1023.16</v>
      </c>
      <c r="E274">
        <v>1023.11</v>
      </c>
      <c r="F274">
        <v>1023.07</v>
      </c>
      <c r="G274">
        <v>1023.02</v>
      </c>
      <c r="H274">
        <v>1022.98</v>
      </c>
      <c r="I274">
        <v>1022.93</v>
      </c>
      <c r="J274">
        <v>1022.88</v>
      </c>
      <c r="K274">
        <v>1022.84</v>
      </c>
      <c r="L274">
        <v>1022.79</v>
      </c>
    </row>
    <row r="275" spans="1:12" x14ac:dyDescent="0.15">
      <c r="A275">
        <v>1350</v>
      </c>
      <c r="B275">
        <v>1023.33</v>
      </c>
      <c r="C275">
        <v>1023.28</v>
      </c>
      <c r="D275">
        <v>1023.23</v>
      </c>
      <c r="E275">
        <v>1023.19</v>
      </c>
      <c r="F275">
        <v>1023.14</v>
      </c>
      <c r="G275">
        <v>1023.1</v>
      </c>
      <c r="H275">
        <v>1023.05</v>
      </c>
      <c r="I275">
        <v>1023.01</v>
      </c>
      <c r="J275">
        <v>1022.96</v>
      </c>
      <c r="K275">
        <v>1022.91</v>
      </c>
      <c r="L275">
        <v>1022.87</v>
      </c>
    </row>
    <row r="276" spans="1:12" x14ac:dyDescent="0.15">
      <c r="A276">
        <v>1355</v>
      </c>
      <c r="B276">
        <v>1023.4</v>
      </c>
      <c r="C276">
        <v>1023.36</v>
      </c>
      <c r="D276">
        <v>1023.31</v>
      </c>
      <c r="E276">
        <v>1023.26</v>
      </c>
      <c r="F276">
        <v>1023.22</v>
      </c>
      <c r="G276">
        <v>1023.17</v>
      </c>
      <c r="H276">
        <v>1023.13</v>
      </c>
      <c r="I276">
        <v>1023.08</v>
      </c>
      <c r="J276">
        <v>1023.04</v>
      </c>
      <c r="K276">
        <v>1022.99</v>
      </c>
      <c r="L276">
        <v>1022.95</v>
      </c>
    </row>
    <row r="277" spans="1:12" x14ac:dyDescent="0.15">
      <c r="A277">
        <v>1360</v>
      </c>
      <c r="B277">
        <v>1023.48</v>
      </c>
      <c r="C277">
        <v>1023.43</v>
      </c>
      <c r="D277">
        <v>1023.39</v>
      </c>
      <c r="E277">
        <v>1023.34</v>
      </c>
      <c r="F277">
        <v>1023.3</v>
      </c>
      <c r="G277">
        <v>1023.25</v>
      </c>
      <c r="H277">
        <v>1023.2</v>
      </c>
      <c r="I277">
        <v>1023.16</v>
      </c>
      <c r="J277">
        <v>1023.11</v>
      </c>
      <c r="K277">
        <v>1023.07</v>
      </c>
      <c r="L277">
        <v>1023.02</v>
      </c>
    </row>
    <row r="278" spans="1:12" x14ac:dyDescent="0.15">
      <c r="A278">
        <v>1365</v>
      </c>
      <c r="B278">
        <v>1023.55</v>
      </c>
      <c r="C278">
        <v>1023.51</v>
      </c>
      <c r="D278">
        <v>1023.46</v>
      </c>
      <c r="E278">
        <v>1023.42</v>
      </c>
      <c r="F278">
        <v>1023.37</v>
      </c>
      <c r="G278">
        <v>1023.33</v>
      </c>
      <c r="H278">
        <v>1023.28</v>
      </c>
      <c r="I278">
        <v>1023.24</v>
      </c>
      <c r="J278">
        <v>1023.19</v>
      </c>
      <c r="K278">
        <v>1023.14</v>
      </c>
      <c r="L278">
        <v>1023.1</v>
      </c>
    </row>
    <row r="279" spans="1:12" x14ac:dyDescent="0.15">
      <c r="A279">
        <v>1370</v>
      </c>
      <c r="B279">
        <v>1023.63</v>
      </c>
      <c r="C279">
        <v>1023.58</v>
      </c>
      <c r="D279">
        <v>1023.54</v>
      </c>
      <c r="E279">
        <v>1023.49</v>
      </c>
      <c r="F279">
        <v>1023.45</v>
      </c>
      <c r="G279">
        <v>1023.4</v>
      </c>
      <c r="H279">
        <v>1023.36</v>
      </c>
      <c r="I279">
        <v>1023.31</v>
      </c>
      <c r="J279">
        <v>1023.27</v>
      </c>
      <c r="K279">
        <v>1023.22</v>
      </c>
      <c r="L279">
        <v>1023.17</v>
      </c>
    </row>
    <row r="280" spans="1:12" x14ac:dyDescent="0.15">
      <c r="A280">
        <v>1375</v>
      </c>
      <c r="B280">
        <v>1023.71</v>
      </c>
      <c r="C280">
        <v>1023.66</v>
      </c>
      <c r="D280">
        <v>1023.62</v>
      </c>
      <c r="E280">
        <v>1023.57</v>
      </c>
      <c r="F280">
        <v>1023.52</v>
      </c>
      <c r="G280">
        <v>1023.48</v>
      </c>
      <c r="H280">
        <v>1023.43</v>
      </c>
      <c r="I280">
        <v>1023.39</v>
      </c>
      <c r="J280">
        <v>1023.34</v>
      </c>
      <c r="K280">
        <v>1023.3</v>
      </c>
      <c r="L280">
        <v>1023.25</v>
      </c>
    </row>
    <row r="281" spans="1:12" x14ac:dyDescent="0.15">
      <c r="A281">
        <v>1380</v>
      </c>
      <c r="B281">
        <v>1023.78</v>
      </c>
      <c r="C281">
        <v>1023.74</v>
      </c>
      <c r="D281">
        <v>1023.69</v>
      </c>
      <c r="E281">
        <v>1023.65</v>
      </c>
      <c r="F281">
        <v>1023.6</v>
      </c>
      <c r="G281">
        <v>1023.56</v>
      </c>
      <c r="H281">
        <v>1023.51</v>
      </c>
      <c r="I281">
        <v>1023.46</v>
      </c>
      <c r="J281">
        <v>1023.42</v>
      </c>
      <c r="K281">
        <v>1023.37</v>
      </c>
      <c r="L281">
        <v>1023.33</v>
      </c>
    </row>
    <row r="282" spans="1:12" x14ac:dyDescent="0.15">
      <c r="A282">
        <v>1385</v>
      </c>
      <c r="B282">
        <v>1023.86</v>
      </c>
      <c r="C282">
        <v>1023.81</v>
      </c>
      <c r="D282">
        <v>1023.77</v>
      </c>
      <c r="E282">
        <v>1023.72</v>
      </c>
      <c r="F282">
        <v>1023.68</v>
      </c>
      <c r="G282">
        <v>1023.63</v>
      </c>
      <c r="H282">
        <v>1023.59</v>
      </c>
      <c r="I282">
        <v>1023.54</v>
      </c>
      <c r="J282">
        <v>1023.49</v>
      </c>
      <c r="K282">
        <v>1023.45</v>
      </c>
      <c r="L282">
        <v>1023.4</v>
      </c>
    </row>
    <row r="283" spans="1:12" x14ac:dyDescent="0.15">
      <c r="A283">
        <v>1390</v>
      </c>
      <c r="B283">
        <v>1023.94</v>
      </c>
      <c r="C283">
        <v>1023.89</v>
      </c>
      <c r="D283">
        <v>1023.84</v>
      </c>
      <c r="E283">
        <v>1023.8</v>
      </c>
      <c r="F283">
        <v>1023.75</v>
      </c>
      <c r="G283">
        <v>1023.71</v>
      </c>
      <c r="H283">
        <v>1023.66</v>
      </c>
      <c r="I283">
        <v>1023.62</v>
      </c>
      <c r="J283">
        <v>1023.57</v>
      </c>
      <c r="K283">
        <v>1023.53</v>
      </c>
      <c r="L283">
        <v>1023.48</v>
      </c>
    </row>
    <row r="284" spans="1:12" x14ac:dyDescent="0.15">
      <c r="A284">
        <v>1395</v>
      </c>
      <c r="B284">
        <v>1024.01</v>
      </c>
      <c r="C284">
        <v>1023.97</v>
      </c>
      <c r="D284">
        <v>1023.92</v>
      </c>
      <c r="E284">
        <v>1023.88</v>
      </c>
      <c r="F284">
        <v>1023.83</v>
      </c>
      <c r="G284">
        <v>1023.78</v>
      </c>
      <c r="H284">
        <v>1023.74</v>
      </c>
      <c r="I284">
        <v>1023.69</v>
      </c>
      <c r="J284">
        <v>1023.65</v>
      </c>
      <c r="K284">
        <v>1023.6</v>
      </c>
      <c r="L284">
        <v>1023.56</v>
      </c>
    </row>
    <row r="285" spans="1:12" x14ac:dyDescent="0.15">
      <c r="A285">
        <v>1400</v>
      </c>
      <c r="B285">
        <v>1024.0899999999999</v>
      </c>
      <c r="C285">
        <v>1024.04</v>
      </c>
      <c r="D285">
        <v>1024</v>
      </c>
      <c r="E285">
        <v>1023.95</v>
      </c>
      <c r="F285">
        <v>1023.91</v>
      </c>
      <c r="G285">
        <v>1023.86</v>
      </c>
      <c r="H285">
        <v>1023.81</v>
      </c>
      <c r="I285">
        <v>1023.77</v>
      </c>
      <c r="J285">
        <v>1023.72</v>
      </c>
      <c r="K285">
        <v>1023.68</v>
      </c>
      <c r="L285">
        <v>1023.63</v>
      </c>
    </row>
    <row r="286" spans="1:12" x14ac:dyDescent="0.15">
      <c r="A286">
        <v>1405</v>
      </c>
      <c r="B286">
        <v>1024.1600000000001</v>
      </c>
      <c r="C286">
        <v>1024.1199999999999</v>
      </c>
      <c r="D286">
        <v>1024.07</v>
      </c>
      <c r="E286">
        <v>1024.03</v>
      </c>
      <c r="F286">
        <v>1023.98</v>
      </c>
      <c r="G286">
        <v>1023.94</v>
      </c>
      <c r="H286">
        <v>1023.89</v>
      </c>
      <c r="I286">
        <v>1023.85</v>
      </c>
      <c r="J286">
        <v>1023.8</v>
      </c>
      <c r="K286">
        <v>1023.75</v>
      </c>
      <c r="L286">
        <v>1023.71</v>
      </c>
    </row>
    <row r="287" spans="1:12" x14ac:dyDescent="0.15">
      <c r="A287">
        <v>1410</v>
      </c>
      <c r="B287">
        <v>1024.24</v>
      </c>
      <c r="C287">
        <v>1024.2</v>
      </c>
      <c r="D287">
        <v>1024.1500000000001</v>
      </c>
      <c r="E287">
        <v>1024.0999999999999</v>
      </c>
      <c r="F287">
        <v>1024.06</v>
      </c>
      <c r="G287">
        <v>1024.01</v>
      </c>
      <c r="H287">
        <v>1023.97</v>
      </c>
      <c r="I287">
        <v>1023.92</v>
      </c>
      <c r="J287">
        <v>1023.88</v>
      </c>
      <c r="K287">
        <v>1023.83</v>
      </c>
      <c r="L287">
        <v>1023.78</v>
      </c>
    </row>
    <row r="288" spans="1:12" x14ac:dyDescent="0.15">
      <c r="A288">
        <v>1415</v>
      </c>
      <c r="B288">
        <v>1024.32</v>
      </c>
      <c r="C288">
        <v>1024.27</v>
      </c>
      <c r="D288">
        <v>1024.23</v>
      </c>
      <c r="E288">
        <v>1024.18</v>
      </c>
      <c r="F288">
        <v>1024.1300000000001</v>
      </c>
      <c r="G288">
        <v>1024.0899999999999</v>
      </c>
      <c r="H288">
        <v>1024.04</v>
      </c>
      <c r="I288">
        <v>1024</v>
      </c>
      <c r="J288">
        <v>1023.95</v>
      </c>
      <c r="K288">
        <v>1023.91</v>
      </c>
      <c r="L288">
        <v>1023.86</v>
      </c>
    </row>
    <row r="289" spans="1:12" x14ac:dyDescent="0.15">
      <c r="A289">
        <v>1420</v>
      </c>
      <c r="B289">
        <v>1024.3900000000001</v>
      </c>
      <c r="C289">
        <v>1024.3499999999999</v>
      </c>
      <c r="D289">
        <v>1024.3</v>
      </c>
      <c r="E289">
        <v>1024.26</v>
      </c>
      <c r="F289">
        <v>1024.21</v>
      </c>
      <c r="G289">
        <v>1024.17</v>
      </c>
      <c r="H289">
        <v>1024.1199999999999</v>
      </c>
      <c r="I289">
        <v>1024.07</v>
      </c>
      <c r="J289">
        <v>1024.03</v>
      </c>
      <c r="K289">
        <v>1023.98</v>
      </c>
      <c r="L289">
        <v>1023.94</v>
      </c>
    </row>
    <row r="290" spans="1:12" x14ac:dyDescent="0.15">
      <c r="A290">
        <v>1425</v>
      </c>
      <c r="B290">
        <v>1024.47</v>
      </c>
      <c r="C290">
        <v>1024.42</v>
      </c>
      <c r="D290">
        <v>1024.3800000000001</v>
      </c>
      <c r="E290">
        <v>1024.33</v>
      </c>
      <c r="F290">
        <v>1024.29</v>
      </c>
      <c r="G290">
        <v>1024.24</v>
      </c>
      <c r="H290">
        <v>1024.2</v>
      </c>
      <c r="I290">
        <v>1024.1500000000001</v>
      </c>
      <c r="J290">
        <v>1024.0999999999999</v>
      </c>
      <c r="K290">
        <v>1024.06</v>
      </c>
      <c r="L290">
        <v>1024.01</v>
      </c>
    </row>
    <row r="291" spans="1:12" x14ac:dyDescent="0.15">
      <c r="A291">
        <v>1430</v>
      </c>
      <c r="B291">
        <v>1024.55</v>
      </c>
      <c r="C291">
        <v>1024.5</v>
      </c>
      <c r="D291">
        <v>1024.45</v>
      </c>
      <c r="E291">
        <v>1024.4100000000001</v>
      </c>
      <c r="F291">
        <v>1024.3599999999999</v>
      </c>
      <c r="G291">
        <v>1024.32</v>
      </c>
      <c r="H291">
        <v>1024.27</v>
      </c>
      <c r="I291">
        <v>1024.23</v>
      </c>
      <c r="J291">
        <v>1024.18</v>
      </c>
      <c r="K291">
        <v>1024.1400000000001</v>
      </c>
      <c r="L291">
        <v>1024.0899999999999</v>
      </c>
    </row>
    <row r="292" spans="1:12" x14ac:dyDescent="0.15">
      <c r="A292">
        <v>1435</v>
      </c>
      <c r="B292">
        <v>1024.6199999999999</v>
      </c>
      <c r="C292">
        <v>1024.58</v>
      </c>
      <c r="D292">
        <v>1024.53</v>
      </c>
      <c r="E292">
        <v>1024.49</v>
      </c>
      <c r="F292">
        <v>1024.44</v>
      </c>
      <c r="G292">
        <v>1024.3900000000001</v>
      </c>
      <c r="H292">
        <v>1024.3499999999999</v>
      </c>
      <c r="I292">
        <v>1024.3</v>
      </c>
      <c r="J292">
        <v>1024.26</v>
      </c>
      <c r="K292">
        <v>1024.21</v>
      </c>
      <c r="L292">
        <v>1024.17</v>
      </c>
    </row>
    <row r="293" spans="1:12" x14ac:dyDescent="0.15">
      <c r="A293">
        <v>1440</v>
      </c>
      <c r="B293">
        <v>1024.7</v>
      </c>
      <c r="C293">
        <v>1024.6500000000001</v>
      </c>
      <c r="D293">
        <v>1024.6099999999999</v>
      </c>
      <c r="E293">
        <v>1024.56</v>
      </c>
      <c r="F293">
        <v>1024.52</v>
      </c>
      <c r="G293">
        <v>1024.47</v>
      </c>
      <c r="H293">
        <v>1024.43</v>
      </c>
      <c r="I293">
        <v>1024.3800000000001</v>
      </c>
      <c r="J293">
        <v>1024.33</v>
      </c>
      <c r="K293">
        <v>1024.29</v>
      </c>
      <c r="L293">
        <v>1024.24</v>
      </c>
    </row>
    <row r="294" spans="1:12" x14ac:dyDescent="0.15">
      <c r="A294">
        <v>1445</v>
      </c>
      <c r="B294">
        <v>1024.77</v>
      </c>
      <c r="C294">
        <v>1024.73</v>
      </c>
      <c r="D294">
        <v>1024.68</v>
      </c>
      <c r="E294">
        <v>1024.6400000000001</v>
      </c>
      <c r="F294">
        <v>1024.5899999999999</v>
      </c>
      <c r="G294">
        <v>1024.55</v>
      </c>
      <c r="H294">
        <v>1024.5</v>
      </c>
      <c r="I294">
        <v>1024.46</v>
      </c>
      <c r="J294">
        <v>1024.4100000000001</v>
      </c>
      <c r="K294">
        <v>1024.3599999999999</v>
      </c>
      <c r="L294">
        <v>1024.32</v>
      </c>
    </row>
    <row r="295" spans="1:12" x14ac:dyDescent="0.15">
      <c r="A295">
        <v>1450</v>
      </c>
      <c r="B295">
        <v>1024.8499999999999</v>
      </c>
      <c r="C295">
        <v>1024.81</v>
      </c>
      <c r="D295">
        <v>1024.76</v>
      </c>
      <c r="E295">
        <v>1024.71</v>
      </c>
      <c r="F295">
        <v>1024.67</v>
      </c>
      <c r="G295">
        <v>1024.6199999999999</v>
      </c>
      <c r="H295">
        <v>1024.58</v>
      </c>
      <c r="I295">
        <v>1024.53</v>
      </c>
      <c r="J295">
        <v>1024.49</v>
      </c>
      <c r="K295">
        <v>1024.44</v>
      </c>
      <c r="L295">
        <v>1024.4000000000001</v>
      </c>
    </row>
    <row r="296" spans="1:12" x14ac:dyDescent="0.15">
      <c r="A296">
        <v>1455</v>
      </c>
      <c r="B296">
        <v>1024.93</v>
      </c>
      <c r="C296">
        <v>1024.8800000000001</v>
      </c>
      <c r="D296">
        <v>1024.8399999999999</v>
      </c>
      <c r="E296">
        <v>1024.79</v>
      </c>
      <c r="F296">
        <v>1024.75</v>
      </c>
      <c r="G296">
        <v>1024.7</v>
      </c>
      <c r="H296">
        <v>1024.6500000000001</v>
      </c>
      <c r="I296">
        <v>1024.6099999999999</v>
      </c>
      <c r="J296">
        <v>1024.56</v>
      </c>
      <c r="K296">
        <v>1024.52</v>
      </c>
      <c r="L296">
        <v>1024.47</v>
      </c>
    </row>
    <row r="297" spans="1:12" x14ac:dyDescent="0.15">
      <c r="A297">
        <v>1460</v>
      </c>
      <c r="B297">
        <v>1025</v>
      </c>
      <c r="C297">
        <v>1024.96</v>
      </c>
      <c r="D297">
        <v>1024.9100000000001</v>
      </c>
      <c r="E297">
        <v>1024.8699999999999</v>
      </c>
      <c r="F297">
        <v>1024.82</v>
      </c>
      <c r="G297">
        <v>1024.78</v>
      </c>
      <c r="H297">
        <v>1024.73</v>
      </c>
      <c r="I297">
        <v>1024.68</v>
      </c>
      <c r="J297">
        <v>1024.6400000000001</v>
      </c>
      <c r="K297">
        <v>1024.5899999999999</v>
      </c>
      <c r="L297">
        <v>1024.55</v>
      </c>
    </row>
    <row r="298" spans="1:12" x14ac:dyDescent="0.15">
      <c r="A298">
        <v>1465</v>
      </c>
      <c r="B298">
        <v>1025.08</v>
      </c>
      <c r="C298">
        <v>1025.03</v>
      </c>
      <c r="D298">
        <v>1024.99</v>
      </c>
      <c r="E298">
        <v>1024.94</v>
      </c>
      <c r="F298">
        <v>1024.9000000000001</v>
      </c>
      <c r="G298">
        <v>1024.8499999999999</v>
      </c>
      <c r="H298">
        <v>1024.81</v>
      </c>
      <c r="I298">
        <v>1024.76</v>
      </c>
      <c r="J298">
        <v>1024.72</v>
      </c>
      <c r="K298">
        <v>1024.67</v>
      </c>
      <c r="L298">
        <v>1024.6199999999999</v>
      </c>
    </row>
    <row r="299" spans="1:12" x14ac:dyDescent="0.15">
      <c r="A299">
        <v>1470</v>
      </c>
      <c r="B299">
        <v>1025.1600000000001</v>
      </c>
      <c r="C299">
        <v>1025.1099999999999</v>
      </c>
      <c r="D299">
        <v>1025.07</v>
      </c>
      <c r="E299">
        <v>1025.02</v>
      </c>
      <c r="F299">
        <v>1024.97</v>
      </c>
      <c r="G299">
        <v>1024.93</v>
      </c>
      <c r="H299">
        <v>1024.8800000000001</v>
      </c>
      <c r="I299">
        <v>1024.8399999999999</v>
      </c>
      <c r="J299">
        <v>1024.79</v>
      </c>
      <c r="K299">
        <v>1024.75</v>
      </c>
      <c r="L299">
        <v>1024.7</v>
      </c>
    </row>
    <row r="300" spans="1:12" x14ac:dyDescent="0.15">
      <c r="A300">
        <v>1475</v>
      </c>
      <c r="B300">
        <v>1025.22</v>
      </c>
      <c r="C300">
        <v>1025.19</v>
      </c>
      <c r="D300">
        <v>1025.1400000000001</v>
      </c>
      <c r="E300">
        <v>1025.0999999999999</v>
      </c>
      <c r="F300">
        <v>1025.05</v>
      </c>
      <c r="G300">
        <v>1025</v>
      </c>
      <c r="H300">
        <v>1024.96</v>
      </c>
      <c r="I300">
        <v>1024.9100000000001</v>
      </c>
      <c r="J300">
        <v>1024.8699999999999</v>
      </c>
      <c r="K300">
        <v>1024.82</v>
      </c>
      <c r="L300">
        <v>1024.78</v>
      </c>
    </row>
    <row r="301" spans="1:12" x14ac:dyDescent="0.15">
      <c r="A301">
        <v>1480</v>
      </c>
      <c r="B301">
        <v>1025.32</v>
      </c>
      <c r="C301">
        <v>1025.26</v>
      </c>
      <c r="D301">
        <v>1025.22</v>
      </c>
      <c r="E301">
        <v>1025.17</v>
      </c>
      <c r="F301">
        <v>1025.1300000000001</v>
      </c>
      <c r="G301">
        <v>1025.08</v>
      </c>
      <c r="H301">
        <v>1025.04</v>
      </c>
      <c r="I301">
        <v>1024.99</v>
      </c>
      <c r="J301">
        <v>1024.94</v>
      </c>
      <c r="K301">
        <v>1024.9000000000001</v>
      </c>
      <c r="L301">
        <v>1024.8499999999999</v>
      </c>
    </row>
    <row r="302" spans="1:12" x14ac:dyDescent="0.15">
      <c r="A302">
        <v>1485</v>
      </c>
      <c r="B302">
        <v>1025.47</v>
      </c>
      <c r="C302">
        <v>1025.3599999999999</v>
      </c>
      <c r="D302">
        <v>1025.29</v>
      </c>
      <c r="E302">
        <v>1025.25</v>
      </c>
      <c r="F302">
        <v>1025.2</v>
      </c>
      <c r="G302">
        <v>1025.1600000000001</v>
      </c>
      <c r="H302">
        <v>1025.1099999999999</v>
      </c>
      <c r="I302">
        <v>1025.07</v>
      </c>
      <c r="J302">
        <v>1025.02</v>
      </c>
      <c r="K302">
        <v>1024.97</v>
      </c>
      <c r="L302">
        <v>1024.93</v>
      </c>
    </row>
    <row r="303" spans="1:12" x14ac:dyDescent="0.15">
      <c r="A303">
        <v>1490</v>
      </c>
      <c r="B303">
        <v>1025.73</v>
      </c>
      <c r="C303">
        <v>1025.55</v>
      </c>
      <c r="D303">
        <v>1025.42</v>
      </c>
      <c r="E303">
        <v>1025.18</v>
      </c>
      <c r="F303">
        <v>1025.29</v>
      </c>
      <c r="G303">
        <v>1025.24</v>
      </c>
      <c r="H303">
        <v>1025.19</v>
      </c>
      <c r="I303">
        <v>1025.1500000000001</v>
      </c>
      <c r="J303">
        <v>1025.0999999999999</v>
      </c>
      <c r="K303">
        <v>1025.05</v>
      </c>
      <c r="L303">
        <v>1025.01</v>
      </c>
    </row>
    <row r="304" spans="1:12" x14ac:dyDescent="0.15">
      <c r="A304">
        <v>1495</v>
      </c>
      <c r="B304">
        <v>1026.0899999999999</v>
      </c>
      <c r="C304">
        <v>1025.8399999999999</v>
      </c>
      <c r="D304">
        <v>1025.6500000000001</v>
      </c>
      <c r="E304">
        <v>1025.51</v>
      </c>
      <c r="F304">
        <v>1025.25</v>
      </c>
      <c r="G304">
        <v>1025.3399999999999</v>
      </c>
      <c r="H304">
        <v>1025.3</v>
      </c>
      <c r="I304">
        <v>1025.25</v>
      </c>
      <c r="J304">
        <v>1025.2</v>
      </c>
      <c r="K304">
        <v>1025.1500000000001</v>
      </c>
      <c r="L304">
        <v>1025.0999999999999</v>
      </c>
    </row>
    <row r="305" spans="1:12" x14ac:dyDescent="0.15">
      <c r="A305">
        <v>1500</v>
      </c>
      <c r="B305">
        <v>1026.56</v>
      </c>
      <c r="C305">
        <v>1026.25</v>
      </c>
      <c r="D305">
        <v>1025.99</v>
      </c>
      <c r="E305">
        <v>1025.79</v>
      </c>
      <c r="F305">
        <v>1025.6300000000001</v>
      </c>
      <c r="G305">
        <v>1025.3900000000001</v>
      </c>
      <c r="H305">
        <v>1025.44</v>
      </c>
      <c r="I305">
        <v>1025.3699999999999</v>
      </c>
      <c r="J305">
        <v>1025.32</v>
      </c>
      <c r="K305">
        <v>1025.27</v>
      </c>
      <c r="L305">
        <v>1025.21</v>
      </c>
    </row>
    <row r="306" spans="1:12" x14ac:dyDescent="0.15">
      <c r="A306">
        <v>1505</v>
      </c>
      <c r="B306">
        <v>1027.1400000000001</v>
      </c>
      <c r="C306">
        <v>1026.77</v>
      </c>
      <c r="D306">
        <v>1026.44</v>
      </c>
      <c r="E306">
        <v>1026.18</v>
      </c>
      <c r="F306">
        <v>1025.96</v>
      </c>
      <c r="G306">
        <v>1025.79</v>
      </c>
      <c r="H306">
        <v>1025.54</v>
      </c>
      <c r="I306">
        <v>1025.57</v>
      </c>
      <c r="J306">
        <v>1025.49</v>
      </c>
      <c r="K306">
        <v>1025.42</v>
      </c>
      <c r="L306">
        <v>1025.3699999999999</v>
      </c>
    </row>
    <row r="307" spans="1:12" x14ac:dyDescent="0.15">
      <c r="A307">
        <v>1510</v>
      </c>
      <c r="B307">
        <v>1027.83</v>
      </c>
      <c r="C307">
        <v>1027.3900000000001</v>
      </c>
      <c r="D307">
        <v>1027.01</v>
      </c>
      <c r="E307">
        <v>1026.68</v>
      </c>
      <c r="F307">
        <v>1026.3900000000001</v>
      </c>
      <c r="G307">
        <v>1026.1600000000001</v>
      </c>
      <c r="H307">
        <v>1025.97</v>
      </c>
      <c r="I307">
        <v>1025.72</v>
      </c>
      <c r="J307">
        <v>1025.72</v>
      </c>
      <c r="K307">
        <v>1025.6400000000001</v>
      </c>
      <c r="L307">
        <v>1025.55</v>
      </c>
    </row>
    <row r="308" spans="1:12" x14ac:dyDescent="0.15">
      <c r="A308">
        <v>1515</v>
      </c>
      <c r="B308">
        <v>1028.6199999999999</v>
      </c>
      <c r="C308">
        <v>1028.1300000000001</v>
      </c>
      <c r="D308">
        <v>1027.68</v>
      </c>
      <c r="E308">
        <v>1027.29</v>
      </c>
      <c r="F308">
        <v>1026.94</v>
      </c>
      <c r="G308">
        <v>1026.6400000000001</v>
      </c>
      <c r="H308">
        <v>1026.3900000000001</v>
      </c>
      <c r="I308">
        <v>1026.19</v>
      </c>
      <c r="J308">
        <v>1025.93</v>
      </c>
      <c r="K308">
        <v>1025.9100000000001</v>
      </c>
      <c r="L308">
        <v>1025.81</v>
      </c>
    </row>
    <row r="309" spans="1:12" x14ac:dyDescent="0.15">
      <c r="A309">
        <v>1520</v>
      </c>
      <c r="B309">
        <v>1029.54</v>
      </c>
      <c r="C309">
        <v>1028.98</v>
      </c>
      <c r="D309">
        <v>1028.46</v>
      </c>
      <c r="E309">
        <v>1028.01</v>
      </c>
      <c r="F309">
        <v>1027.5999999999999</v>
      </c>
      <c r="G309">
        <v>1027.23</v>
      </c>
      <c r="H309">
        <v>1026.92</v>
      </c>
      <c r="I309">
        <v>1026.6600000000001</v>
      </c>
      <c r="J309">
        <v>1026.44</v>
      </c>
      <c r="K309">
        <v>1026.17</v>
      </c>
      <c r="L309">
        <v>1026.0999999999999</v>
      </c>
    </row>
    <row r="310" spans="1:12" x14ac:dyDescent="0.15">
      <c r="A310">
        <v>1525</v>
      </c>
      <c r="B310">
        <v>1030.55</v>
      </c>
      <c r="C310">
        <v>1029.93</v>
      </c>
      <c r="D310">
        <v>1029.3599999999999</v>
      </c>
      <c r="E310">
        <v>1028.8399999999999</v>
      </c>
      <c r="F310">
        <v>1028.3599999999999</v>
      </c>
      <c r="G310">
        <v>1027.94</v>
      </c>
      <c r="H310">
        <v>1027.56</v>
      </c>
      <c r="I310">
        <v>1027.23</v>
      </c>
      <c r="J310">
        <v>1026.96</v>
      </c>
      <c r="K310">
        <v>1026.73</v>
      </c>
      <c r="L310">
        <v>1026.44</v>
      </c>
    </row>
    <row r="311" spans="1:12" x14ac:dyDescent="0.15">
      <c r="A311">
        <v>1530</v>
      </c>
      <c r="B311">
        <v>1031.69</v>
      </c>
      <c r="C311">
        <v>1031</v>
      </c>
      <c r="D311">
        <v>1030.3599999999999</v>
      </c>
      <c r="E311">
        <v>1029.78</v>
      </c>
      <c r="F311">
        <v>1029.24</v>
      </c>
      <c r="G311">
        <v>1028.75</v>
      </c>
      <c r="H311">
        <v>1028.31</v>
      </c>
      <c r="I311">
        <v>1027.92</v>
      </c>
      <c r="J311">
        <v>1027.58</v>
      </c>
      <c r="K311">
        <v>1027.29</v>
      </c>
      <c r="L311">
        <v>1027.04</v>
      </c>
    </row>
    <row r="312" spans="1:12" x14ac:dyDescent="0.15">
      <c r="A312">
        <v>1535</v>
      </c>
      <c r="B312">
        <v>1032.93</v>
      </c>
      <c r="C312">
        <v>1032.18</v>
      </c>
      <c r="D312">
        <v>1031.47</v>
      </c>
      <c r="E312">
        <v>1030.83</v>
      </c>
      <c r="F312">
        <v>1030.22</v>
      </c>
      <c r="G312">
        <v>1029.67</v>
      </c>
      <c r="H312">
        <v>1029.17</v>
      </c>
      <c r="I312">
        <v>1028.71</v>
      </c>
      <c r="J312">
        <v>1028.31</v>
      </c>
      <c r="K312">
        <v>1027.95</v>
      </c>
      <c r="L312">
        <v>1027.6500000000001</v>
      </c>
    </row>
    <row r="313" spans="1:12" x14ac:dyDescent="0.15">
      <c r="A313">
        <v>1540</v>
      </c>
      <c r="B313">
        <v>1034.29</v>
      </c>
      <c r="C313">
        <v>1033.47</v>
      </c>
      <c r="D313">
        <v>1032.7</v>
      </c>
      <c r="E313">
        <v>1031.99</v>
      </c>
      <c r="F313">
        <v>1031.32</v>
      </c>
      <c r="G313">
        <v>1030.7</v>
      </c>
      <c r="H313">
        <v>1030.1400000000001</v>
      </c>
      <c r="I313">
        <v>1029.6199999999999</v>
      </c>
      <c r="J313">
        <v>1029.1500000000001</v>
      </c>
      <c r="K313">
        <v>1028.73</v>
      </c>
      <c r="L313">
        <v>1028.3599999999999</v>
      </c>
    </row>
    <row r="314" spans="1:12" x14ac:dyDescent="0.15">
      <c r="A314">
        <v>1545</v>
      </c>
      <c r="B314">
        <v>1035.77</v>
      </c>
      <c r="C314">
        <v>1034.8800000000001</v>
      </c>
      <c r="D314">
        <v>1034.04</v>
      </c>
      <c r="E314">
        <v>1033.26</v>
      </c>
      <c r="F314">
        <v>1032.53</v>
      </c>
      <c r="G314">
        <v>1031.8499999999999</v>
      </c>
      <c r="H314">
        <v>1031.22</v>
      </c>
      <c r="I314">
        <v>1030.6400000000001</v>
      </c>
      <c r="J314">
        <v>1030.1099999999999</v>
      </c>
      <c r="K314">
        <v>1029.6199999999999</v>
      </c>
      <c r="L314">
        <v>1029.19</v>
      </c>
    </row>
    <row r="315" spans="1:12" x14ac:dyDescent="0.15">
      <c r="A315">
        <v>1550</v>
      </c>
      <c r="B315">
        <v>1037.3599999999999</v>
      </c>
      <c r="C315">
        <v>1036.4000000000001</v>
      </c>
      <c r="D315">
        <v>1035.5</v>
      </c>
      <c r="E315">
        <v>1034.6500000000001</v>
      </c>
      <c r="F315">
        <v>1033.8499999999999</v>
      </c>
      <c r="G315">
        <v>1033.1099999999999</v>
      </c>
      <c r="H315">
        <v>1032.42</v>
      </c>
      <c r="I315">
        <v>1031.77</v>
      </c>
      <c r="J315">
        <v>1031.18</v>
      </c>
      <c r="K315">
        <v>1030.6300000000001</v>
      </c>
      <c r="L315">
        <v>1030.1300000000001</v>
      </c>
    </row>
    <row r="316" spans="1:12" x14ac:dyDescent="0.15">
      <c r="A316">
        <v>1555</v>
      </c>
      <c r="B316">
        <v>1039.07</v>
      </c>
      <c r="C316">
        <v>1038.05</v>
      </c>
      <c r="D316">
        <v>1037.07</v>
      </c>
      <c r="E316">
        <v>1036.1600000000001</v>
      </c>
      <c r="F316">
        <v>1035.29</v>
      </c>
      <c r="G316">
        <v>1034.48</v>
      </c>
      <c r="H316">
        <v>1033.73</v>
      </c>
      <c r="I316">
        <v>1033.02</v>
      </c>
      <c r="J316">
        <v>1032.3599999999999</v>
      </c>
      <c r="K316">
        <v>1031.75</v>
      </c>
      <c r="L316">
        <v>1031.19</v>
      </c>
    </row>
    <row r="317" spans="1:12" x14ac:dyDescent="0.15">
      <c r="A317">
        <v>1560</v>
      </c>
      <c r="B317">
        <v>1040.9000000000001</v>
      </c>
      <c r="C317">
        <v>1039.81</v>
      </c>
      <c r="D317">
        <v>1038.77</v>
      </c>
      <c r="E317">
        <v>1037.78</v>
      </c>
      <c r="F317">
        <v>1036.8499999999999</v>
      </c>
      <c r="G317">
        <v>1035.97</v>
      </c>
      <c r="H317">
        <v>1035.1500000000001</v>
      </c>
      <c r="I317">
        <v>1034.3800000000001</v>
      </c>
      <c r="J317">
        <v>1033.6500000000001</v>
      </c>
      <c r="K317">
        <v>1032.98</v>
      </c>
      <c r="L317">
        <v>1032.3499999999999</v>
      </c>
    </row>
    <row r="318" spans="1:12" x14ac:dyDescent="0.15">
      <c r="A318">
        <v>1565</v>
      </c>
      <c r="B318">
        <v>1042.8499999999999</v>
      </c>
      <c r="C318">
        <v>1041.69</v>
      </c>
      <c r="D318">
        <v>1040.58</v>
      </c>
      <c r="E318">
        <v>1039.53</v>
      </c>
      <c r="F318">
        <v>1038.53</v>
      </c>
      <c r="G318">
        <v>1037.58</v>
      </c>
      <c r="H318">
        <v>1036.69</v>
      </c>
      <c r="I318">
        <v>1035.8499999999999</v>
      </c>
      <c r="J318">
        <v>1035.06</v>
      </c>
      <c r="K318">
        <v>1034.33</v>
      </c>
      <c r="L318">
        <v>1033.6400000000001</v>
      </c>
    </row>
    <row r="319" spans="1:12" x14ac:dyDescent="0.15">
      <c r="A319">
        <v>1570</v>
      </c>
      <c r="B319">
        <v>1044.9100000000001</v>
      </c>
      <c r="C319">
        <v>1043.68</v>
      </c>
      <c r="D319">
        <v>1042.51</v>
      </c>
      <c r="E319">
        <v>1041.3900000000001</v>
      </c>
      <c r="F319">
        <v>1040.32</v>
      </c>
      <c r="G319">
        <v>1039.3</v>
      </c>
      <c r="H319">
        <v>1038.3399999999999</v>
      </c>
      <c r="I319">
        <v>1037.44</v>
      </c>
      <c r="J319">
        <v>1036.5899999999999</v>
      </c>
      <c r="K319">
        <v>1035.79</v>
      </c>
      <c r="L319">
        <v>1035.03</v>
      </c>
    </row>
    <row r="320" spans="1:12" x14ac:dyDescent="0.15">
      <c r="A320">
        <v>1575</v>
      </c>
      <c r="B320">
        <v>1047.0999999999999</v>
      </c>
      <c r="C320">
        <v>1045.8</v>
      </c>
      <c r="D320">
        <v>1044.55</v>
      </c>
      <c r="E320">
        <v>1043.3599999999999</v>
      </c>
      <c r="F320">
        <v>1042.23</v>
      </c>
      <c r="G320">
        <v>1041.1500000000001</v>
      </c>
      <c r="H320">
        <v>1040.1199999999999</v>
      </c>
      <c r="I320">
        <v>1039.1400000000001</v>
      </c>
      <c r="J320">
        <v>1038.23</v>
      </c>
      <c r="K320">
        <v>1037.3599999999999</v>
      </c>
      <c r="L320">
        <v>1036.54</v>
      </c>
    </row>
    <row r="321" spans="1:12" x14ac:dyDescent="0.15">
      <c r="A321">
        <v>1580</v>
      </c>
      <c r="B321">
        <v>1049.3900000000001</v>
      </c>
      <c r="C321">
        <v>1048.03</v>
      </c>
      <c r="D321">
        <v>1046.71</v>
      </c>
      <c r="E321">
        <v>1045.46</v>
      </c>
      <c r="F321">
        <v>1044.26</v>
      </c>
      <c r="G321">
        <v>1043.1099999999999</v>
      </c>
      <c r="H321">
        <v>1042.01</v>
      </c>
      <c r="I321">
        <v>1040.97</v>
      </c>
      <c r="J321">
        <v>1039.98</v>
      </c>
      <c r="K321">
        <v>1039.05</v>
      </c>
      <c r="L321">
        <v>1038.17</v>
      </c>
    </row>
    <row r="322" spans="1:12" x14ac:dyDescent="0.15">
      <c r="A322">
        <v>1585</v>
      </c>
      <c r="B322">
        <v>1051.81</v>
      </c>
      <c r="C322">
        <v>1050.3800000000001</v>
      </c>
      <c r="D322">
        <v>1048.99</v>
      </c>
      <c r="E322">
        <v>1047.67</v>
      </c>
      <c r="F322">
        <v>1046.4000000000001</v>
      </c>
      <c r="G322">
        <v>1045.18</v>
      </c>
      <c r="H322">
        <v>1044.02</v>
      </c>
      <c r="I322">
        <v>1042.9100000000001</v>
      </c>
      <c r="J322">
        <v>1041.8499999999999</v>
      </c>
      <c r="K322">
        <v>1040.8499999999999</v>
      </c>
      <c r="L322">
        <v>1039.9000000000001</v>
      </c>
    </row>
    <row r="323" spans="1:12" x14ac:dyDescent="0.15">
      <c r="A323">
        <v>1590</v>
      </c>
      <c r="B323">
        <v>1054.3399999999999</v>
      </c>
      <c r="C323">
        <v>1052.8399999999999</v>
      </c>
      <c r="D323">
        <v>1051.3900000000001</v>
      </c>
      <c r="E323">
        <v>1050</v>
      </c>
      <c r="F323">
        <v>1048.6600000000001</v>
      </c>
      <c r="G323">
        <v>1047.3800000000001</v>
      </c>
      <c r="H323">
        <v>1046.1400000000001</v>
      </c>
      <c r="I323">
        <v>1044.97</v>
      </c>
      <c r="J323">
        <v>1043.8399999999999</v>
      </c>
      <c r="K323">
        <v>1042.77</v>
      </c>
      <c r="L323">
        <v>1041.76</v>
      </c>
    </row>
    <row r="324" spans="1:12" x14ac:dyDescent="0.15">
      <c r="A324">
        <v>1595</v>
      </c>
      <c r="B324">
        <v>1056.99</v>
      </c>
      <c r="C324">
        <v>1055.43</v>
      </c>
      <c r="D324">
        <v>1053.9100000000001</v>
      </c>
      <c r="E324">
        <v>1052.45</v>
      </c>
      <c r="F324">
        <v>1051.04</v>
      </c>
      <c r="G324">
        <v>1049.69</v>
      </c>
      <c r="H324">
        <v>1048.3900000000001</v>
      </c>
      <c r="I324">
        <v>1047.1400000000001</v>
      </c>
      <c r="J324">
        <v>1045.95</v>
      </c>
      <c r="K324">
        <v>1044.81</v>
      </c>
      <c r="L324">
        <v>1043.73</v>
      </c>
    </row>
    <row r="325" spans="1:12" x14ac:dyDescent="0.15">
      <c r="A325">
        <v>1600</v>
      </c>
      <c r="B325">
        <v>1059.76</v>
      </c>
      <c r="C325">
        <v>1058.1300000000001</v>
      </c>
      <c r="D325">
        <v>1056.54</v>
      </c>
      <c r="E325">
        <v>1055.01</v>
      </c>
      <c r="F325">
        <v>1053.54</v>
      </c>
      <c r="G325">
        <v>1052.1199999999999</v>
      </c>
      <c r="H325">
        <v>1050.75</v>
      </c>
      <c r="I325">
        <v>1049.44</v>
      </c>
      <c r="J325">
        <v>1048.18</v>
      </c>
      <c r="K325">
        <v>1046.97</v>
      </c>
      <c r="L325">
        <v>1045.82</v>
      </c>
    </row>
    <row r="326" spans="1:12" x14ac:dyDescent="0.15">
      <c r="A326">
        <v>1605</v>
      </c>
      <c r="B326">
        <v>1062.6500000000001</v>
      </c>
      <c r="C326">
        <v>1060.95</v>
      </c>
      <c r="D326">
        <v>1059.29</v>
      </c>
      <c r="E326">
        <v>1057.7</v>
      </c>
      <c r="F326">
        <v>1056.1500000000001</v>
      </c>
      <c r="G326">
        <v>1054.6600000000001</v>
      </c>
      <c r="H326">
        <v>1053.23</v>
      </c>
      <c r="I326">
        <v>1051.8499999999999</v>
      </c>
      <c r="J326">
        <v>1050.52</v>
      </c>
      <c r="K326">
        <v>1049.25</v>
      </c>
      <c r="L326">
        <v>1048.03</v>
      </c>
    </row>
    <row r="327" spans="1:12" x14ac:dyDescent="0.15">
      <c r="A327">
        <v>1610</v>
      </c>
      <c r="B327">
        <v>1065.6500000000001</v>
      </c>
      <c r="C327">
        <v>1063.8800000000001</v>
      </c>
      <c r="D327">
        <v>1062.1600000000001</v>
      </c>
      <c r="E327">
        <v>1060.5</v>
      </c>
      <c r="F327">
        <v>1058.8800000000001</v>
      </c>
      <c r="G327">
        <v>1057.33</v>
      </c>
      <c r="H327">
        <v>1055.82</v>
      </c>
      <c r="I327">
        <v>1054.3800000000001</v>
      </c>
      <c r="J327">
        <v>1052.98</v>
      </c>
      <c r="K327">
        <v>1051.6400000000001</v>
      </c>
      <c r="L327">
        <v>1050.3499999999999</v>
      </c>
    </row>
    <row r="328" spans="1:12" x14ac:dyDescent="0.15">
      <c r="A328">
        <v>1615</v>
      </c>
      <c r="B328">
        <v>1068.77</v>
      </c>
      <c r="C328">
        <v>1066.93</v>
      </c>
      <c r="D328">
        <v>1065.1400000000001</v>
      </c>
      <c r="E328">
        <v>1063.4100000000001</v>
      </c>
      <c r="F328">
        <v>1061.73</v>
      </c>
      <c r="G328">
        <v>1060.1099999999999</v>
      </c>
      <c r="H328">
        <v>1058.54</v>
      </c>
      <c r="I328">
        <v>1057.02</v>
      </c>
      <c r="J328">
        <v>1055.56</v>
      </c>
      <c r="K328">
        <v>1054.1500000000001</v>
      </c>
      <c r="L328">
        <v>1052.79</v>
      </c>
    </row>
    <row r="329" spans="1:12" x14ac:dyDescent="0.15">
      <c r="A329">
        <v>1620</v>
      </c>
      <c r="B329">
        <v>1072.01</v>
      </c>
      <c r="C329">
        <v>1070.0999999999999</v>
      </c>
      <c r="D329">
        <v>1068.25</v>
      </c>
      <c r="E329">
        <v>1066.45</v>
      </c>
      <c r="F329">
        <v>1064.7</v>
      </c>
      <c r="G329">
        <v>1063.01</v>
      </c>
      <c r="H329">
        <v>1061.3699999999999</v>
      </c>
      <c r="I329">
        <v>1059.78</v>
      </c>
      <c r="J329">
        <v>1058.25</v>
      </c>
      <c r="K329">
        <v>1056.78</v>
      </c>
      <c r="L329">
        <v>1055.3499999999999</v>
      </c>
    </row>
    <row r="330" spans="1:12" x14ac:dyDescent="0.15">
      <c r="A330">
        <v>1625</v>
      </c>
      <c r="B330">
        <v>1075.3699999999999</v>
      </c>
      <c r="C330">
        <v>1073.3900000000001</v>
      </c>
      <c r="D330">
        <v>1071.46</v>
      </c>
      <c r="E330">
        <v>1069.5999999999999</v>
      </c>
      <c r="F330">
        <v>1067.78</v>
      </c>
      <c r="G330">
        <v>1066.02</v>
      </c>
      <c r="H330">
        <v>1064.32</v>
      </c>
      <c r="I330">
        <v>1062.6600000000001</v>
      </c>
      <c r="J330">
        <v>1061.06</v>
      </c>
      <c r="K330">
        <v>1059.52</v>
      </c>
      <c r="L330">
        <v>1058.03</v>
      </c>
    </row>
    <row r="331" spans="1:12" x14ac:dyDescent="0.15">
      <c r="A331">
        <v>1630</v>
      </c>
      <c r="B331">
        <v>1078.8399999999999</v>
      </c>
      <c r="C331">
        <v>1076.8</v>
      </c>
      <c r="D331">
        <v>1074.8</v>
      </c>
      <c r="E331">
        <v>1072.8699999999999</v>
      </c>
      <c r="F331">
        <v>1070.99</v>
      </c>
      <c r="G331">
        <v>1069.1600000000001</v>
      </c>
      <c r="H331">
        <v>1067.3800000000001</v>
      </c>
      <c r="I331">
        <v>1065.6600000000001</v>
      </c>
      <c r="J331">
        <v>1063.99</v>
      </c>
      <c r="K331">
        <v>1062.3800000000001</v>
      </c>
      <c r="L331">
        <v>1060.82</v>
      </c>
    </row>
    <row r="332" spans="1:12" x14ac:dyDescent="0.15">
      <c r="A332">
        <v>1635</v>
      </c>
      <c r="B332">
        <v>1082.43</v>
      </c>
      <c r="C332">
        <v>1080.32</v>
      </c>
      <c r="D332">
        <v>1078.26</v>
      </c>
      <c r="E332">
        <v>1076.26</v>
      </c>
      <c r="F332">
        <v>1074.3</v>
      </c>
      <c r="G332">
        <v>1072.4100000000001</v>
      </c>
      <c r="H332">
        <v>1070.56</v>
      </c>
      <c r="I332">
        <v>1068.78</v>
      </c>
      <c r="J332">
        <v>1067.04</v>
      </c>
      <c r="K332">
        <v>1065.3599999999999</v>
      </c>
      <c r="L332">
        <v>1063.73</v>
      </c>
    </row>
    <row r="333" spans="1:12" x14ac:dyDescent="0.15">
      <c r="A333">
        <v>1640</v>
      </c>
      <c r="B333">
        <v>1086.1400000000001</v>
      </c>
      <c r="C333">
        <v>1083.96</v>
      </c>
      <c r="D333">
        <v>1081.83</v>
      </c>
      <c r="E333">
        <v>1079.76</v>
      </c>
      <c r="F333">
        <v>1077.74</v>
      </c>
      <c r="G333">
        <v>1075.78</v>
      </c>
      <c r="H333">
        <v>1073.8699999999999</v>
      </c>
      <c r="I333">
        <v>1072.01</v>
      </c>
      <c r="J333">
        <v>1070.21</v>
      </c>
      <c r="K333">
        <v>1068.46</v>
      </c>
      <c r="L333">
        <v>1066.76</v>
      </c>
    </row>
    <row r="334" spans="1:12" x14ac:dyDescent="0.15">
      <c r="A334">
        <v>1645</v>
      </c>
      <c r="B334">
        <v>1089.96</v>
      </c>
      <c r="C334">
        <v>1087.72</v>
      </c>
      <c r="D334">
        <v>1085.52</v>
      </c>
      <c r="E334">
        <v>1083.3800000000001</v>
      </c>
      <c r="F334">
        <v>1081.29</v>
      </c>
      <c r="G334">
        <v>1079.26</v>
      </c>
      <c r="H334">
        <v>1077.28</v>
      </c>
      <c r="I334">
        <v>1075.3599999999999</v>
      </c>
      <c r="J334">
        <v>1073.49</v>
      </c>
      <c r="K334">
        <v>1071.67</v>
      </c>
      <c r="L334">
        <v>1069.9100000000001</v>
      </c>
    </row>
    <row r="335" spans="1:12" x14ac:dyDescent="0.15">
      <c r="A335">
        <v>1650</v>
      </c>
      <c r="B335">
        <v>1093.9100000000001</v>
      </c>
      <c r="C335">
        <v>1091.5899999999999</v>
      </c>
      <c r="D335">
        <v>1089.33</v>
      </c>
      <c r="E335">
        <v>1087.1199999999999</v>
      </c>
      <c r="F335">
        <v>1084.97</v>
      </c>
      <c r="G335">
        <v>1082.8699999999999</v>
      </c>
      <c r="H335">
        <v>1080.82</v>
      </c>
      <c r="I335">
        <v>1078.83</v>
      </c>
      <c r="J335">
        <v>1076.8900000000001</v>
      </c>
      <c r="K335">
        <v>1075</v>
      </c>
      <c r="L335">
        <v>1073.17</v>
      </c>
    </row>
    <row r="336" spans="1:12" x14ac:dyDescent="0.15">
      <c r="A336">
        <v>1655</v>
      </c>
      <c r="B336">
        <v>1097.97</v>
      </c>
      <c r="C336">
        <v>1095.58</v>
      </c>
      <c r="D336">
        <v>1093.25</v>
      </c>
      <c r="E336">
        <v>1090.98</v>
      </c>
      <c r="F336">
        <v>1088.75</v>
      </c>
      <c r="G336">
        <v>1086.5899999999999</v>
      </c>
      <c r="H336">
        <v>1084.47</v>
      </c>
      <c r="I336">
        <v>1082.4100000000001</v>
      </c>
      <c r="J336">
        <v>1080.4100000000001</v>
      </c>
      <c r="K336">
        <v>1078.45</v>
      </c>
      <c r="L336">
        <v>1076.55</v>
      </c>
    </row>
    <row r="337" spans="1:12" x14ac:dyDescent="0.15">
      <c r="A337">
        <v>1660</v>
      </c>
      <c r="B337">
        <v>1102.1400000000001</v>
      </c>
      <c r="C337">
        <v>1099.69</v>
      </c>
      <c r="D337">
        <v>1097.29</v>
      </c>
      <c r="E337">
        <v>1094.95</v>
      </c>
      <c r="F337">
        <v>1092.6600000000001</v>
      </c>
      <c r="G337">
        <v>1090.42</v>
      </c>
      <c r="H337">
        <v>1088.24</v>
      </c>
      <c r="I337">
        <v>1086.1099999999999</v>
      </c>
      <c r="J337">
        <v>1084.04</v>
      </c>
      <c r="K337">
        <v>1082.02</v>
      </c>
      <c r="L337">
        <v>1080.05</v>
      </c>
    </row>
    <row r="338" spans="1:12" x14ac:dyDescent="0.15">
      <c r="A338">
        <v>1665</v>
      </c>
      <c r="B338">
        <v>1106.44</v>
      </c>
      <c r="C338">
        <v>1103.92</v>
      </c>
      <c r="D338">
        <v>1101.45</v>
      </c>
      <c r="E338">
        <v>1099.04</v>
      </c>
      <c r="F338">
        <v>1096.68</v>
      </c>
      <c r="G338">
        <v>1094.3800000000001</v>
      </c>
      <c r="H338">
        <v>1092.1300000000001</v>
      </c>
      <c r="I338">
        <v>1089.93</v>
      </c>
      <c r="J338">
        <v>1087.79</v>
      </c>
      <c r="K338">
        <v>1085.7</v>
      </c>
      <c r="L338">
        <v>1083.67</v>
      </c>
    </row>
    <row r="339" spans="1:12" x14ac:dyDescent="0.15">
      <c r="A339">
        <v>1670</v>
      </c>
      <c r="B339">
        <v>1110.8499999999999</v>
      </c>
      <c r="C339">
        <v>1108.26</v>
      </c>
      <c r="D339">
        <v>1105.73</v>
      </c>
      <c r="E339">
        <v>1103.25</v>
      </c>
      <c r="F339">
        <v>1100.82</v>
      </c>
      <c r="G339">
        <v>1098.45</v>
      </c>
      <c r="H339">
        <v>1096.1300000000001</v>
      </c>
      <c r="I339">
        <v>1093.8699999999999</v>
      </c>
      <c r="J339">
        <v>1091.6600000000001</v>
      </c>
      <c r="K339">
        <v>1089.5</v>
      </c>
      <c r="L339">
        <v>1087.4000000000001</v>
      </c>
    </row>
    <row r="340" spans="1:12" x14ac:dyDescent="0.15">
      <c r="A340">
        <v>1675</v>
      </c>
      <c r="B340">
        <v>1115.3800000000001</v>
      </c>
      <c r="C340">
        <v>1112.73</v>
      </c>
      <c r="D340">
        <v>1110.1199999999999</v>
      </c>
      <c r="E340">
        <v>1107.58</v>
      </c>
      <c r="F340">
        <v>1105.08</v>
      </c>
      <c r="G340">
        <v>1102.6400000000001</v>
      </c>
      <c r="H340">
        <v>1100.26</v>
      </c>
      <c r="I340">
        <v>1097.92</v>
      </c>
      <c r="J340">
        <v>1095.6500000000001</v>
      </c>
      <c r="K340">
        <v>1093.42</v>
      </c>
      <c r="L340">
        <v>1091.25</v>
      </c>
    </row>
    <row r="341" spans="1:12" x14ac:dyDescent="0.15">
      <c r="A341">
        <v>1680</v>
      </c>
      <c r="B341">
        <v>1120.03</v>
      </c>
      <c r="C341">
        <v>1117.31</v>
      </c>
      <c r="D341">
        <v>1114.6300000000001</v>
      </c>
      <c r="E341">
        <v>1112.02</v>
      </c>
      <c r="F341">
        <v>1109.46</v>
      </c>
      <c r="G341">
        <v>1106.95</v>
      </c>
      <c r="H341">
        <v>1104.5</v>
      </c>
      <c r="I341">
        <v>1102.0999999999999</v>
      </c>
      <c r="J341">
        <v>1099.75</v>
      </c>
      <c r="K341">
        <v>1097.46</v>
      </c>
      <c r="L341">
        <v>1095.22</v>
      </c>
    </row>
    <row r="342" spans="1:12" x14ac:dyDescent="0.15">
      <c r="A342">
        <v>1685</v>
      </c>
      <c r="B342">
        <v>1124.79</v>
      </c>
      <c r="C342">
        <v>1122</v>
      </c>
      <c r="D342">
        <v>1119.26</v>
      </c>
      <c r="E342">
        <v>1116.58</v>
      </c>
      <c r="F342">
        <v>1113.95</v>
      </c>
      <c r="G342">
        <v>1111.3800000000001</v>
      </c>
      <c r="H342">
        <v>1108.8499999999999</v>
      </c>
      <c r="I342">
        <v>1106.3900000000001</v>
      </c>
      <c r="J342">
        <v>1103.97</v>
      </c>
      <c r="K342">
        <v>1101.6099999999999</v>
      </c>
      <c r="L342">
        <v>1099.31</v>
      </c>
    </row>
    <row r="343" spans="1:12" x14ac:dyDescent="0.15">
      <c r="A343">
        <v>1690</v>
      </c>
      <c r="B343">
        <v>1129.68</v>
      </c>
      <c r="C343">
        <v>1126.82</v>
      </c>
      <c r="D343">
        <v>1124.01</v>
      </c>
      <c r="E343">
        <v>1121.26</v>
      </c>
      <c r="F343">
        <v>1118.56</v>
      </c>
      <c r="G343">
        <v>1115.92</v>
      </c>
      <c r="H343">
        <v>1113.33</v>
      </c>
      <c r="I343">
        <v>1110.79</v>
      </c>
      <c r="J343">
        <v>1108.31</v>
      </c>
      <c r="K343">
        <v>1105.8800000000001</v>
      </c>
      <c r="L343">
        <v>1103.51</v>
      </c>
    </row>
    <row r="344" spans="1:12" x14ac:dyDescent="0.15">
      <c r="A344">
        <v>1695</v>
      </c>
      <c r="B344">
        <v>1134.68</v>
      </c>
      <c r="C344">
        <v>1131.75</v>
      </c>
      <c r="D344">
        <v>1128.8699999999999</v>
      </c>
      <c r="E344">
        <v>1126.06</v>
      </c>
      <c r="F344">
        <v>1123.29</v>
      </c>
      <c r="G344">
        <v>1120.58</v>
      </c>
      <c r="H344">
        <v>1117.92</v>
      </c>
      <c r="I344">
        <v>1115.32</v>
      </c>
      <c r="J344">
        <v>1112.77</v>
      </c>
      <c r="K344">
        <v>1110.27</v>
      </c>
      <c r="L344">
        <v>1107.83</v>
      </c>
    </row>
    <row r="345" spans="1:12" x14ac:dyDescent="0.15">
      <c r="A345">
        <v>1700</v>
      </c>
      <c r="B345">
        <v>1139.79</v>
      </c>
      <c r="C345">
        <v>1136.8</v>
      </c>
      <c r="D345">
        <v>1133.8499999999999</v>
      </c>
      <c r="E345">
        <v>1130.97</v>
      </c>
      <c r="F345">
        <v>1128.1400000000001</v>
      </c>
      <c r="G345">
        <v>1125.3599999999999</v>
      </c>
      <c r="H345">
        <v>1122.6300000000001</v>
      </c>
      <c r="I345">
        <v>1119.96</v>
      </c>
      <c r="J345">
        <v>1117.3399999999999</v>
      </c>
      <c r="K345">
        <v>1114.78</v>
      </c>
      <c r="L345">
        <v>1112.27</v>
      </c>
    </row>
    <row r="346" spans="1:12" x14ac:dyDescent="0.15">
      <c r="A346">
        <v>1705</v>
      </c>
      <c r="B346">
        <v>1145.03</v>
      </c>
      <c r="C346">
        <v>1141.96</v>
      </c>
      <c r="D346">
        <v>1138.95</v>
      </c>
      <c r="E346">
        <v>1136</v>
      </c>
      <c r="F346">
        <v>1133.0999999999999</v>
      </c>
      <c r="G346">
        <v>1130.25</v>
      </c>
      <c r="H346">
        <v>1127.46</v>
      </c>
      <c r="I346">
        <v>1124.72</v>
      </c>
      <c r="J346">
        <v>1122.03</v>
      </c>
      <c r="K346">
        <v>1119.4000000000001</v>
      </c>
      <c r="L346">
        <v>1116.82</v>
      </c>
    </row>
    <row r="347" spans="1:12" x14ac:dyDescent="0.15">
      <c r="A347">
        <v>1710</v>
      </c>
      <c r="B347">
        <v>1150.3800000000001</v>
      </c>
      <c r="C347">
        <v>1147.25</v>
      </c>
      <c r="D347">
        <v>1144.17</v>
      </c>
      <c r="E347">
        <v>1141.1500000000001</v>
      </c>
      <c r="F347">
        <v>1138.18</v>
      </c>
      <c r="G347">
        <v>1135.26</v>
      </c>
      <c r="H347">
        <v>1132.4000000000001</v>
      </c>
      <c r="I347">
        <v>1129.5899999999999</v>
      </c>
      <c r="J347">
        <v>1126.8399999999999</v>
      </c>
      <c r="K347">
        <v>1124.1400000000001</v>
      </c>
      <c r="L347">
        <v>1121.5</v>
      </c>
    </row>
    <row r="348" spans="1:12" x14ac:dyDescent="0.15">
      <c r="A348">
        <v>1715</v>
      </c>
      <c r="B348">
        <v>1155.8499999999999</v>
      </c>
      <c r="C348">
        <v>1152.6500000000001</v>
      </c>
      <c r="D348">
        <v>1149.5</v>
      </c>
      <c r="E348">
        <v>1146.4100000000001</v>
      </c>
      <c r="F348">
        <v>1143.3800000000001</v>
      </c>
      <c r="G348">
        <v>1140.3900000000001</v>
      </c>
      <c r="H348">
        <v>1137.46</v>
      </c>
      <c r="I348">
        <v>1134.5899999999999</v>
      </c>
      <c r="J348">
        <v>1131.77</v>
      </c>
      <c r="K348">
        <v>1129</v>
      </c>
      <c r="L348">
        <v>1126.29</v>
      </c>
    </row>
    <row r="349" spans="1:12" x14ac:dyDescent="0.15">
      <c r="A349">
        <v>1720</v>
      </c>
      <c r="B349">
        <v>1161.44</v>
      </c>
      <c r="C349">
        <v>1158.17</v>
      </c>
      <c r="D349">
        <v>1154.95</v>
      </c>
      <c r="E349">
        <v>1151.8</v>
      </c>
      <c r="F349">
        <v>1148.69</v>
      </c>
      <c r="G349">
        <v>1145.6400000000001</v>
      </c>
      <c r="H349">
        <v>1142.6400000000001</v>
      </c>
      <c r="I349">
        <v>1139.7</v>
      </c>
      <c r="J349">
        <v>1136.81</v>
      </c>
      <c r="K349">
        <v>1133.98</v>
      </c>
      <c r="L349">
        <v>1131.2</v>
      </c>
    </row>
    <row r="350" spans="1:12" x14ac:dyDescent="0.15">
      <c r="A350">
        <v>1725</v>
      </c>
      <c r="B350">
        <v>1167.1400000000001</v>
      </c>
      <c r="C350">
        <v>1163.8</v>
      </c>
      <c r="D350">
        <v>1160.52</v>
      </c>
      <c r="E350">
        <v>1157.3</v>
      </c>
      <c r="F350">
        <v>1154.1199999999999</v>
      </c>
      <c r="G350">
        <v>1151</v>
      </c>
      <c r="H350">
        <v>1147.94</v>
      </c>
      <c r="I350">
        <v>1144.93</v>
      </c>
      <c r="J350">
        <v>1141.97</v>
      </c>
      <c r="K350">
        <v>1139.07</v>
      </c>
      <c r="L350">
        <v>1136.22</v>
      </c>
    </row>
    <row r="351" spans="1:12" x14ac:dyDescent="0.15">
      <c r="A351">
        <v>1730</v>
      </c>
      <c r="B351">
        <v>1172.96</v>
      </c>
      <c r="C351">
        <v>1169.56</v>
      </c>
      <c r="D351">
        <v>1166.21</v>
      </c>
      <c r="E351">
        <v>1162.9100000000001</v>
      </c>
      <c r="F351">
        <v>1159.67</v>
      </c>
      <c r="G351">
        <v>1156.49</v>
      </c>
      <c r="H351">
        <v>1153.3499999999999</v>
      </c>
      <c r="I351">
        <v>1150.28</v>
      </c>
      <c r="J351">
        <v>1147.25</v>
      </c>
      <c r="K351">
        <v>1144.28</v>
      </c>
      <c r="L351">
        <v>1141.3599999999999</v>
      </c>
    </row>
    <row r="352" spans="1:12" x14ac:dyDescent="0.15">
      <c r="A352">
        <v>1735</v>
      </c>
      <c r="B352">
        <v>1178.9000000000001</v>
      </c>
      <c r="C352">
        <v>1175.43</v>
      </c>
      <c r="D352">
        <v>1172.01</v>
      </c>
      <c r="E352">
        <v>1168.6500000000001</v>
      </c>
      <c r="F352">
        <v>1165.3399999999999</v>
      </c>
      <c r="G352">
        <v>1162.0899999999999</v>
      </c>
      <c r="H352">
        <v>1158.8900000000001</v>
      </c>
      <c r="I352">
        <v>1155.74</v>
      </c>
      <c r="J352">
        <v>1152.6500000000001</v>
      </c>
      <c r="K352">
        <v>1149.6099999999999</v>
      </c>
      <c r="L352">
        <v>1146.6199999999999</v>
      </c>
    </row>
    <row r="353" spans="1:12" x14ac:dyDescent="0.15">
      <c r="A353">
        <v>1740</v>
      </c>
      <c r="B353">
        <v>1184.96</v>
      </c>
      <c r="C353">
        <v>1181.42</v>
      </c>
      <c r="D353">
        <v>1177.93</v>
      </c>
      <c r="E353">
        <v>1174.5</v>
      </c>
      <c r="F353">
        <v>1171.1300000000001</v>
      </c>
      <c r="G353">
        <v>1167.8</v>
      </c>
      <c r="H353">
        <v>1164.53</v>
      </c>
      <c r="I353">
        <v>1161.32</v>
      </c>
      <c r="J353">
        <v>1158.1600000000001</v>
      </c>
      <c r="K353">
        <v>1155.05</v>
      </c>
      <c r="L353">
        <v>1152</v>
      </c>
    </row>
    <row r="354" spans="1:12" x14ac:dyDescent="0.15">
      <c r="A354">
        <v>1745</v>
      </c>
      <c r="B354">
        <v>1191.1300000000001</v>
      </c>
      <c r="C354">
        <v>1187.52</v>
      </c>
      <c r="D354">
        <v>1183.97</v>
      </c>
      <c r="E354">
        <v>1180.47</v>
      </c>
      <c r="F354">
        <v>1177.03</v>
      </c>
      <c r="G354">
        <v>1173.6400000000001</v>
      </c>
      <c r="H354">
        <v>1170.3</v>
      </c>
      <c r="I354">
        <v>1167.02</v>
      </c>
      <c r="J354">
        <v>1163.79</v>
      </c>
      <c r="K354">
        <v>1160.6199999999999</v>
      </c>
      <c r="L354">
        <v>1157.5</v>
      </c>
    </row>
    <row r="355" spans="1:12" x14ac:dyDescent="0.15">
      <c r="A355">
        <v>1750</v>
      </c>
      <c r="B355">
        <v>1197.42</v>
      </c>
      <c r="C355">
        <v>1193.75</v>
      </c>
      <c r="D355">
        <v>1190.1199999999999</v>
      </c>
      <c r="E355">
        <v>1186.56</v>
      </c>
      <c r="F355">
        <v>1183.05</v>
      </c>
      <c r="G355">
        <v>1179.5899999999999</v>
      </c>
      <c r="H355">
        <v>1176.19</v>
      </c>
      <c r="I355">
        <v>1172.83</v>
      </c>
      <c r="J355">
        <v>1169.54</v>
      </c>
      <c r="K355">
        <v>1166.3</v>
      </c>
      <c r="L355">
        <v>1163.1099999999999</v>
      </c>
    </row>
    <row r="356" spans="1:12" x14ac:dyDescent="0.15">
      <c r="A356">
        <v>1755</v>
      </c>
      <c r="B356">
        <v>1203.83</v>
      </c>
      <c r="C356">
        <v>1200.0899999999999</v>
      </c>
      <c r="D356">
        <v>1196.4000000000001</v>
      </c>
      <c r="E356">
        <v>1192.77</v>
      </c>
      <c r="F356">
        <v>1189.19</v>
      </c>
      <c r="G356">
        <v>1185.6600000000001</v>
      </c>
      <c r="H356">
        <v>1182.19</v>
      </c>
      <c r="I356">
        <v>1178.77</v>
      </c>
      <c r="J356">
        <v>1175.4000000000001</v>
      </c>
      <c r="K356">
        <v>1172.0899999999999</v>
      </c>
      <c r="L356">
        <v>1168.8399999999999</v>
      </c>
    </row>
    <row r="357" spans="1:12" x14ac:dyDescent="0.15">
      <c r="A357">
        <v>1760</v>
      </c>
      <c r="B357">
        <v>1210.3599999999999</v>
      </c>
      <c r="C357">
        <v>1206.55</v>
      </c>
      <c r="D357">
        <v>1202.79</v>
      </c>
      <c r="E357">
        <v>1199.0899999999999</v>
      </c>
      <c r="F357">
        <v>1195.44</v>
      </c>
      <c r="G357">
        <v>1191.8499999999999</v>
      </c>
      <c r="H357">
        <v>1188.31</v>
      </c>
      <c r="I357">
        <v>1184.82</v>
      </c>
      <c r="J357">
        <v>1181.3900000000001</v>
      </c>
      <c r="K357">
        <v>1178.01</v>
      </c>
      <c r="L357">
        <v>1174.68</v>
      </c>
    </row>
    <row r="358" spans="1:12" x14ac:dyDescent="0.15">
      <c r="A358">
        <v>1765</v>
      </c>
      <c r="B358">
        <v>1217</v>
      </c>
      <c r="C358">
        <v>1213.1199999999999</v>
      </c>
      <c r="D358">
        <v>1209.3</v>
      </c>
      <c r="E358">
        <v>1205.53</v>
      </c>
      <c r="F358">
        <v>1201.81</v>
      </c>
      <c r="G358">
        <v>1198.1500000000001</v>
      </c>
      <c r="H358">
        <v>1194.54</v>
      </c>
      <c r="I358">
        <v>1190.99</v>
      </c>
      <c r="J358">
        <v>1187.49</v>
      </c>
      <c r="K358">
        <v>1184.04</v>
      </c>
      <c r="L358">
        <v>1180.6500000000001</v>
      </c>
    </row>
    <row r="359" spans="1:12" x14ac:dyDescent="0.15">
      <c r="A359">
        <v>1770</v>
      </c>
      <c r="B359">
        <v>1223.76</v>
      </c>
      <c r="C359">
        <v>1219.82</v>
      </c>
      <c r="D359">
        <v>1215.92</v>
      </c>
      <c r="E359">
        <v>1212.0899999999999</v>
      </c>
      <c r="F359">
        <v>1208.3</v>
      </c>
      <c r="G359">
        <v>1204.57</v>
      </c>
      <c r="H359">
        <v>1200.8900000000001</v>
      </c>
      <c r="I359">
        <v>1197.27</v>
      </c>
      <c r="J359">
        <v>1193.7</v>
      </c>
      <c r="K359">
        <v>1190.19</v>
      </c>
      <c r="L359">
        <v>1186.73</v>
      </c>
    </row>
    <row r="360" spans="1:12" x14ac:dyDescent="0.15">
      <c r="A360">
        <v>1775</v>
      </c>
      <c r="B360">
        <v>1230.6400000000001</v>
      </c>
      <c r="C360">
        <v>1226.6300000000001</v>
      </c>
      <c r="D360">
        <v>1222.6600000000001</v>
      </c>
      <c r="E360">
        <v>1218.76</v>
      </c>
      <c r="F360">
        <v>1214.9100000000001</v>
      </c>
      <c r="G360">
        <v>1211.1099999999999</v>
      </c>
      <c r="H360">
        <v>1207.3699999999999</v>
      </c>
      <c r="I360">
        <v>1203.68</v>
      </c>
      <c r="J360">
        <v>1200.04</v>
      </c>
      <c r="K360">
        <v>1196.46</v>
      </c>
      <c r="L360">
        <v>1192.93</v>
      </c>
    </row>
    <row r="361" spans="1:12" x14ac:dyDescent="0.15">
      <c r="A361">
        <v>1780</v>
      </c>
      <c r="B361">
        <v>1237.6400000000001</v>
      </c>
      <c r="C361">
        <v>1233.55</v>
      </c>
      <c r="D361">
        <v>1229.52</v>
      </c>
      <c r="E361">
        <v>1225.55</v>
      </c>
      <c r="F361">
        <v>1221.6300000000001</v>
      </c>
      <c r="G361">
        <v>1217.77</v>
      </c>
      <c r="H361">
        <v>1213.95</v>
      </c>
      <c r="I361">
        <v>1210.2</v>
      </c>
      <c r="J361">
        <v>1206.49</v>
      </c>
      <c r="K361">
        <v>1202.8399999999999</v>
      </c>
      <c r="L361">
        <v>1199.25</v>
      </c>
    </row>
    <row r="362" spans="1:12" x14ac:dyDescent="0.15">
      <c r="A362">
        <v>1785</v>
      </c>
      <c r="B362">
        <v>1244.75</v>
      </c>
      <c r="C362">
        <v>1240.5999999999999</v>
      </c>
      <c r="D362">
        <v>1236.5</v>
      </c>
      <c r="E362">
        <v>1232.46</v>
      </c>
      <c r="F362">
        <v>1228.47</v>
      </c>
      <c r="G362">
        <v>1224.54</v>
      </c>
      <c r="H362">
        <v>1220.6600000000001</v>
      </c>
      <c r="I362">
        <v>1216.83</v>
      </c>
      <c r="J362">
        <v>1213.06</v>
      </c>
      <c r="K362">
        <v>1209.3399999999999</v>
      </c>
      <c r="L362">
        <v>1205.68</v>
      </c>
    </row>
    <row r="363" spans="1:12" x14ac:dyDescent="0.15">
      <c r="A363">
        <v>1790</v>
      </c>
      <c r="B363">
        <v>1251.98</v>
      </c>
      <c r="C363">
        <v>1247.76</v>
      </c>
      <c r="D363">
        <v>1243.5999999999999</v>
      </c>
      <c r="E363">
        <v>1239.49</v>
      </c>
      <c r="F363">
        <v>1235.43</v>
      </c>
      <c r="G363">
        <v>1231.43</v>
      </c>
      <c r="H363">
        <v>1227.48</v>
      </c>
      <c r="I363">
        <v>1223.5899999999999</v>
      </c>
      <c r="J363">
        <v>1219.75</v>
      </c>
      <c r="K363">
        <v>1215.96</v>
      </c>
      <c r="L363">
        <v>1212.23</v>
      </c>
    </row>
    <row r="364" spans="1:12" x14ac:dyDescent="0.15">
      <c r="A364">
        <v>1795</v>
      </c>
      <c r="B364">
        <v>1259.33</v>
      </c>
      <c r="C364">
        <v>1255.04</v>
      </c>
      <c r="D364">
        <v>1250.81</v>
      </c>
      <c r="E364">
        <v>1246.6300000000001</v>
      </c>
      <c r="F364">
        <v>1242.51</v>
      </c>
      <c r="G364">
        <v>1238.44</v>
      </c>
      <c r="H364">
        <v>1234.42</v>
      </c>
      <c r="I364">
        <v>1230.46</v>
      </c>
      <c r="J364">
        <v>1226.56</v>
      </c>
      <c r="K364">
        <v>1222.7</v>
      </c>
      <c r="L364">
        <v>1218.9000000000001</v>
      </c>
    </row>
    <row r="365" spans="1:12" x14ac:dyDescent="0.15">
      <c r="A365">
        <v>1800</v>
      </c>
      <c r="B365">
        <v>1266.79</v>
      </c>
      <c r="C365">
        <v>1262.44</v>
      </c>
      <c r="D365">
        <v>1258.1400000000001</v>
      </c>
      <c r="E365">
        <v>1253.8900000000001</v>
      </c>
      <c r="F365">
        <v>1249.7</v>
      </c>
      <c r="G365">
        <v>1245.57</v>
      </c>
      <c r="H365">
        <v>1241.48</v>
      </c>
      <c r="I365">
        <v>1237.45</v>
      </c>
      <c r="J365">
        <v>1233.48</v>
      </c>
      <c r="K365">
        <v>1229.56</v>
      </c>
      <c r="L365">
        <v>1225.69</v>
      </c>
    </row>
    <row r="366" spans="1:12" x14ac:dyDescent="0.15">
      <c r="A366">
        <v>1805</v>
      </c>
      <c r="B366">
        <v>1274.3800000000001</v>
      </c>
      <c r="C366">
        <v>1269.95</v>
      </c>
      <c r="D366">
        <v>1265.58</v>
      </c>
      <c r="E366">
        <v>1261.27</v>
      </c>
      <c r="F366">
        <v>1257.01</v>
      </c>
      <c r="G366">
        <v>1252.81</v>
      </c>
      <c r="H366">
        <v>1248.6600000000001</v>
      </c>
      <c r="I366">
        <v>1244.56</v>
      </c>
      <c r="J366">
        <v>1240.52</v>
      </c>
      <c r="K366">
        <v>1236.53</v>
      </c>
      <c r="L366">
        <v>1232.5899999999999</v>
      </c>
    </row>
    <row r="367" spans="1:12" x14ac:dyDescent="0.15">
      <c r="A367">
        <v>1810</v>
      </c>
      <c r="B367">
        <v>1282.08</v>
      </c>
      <c r="C367">
        <v>1277.5899999999999</v>
      </c>
      <c r="D367">
        <v>1273.1500000000001</v>
      </c>
      <c r="E367">
        <v>1268.77</v>
      </c>
      <c r="F367">
        <v>1264.44</v>
      </c>
      <c r="G367">
        <v>1260.17</v>
      </c>
      <c r="H367">
        <v>1255.95</v>
      </c>
      <c r="I367">
        <v>1251.79</v>
      </c>
      <c r="J367">
        <v>1247.67</v>
      </c>
      <c r="K367">
        <v>1243.6199999999999</v>
      </c>
      <c r="L367">
        <v>1239.6099999999999</v>
      </c>
    </row>
    <row r="368" spans="1:12" x14ac:dyDescent="0.15">
      <c r="A368">
        <v>1815</v>
      </c>
      <c r="B368">
        <v>1289.8900000000001</v>
      </c>
      <c r="C368">
        <v>1285.3399999999999</v>
      </c>
      <c r="D368">
        <v>1280.83</v>
      </c>
      <c r="E368">
        <v>1276.3800000000001</v>
      </c>
      <c r="F368">
        <v>1271.99</v>
      </c>
      <c r="G368">
        <v>1267.6500000000001</v>
      </c>
      <c r="H368">
        <v>1263.3599999999999</v>
      </c>
      <c r="I368">
        <v>1259.1300000000001</v>
      </c>
      <c r="J368">
        <v>1254.95</v>
      </c>
      <c r="K368">
        <v>1250.82</v>
      </c>
      <c r="L368">
        <v>1246.75</v>
      </c>
    </row>
    <row r="369" spans="1:12" x14ac:dyDescent="0.15">
      <c r="A369">
        <v>1820</v>
      </c>
      <c r="B369">
        <v>1297.83</v>
      </c>
      <c r="C369">
        <v>1293.2</v>
      </c>
      <c r="D369">
        <v>1288.6300000000001</v>
      </c>
      <c r="E369">
        <v>1284.1199999999999</v>
      </c>
      <c r="F369">
        <v>1279.6500000000001</v>
      </c>
      <c r="G369">
        <v>1275.24</v>
      </c>
      <c r="H369">
        <v>1270.8900000000001</v>
      </c>
      <c r="I369">
        <v>1266.5899999999999</v>
      </c>
      <c r="J369">
        <v>1262.3399999999999</v>
      </c>
      <c r="K369">
        <v>1258.1500000000001</v>
      </c>
      <c r="L369">
        <v>1254.01</v>
      </c>
    </row>
    <row r="370" spans="1:12" x14ac:dyDescent="0.15">
      <c r="A370">
        <v>1825</v>
      </c>
      <c r="B370">
        <v>1305.8800000000001</v>
      </c>
      <c r="C370">
        <v>1301.19</v>
      </c>
      <c r="D370">
        <v>1296.55</v>
      </c>
      <c r="E370">
        <v>1291.97</v>
      </c>
      <c r="F370">
        <v>1287.43</v>
      </c>
      <c r="G370">
        <v>1282.96</v>
      </c>
      <c r="H370">
        <v>1278.53</v>
      </c>
      <c r="I370">
        <v>1274.17</v>
      </c>
      <c r="J370">
        <v>1269.8499999999999</v>
      </c>
      <c r="K370">
        <v>1265.5899999999999</v>
      </c>
      <c r="L370">
        <v>1261.3800000000001</v>
      </c>
    </row>
    <row r="371" spans="1:12" x14ac:dyDescent="0.15">
      <c r="A371">
        <v>1830</v>
      </c>
      <c r="B371">
        <v>1314.05</v>
      </c>
      <c r="C371">
        <v>1309.29</v>
      </c>
      <c r="D371">
        <v>1304.58</v>
      </c>
      <c r="E371">
        <v>1299.93</v>
      </c>
      <c r="F371">
        <v>1295.33</v>
      </c>
      <c r="G371">
        <v>1290.79</v>
      </c>
      <c r="H371">
        <v>1286.3</v>
      </c>
      <c r="I371">
        <v>1281.8599999999999</v>
      </c>
      <c r="J371">
        <v>1277.48</v>
      </c>
      <c r="K371">
        <v>1273.1500000000001</v>
      </c>
      <c r="L371">
        <v>1268.8699999999999</v>
      </c>
    </row>
    <row r="372" spans="1:12" x14ac:dyDescent="0.15">
      <c r="A372">
        <v>1835</v>
      </c>
      <c r="B372">
        <v>1322.34</v>
      </c>
      <c r="C372">
        <v>1317.51</v>
      </c>
      <c r="D372">
        <v>1312.73</v>
      </c>
      <c r="E372">
        <v>1308.02</v>
      </c>
      <c r="F372">
        <v>1303.3499999999999</v>
      </c>
      <c r="G372">
        <v>1298.74</v>
      </c>
      <c r="H372">
        <v>1294.18</v>
      </c>
      <c r="I372">
        <v>1289.67</v>
      </c>
      <c r="J372">
        <v>1285.22</v>
      </c>
      <c r="K372">
        <v>1280.82</v>
      </c>
      <c r="L372">
        <v>1276.48</v>
      </c>
    </row>
    <row r="373" spans="1:12" x14ac:dyDescent="0.15">
      <c r="A373">
        <v>1840</v>
      </c>
      <c r="B373">
        <v>1330.74</v>
      </c>
      <c r="C373">
        <v>1325.85</v>
      </c>
      <c r="D373">
        <v>1321</v>
      </c>
      <c r="E373">
        <v>1316.22</v>
      </c>
      <c r="F373">
        <v>1311.48</v>
      </c>
      <c r="G373">
        <v>1306.8</v>
      </c>
      <c r="H373">
        <v>1302.17</v>
      </c>
      <c r="I373">
        <v>1297.5999999999999</v>
      </c>
      <c r="J373">
        <v>1293.08</v>
      </c>
      <c r="K373">
        <v>1288.6199999999999</v>
      </c>
      <c r="L373">
        <v>1284.21</v>
      </c>
    </row>
    <row r="374" spans="1:12" x14ac:dyDescent="0.15">
      <c r="A374">
        <v>1845</v>
      </c>
      <c r="B374">
        <v>1339.27</v>
      </c>
      <c r="C374">
        <v>1334.3</v>
      </c>
      <c r="D374">
        <v>1329.39</v>
      </c>
      <c r="E374">
        <v>1324.54</v>
      </c>
      <c r="F374">
        <v>1319.73</v>
      </c>
      <c r="G374">
        <v>1314.98</v>
      </c>
      <c r="H374">
        <v>1310.29</v>
      </c>
      <c r="I374">
        <v>1305.6500000000001</v>
      </c>
      <c r="J374">
        <v>1301.06</v>
      </c>
      <c r="K374">
        <v>1296.53</v>
      </c>
      <c r="L374">
        <v>1292.05</v>
      </c>
    </row>
    <row r="375" spans="1:12" x14ac:dyDescent="0.15">
      <c r="A375">
        <v>1850</v>
      </c>
      <c r="B375">
        <v>1347.91</v>
      </c>
      <c r="C375">
        <v>1342.87</v>
      </c>
      <c r="D375">
        <v>1337.89</v>
      </c>
      <c r="E375">
        <v>1332.97</v>
      </c>
      <c r="F375">
        <v>1328.1</v>
      </c>
      <c r="G375">
        <v>1323.28</v>
      </c>
      <c r="H375">
        <v>1318.52</v>
      </c>
      <c r="I375">
        <v>1313.81</v>
      </c>
      <c r="J375">
        <v>1309.1600000000001</v>
      </c>
      <c r="K375">
        <v>1304.56</v>
      </c>
      <c r="L375">
        <v>1300.01</v>
      </c>
    </row>
    <row r="376" spans="1:12" x14ac:dyDescent="0.15">
      <c r="A376">
        <v>1855</v>
      </c>
      <c r="B376">
        <v>1356.66</v>
      </c>
      <c r="C376">
        <v>1351.56</v>
      </c>
      <c r="D376">
        <v>1346.51</v>
      </c>
      <c r="E376">
        <v>1341.52</v>
      </c>
      <c r="F376">
        <v>1336.59</v>
      </c>
      <c r="G376">
        <v>1331.7</v>
      </c>
      <c r="H376">
        <v>1326.87</v>
      </c>
      <c r="I376">
        <v>1322.1</v>
      </c>
      <c r="J376">
        <v>1317.37</v>
      </c>
      <c r="K376">
        <v>1312.7</v>
      </c>
      <c r="L376">
        <v>1308.0899999999999</v>
      </c>
    </row>
    <row r="377" spans="1:12" x14ac:dyDescent="0.15">
      <c r="A377">
        <v>1860</v>
      </c>
      <c r="B377">
        <v>1365.54</v>
      </c>
      <c r="C377">
        <v>1360.37</v>
      </c>
      <c r="D377">
        <v>1355.25</v>
      </c>
      <c r="E377">
        <v>1350.2</v>
      </c>
      <c r="F377">
        <v>1345.19</v>
      </c>
      <c r="G377">
        <v>1340.24</v>
      </c>
      <c r="H377">
        <v>1335.34</v>
      </c>
      <c r="I377">
        <v>1330.49</v>
      </c>
      <c r="J377">
        <v>1325.7</v>
      </c>
      <c r="K377">
        <v>1320.97</v>
      </c>
      <c r="L377">
        <v>1316.29</v>
      </c>
    </row>
    <row r="378" spans="1:12" x14ac:dyDescent="0.15">
      <c r="A378">
        <v>1865</v>
      </c>
      <c r="B378">
        <v>1374.53</v>
      </c>
      <c r="C378">
        <v>1369.29</v>
      </c>
      <c r="D378">
        <v>1364.11</v>
      </c>
      <c r="E378">
        <v>1358.98</v>
      </c>
      <c r="F378">
        <v>1353.91</v>
      </c>
      <c r="G378">
        <v>1348.89</v>
      </c>
      <c r="H378">
        <v>1343.92</v>
      </c>
      <c r="I378">
        <v>1339.01</v>
      </c>
      <c r="J378">
        <v>1334.15</v>
      </c>
      <c r="K378">
        <v>1329.35</v>
      </c>
      <c r="L378">
        <v>1324.6</v>
      </c>
    </row>
    <row r="379" spans="1:12" x14ac:dyDescent="0.15">
      <c r="A379">
        <v>1870</v>
      </c>
      <c r="B379">
        <v>1383.64</v>
      </c>
      <c r="C379">
        <v>1378.34</v>
      </c>
      <c r="D379">
        <v>1373.08</v>
      </c>
      <c r="E379">
        <v>1367.89</v>
      </c>
      <c r="F379">
        <v>1362.75</v>
      </c>
      <c r="G379">
        <v>1357.66</v>
      </c>
      <c r="H379">
        <v>1352.63</v>
      </c>
      <c r="I379">
        <v>1347.65</v>
      </c>
      <c r="J379">
        <v>1342.72</v>
      </c>
      <c r="K379">
        <v>1337.85</v>
      </c>
      <c r="L379">
        <v>1333.03</v>
      </c>
    </row>
    <row r="380" spans="1:12" x14ac:dyDescent="0.15">
      <c r="A380">
        <v>1875</v>
      </c>
      <c r="B380">
        <v>1392.87</v>
      </c>
      <c r="C380">
        <v>1387.5</v>
      </c>
      <c r="D380">
        <v>1382.17</v>
      </c>
      <c r="E380">
        <v>1376.91</v>
      </c>
      <c r="F380">
        <v>1371.7</v>
      </c>
      <c r="G380">
        <v>1366.55</v>
      </c>
      <c r="H380">
        <v>1361.45</v>
      </c>
      <c r="I380">
        <v>1356.4</v>
      </c>
      <c r="J380">
        <v>1351.4</v>
      </c>
      <c r="K380">
        <v>1346.46</v>
      </c>
      <c r="L380">
        <v>1341.58</v>
      </c>
    </row>
    <row r="381" spans="1:12" x14ac:dyDescent="0.15">
      <c r="A381">
        <v>1880</v>
      </c>
      <c r="B381">
        <v>1402.21</v>
      </c>
      <c r="C381">
        <v>1396.77</v>
      </c>
      <c r="D381">
        <v>1391.38</v>
      </c>
      <c r="E381">
        <v>1386.05</v>
      </c>
      <c r="F381">
        <v>1380.78</v>
      </c>
      <c r="G381">
        <v>1375.55</v>
      </c>
      <c r="H381">
        <v>1370.38</v>
      </c>
      <c r="I381">
        <v>1365.27</v>
      </c>
      <c r="J381">
        <v>1360.2</v>
      </c>
      <c r="K381">
        <v>1355.2</v>
      </c>
      <c r="L381">
        <v>1350.24</v>
      </c>
    </row>
    <row r="382" spans="1:12" x14ac:dyDescent="0.15">
      <c r="A382">
        <v>1885</v>
      </c>
      <c r="B382">
        <v>1411.67</v>
      </c>
      <c r="C382">
        <v>1406.17</v>
      </c>
      <c r="D382">
        <v>1400.71</v>
      </c>
      <c r="E382">
        <v>1395.31</v>
      </c>
      <c r="F382">
        <v>1389.97</v>
      </c>
      <c r="G382">
        <v>1384.67</v>
      </c>
      <c r="H382">
        <v>1379.44</v>
      </c>
      <c r="I382">
        <v>1374.25</v>
      </c>
      <c r="J382">
        <v>1369.12</v>
      </c>
      <c r="K382">
        <v>1364.05</v>
      </c>
      <c r="L382">
        <v>1359.03</v>
      </c>
    </row>
    <row r="383" spans="1:12" x14ac:dyDescent="0.15">
      <c r="A383">
        <v>1890</v>
      </c>
      <c r="B383">
        <v>1421.25</v>
      </c>
      <c r="C383">
        <v>1415.68</v>
      </c>
      <c r="D383">
        <v>1410.15</v>
      </c>
      <c r="E383">
        <v>1404.69</v>
      </c>
      <c r="F383">
        <v>1399.27</v>
      </c>
      <c r="G383">
        <v>1393.91</v>
      </c>
      <c r="H383">
        <v>1388.61</v>
      </c>
      <c r="I383">
        <v>1383.36</v>
      </c>
      <c r="J383">
        <v>1378.16</v>
      </c>
      <c r="K383">
        <v>1373.02</v>
      </c>
      <c r="L383">
        <v>1367.93</v>
      </c>
    </row>
    <row r="384" spans="1:12" x14ac:dyDescent="0.15">
      <c r="A384">
        <v>1895</v>
      </c>
      <c r="B384">
        <v>1430.95</v>
      </c>
      <c r="C384">
        <v>1425.31</v>
      </c>
      <c r="D384">
        <v>1419.71</v>
      </c>
      <c r="E384">
        <v>1414.18</v>
      </c>
      <c r="F384">
        <v>1408.7</v>
      </c>
      <c r="G384">
        <v>1403.27</v>
      </c>
      <c r="H384">
        <v>1397.9</v>
      </c>
      <c r="I384">
        <v>1392.58</v>
      </c>
      <c r="J384">
        <v>1387.31</v>
      </c>
      <c r="K384">
        <v>1382.1</v>
      </c>
      <c r="L384">
        <v>1376.94</v>
      </c>
    </row>
    <row r="385" spans="1:12" x14ac:dyDescent="0.15">
      <c r="A385">
        <v>1900</v>
      </c>
      <c r="B385">
        <v>1440.76</v>
      </c>
      <c r="C385">
        <v>1435.05</v>
      </c>
      <c r="D385">
        <v>1429.39</v>
      </c>
      <c r="E385">
        <v>1423.79</v>
      </c>
      <c r="F385">
        <v>1418.24</v>
      </c>
      <c r="G385">
        <v>1412.75</v>
      </c>
      <c r="H385">
        <v>1407.3</v>
      </c>
      <c r="I385">
        <v>1401.92</v>
      </c>
      <c r="J385">
        <v>1396.58</v>
      </c>
      <c r="K385">
        <v>1391.3</v>
      </c>
      <c r="L385">
        <v>1386.08</v>
      </c>
    </row>
    <row r="386" spans="1:12" x14ac:dyDescent="0.15">
      <c r="A386">
        <v>1905</v>
      </c>
      <c r="B386">
        <v>1450.7</v>
      </c>
      <c r="C386">
        <v>1444.92</v>
      </c>
      <c r="D386">
        <v>1439.19</v>
      </c>
      <c r="E386">
        <v>1433.52</v>
      </c>
      <c r="F386">
        <v>1427.9</v>
      </c>
      <c r="G386">
        <v>1422.34</v>
      </c>
      <c r="H386">
        <v>1416.83</v>
      </c>
      <c r="I386">
        <v>1411.37</v>
      </c>
      <c r="J386">
        <v>1405.97</v>
      </c>
      <c r="K386">
        <v>1400.62</v>
      </c>
      <c r="L386">
        <v>1395.33</v>
      </c>
    </row>
    <row r="387" spans="1:12" x14ac:dyDescent="0.15">
      <c r="A387">
        <v>1910</v>
      </c>
      <c r="B387">
        <v>1460.74</v>
      </c>
      <c r="C387">
        <v>1454.9</v>
      </c>
      <c r="D387">
        <v>1449.1</v>
      </c>
      <c r="E387">
        <v>1443.36</v>
      </c>
      <c r="F387">
        <v>1437.68</v>
      </c>
      <c r="G387">
        <v>1432.05</v>
      </c>
      <c r="H387">
        <v>1426.47</v>
      </c>
      <c r="I387">
        <v>1420.95</v>
      </c>
      <c r="J387">
        <v>1415.48</v>
      </c>
      <c r="K387">
        <v>1410.06</v>
      </c>
      <c r="L387">
        <v>1404.7</v>
      </c>
    </row>
    <row r="388" spans="1:12" x14ac:dyDescent="0.15">
      <c r="A388">
        <v>1915</v>
      </c>
      <c r="B388">
        <v>1470.91</v>
      </c>
      <c r="C388">
        <v>1464.99</v>
      </c>
      <c r="D388">
        <v>1459.13</v>
      </c>
      <c r="E388">
        <v>1453.33</v>
      </c>
      <c r="F388">
        <v>1447.57</v>
      </c>
      <c r="G388">
        <v>1441.87</v>
      </c>
      <c r="H388">
        <v>1436.23</v>
      </c>
      <c r="I388">
        <v>1430.64</v>
      </c>
      <c r="J388">
        <v>1425.1</v>
      </c>
      <c r="K388">
        <v>1419.62</v>
      </c>
      <c r="L388">
        <v>1414.19</v>
      </c>
    </row>
    <row r="389" spans="1:12" x14ac:dyDescent="0.15">
      <c r="A389">
        <v>1920</v>
      </c>
      <c r="B389">
        <v>1481.19</v>
      </c>
      <c r="C389">
        <v>1475.21</v>
      </c>
      <c r="D389">
        <v>1469.28</v>
      </c>
      <c r="E389">
        <v>1463.41</v>
      </c>
      <c r="F389">
        <v>1457.59</v>
      </c>
      <c r="G389">
        <v>1451.82</v>
      </c>
      <c r="H389">
        <v>1446.11</v>
      </c>
      <c r="I389">
        <v>1440.45</v>
      </c>
      <c r="J389">
        <v>1434.84</v>
      </c>
      <c r="K389">
        <v>1429.29</v>
      </c>
      <c r="L389">
        <v>1423.79</v>
      </c>
    </row>
    <row r="390" spans="1:12" x14ac:dyDescent="0.15">
      <c r="A390">
        <v>1925</v>
      </c>
      <c r="B390">
        <v>1491.6</v>
      </c>
      <c r="C390">
        <v>1485.54</v>
      </c>
      <c r="D390">
        <v>1479.54</v>
      </c>
      <c r="E390">
        <v>1473.6</v>
      </c>
      <c r="F390">
        <v>1467.71</v>
      </c>
      <c r="G390">
        <v>1461.88</v>
      </c>
      <c r="H390">
        <v>1456.1</v>
      </c>
      <c r="I390">
        <v>1450.37</v>
      </c>
      <c r="J390">
        <v>1444.7</v>
      </c>
      <c r="K390">
        <v>1439.08</v>
      </c>
      <c r="L390">
        <v>1433.51</v>
      </c>
    </row>
    <row r="391" spans="1:12" x14ac:dyDescent="0.15">
      <c r="A391">
        <v>1930</v>
      </c>
      <c r="B391">
        <v>1502.11</v>
      </c>
      <c r="C391">
        <v>1496</v>
      </c>
      <c r="D391">
        <v>1489.93</v>
      </c>
      <c r="E391">
        <v>1483.92</v>
      </c>
      <c r="F391">
        <v>1477.96</v>
      </c>
      <c r="G391">
        <v>1472.06</v>
      </c>
      <c r="H391">
        <v>1466.21</v>
      </c>
      <c r="I391">
        <v>1460.42</v>
      </c>
      <c r="J391">
        <v>1454.67</v>
      </c>
      <c r="K391">
        <v>1448.99</v>
      </c>
      <c r="L391">
        <v>1443.35</v>
      </c>
    </row>
    <row r="392" spans="1:12" x14ac:dyDescent="0.15">
      <c r="A392">
        <v>1935</v>
      </c>
      <c r="B392">
        <v>1512.75</v>
      </c>
      <c r="C392">
        <v>1506.56</v>
      </c>
      <c r="D392">
        <v>1500.43</v>
      </c>
      <c r="E392">
        <v>1494.35</v>
      </c>
      <c r="F392">
        <v>1488.33</v>
      </c>
      <c r="G392">
        <v>1482.36</v>
      </c>
      <c r="H392">
        <v>1476.44</v>
      </c>
      <c r="I392">
        <v>1470.58</v>
      </c>
      <c r="J392">
        <v>1464.77</v>
      </c>
      <c r="K392">
        <v>1459.01</v>
      </c>
      <c r="L392">
        <v>1453.31</v>
      </c>
    </row>
    <row r="393" spans="1:12" x14ac:dyDescent="0.15">
      <c r="A393">
        <v>1940</v>
      </c>
      <c r="B393">
        <v>1523.5</v>
      </c>
      <c r="C393">
        <v>1517.25</v>
      </c>
      <c r="D393">
        <v>1511.05</v>
      </c>
      <c r="E393">
        <v>1504.9</v>
      </c>
      <c r="F393">
        <v>1498.81</v>
      </c>
      <c r="G393">
        <v>1492.77</v>
      </c>
      <c r="H393">
        <v>1486.79</v>
      </c>
      <c r="I393">
        <v>1480.85</v>
      </c>
      <c r="J393">
        <v>1474.98</v>
      </c>
      <c r="K393">
        <v>1469.15</v>
      </c>
      <c r="L393">
        <v>1463.39</v>
      </c>
    </row>
    <row r="394" spans="1:12" x14ac:dyDescent="0.15">
      <c r="A394">
        <v>1945</v>
      </c>
      <c r="B394">
        <v>1534.37</v>
      </c>
      <c r="C394">
        <v>1528.05</v>
      </c>
      <c r="D394">
        <v>1521.78</v>
      </c>
      <c r="E394">
        <v>1515.57</v>
      </c>
      <c r="F394">
        <v>1509.41</v>
      </c>
      <c r="G394">
        <v>1503.3</v>
      </c>
      <c r="H394">
        <v>1497.25</v>
      </c>
      <c r="I394">
        <v>1491.25</v>
      </c>
      <c r="J394">
        <v>1485.31</v>
      </c>
      <c r="K394">
        <v>1479.41</v>
      </c>
      <c r="L394">
        <v>1473.58</v>
      </c>
    </row>
    <row r="395" spans="1:12" x14ac:dyDescent="0.15">
      <c r="A395">
        <v>1950</v>
      </c>
      <c r="B395">
        <v>1545.36</v>
      </c>
      <c r="C395">
        <v>1538.97</v>
      </c>
      <c r="D395">
        <v>1532.63</v>
      </c>
      <c r="E395">
        <v>1526.35</v>
      </c>
      <c r="F395">
        <v>1520.12</v>
      </c>
      <c r="G395">
        <v>1513.95</v>
      </c>
      <c r="H395">
        <v>1507.83</v>
      </c>
      <c r="I395">
        <v>1501.76</v>
      </c>
      <c r="J395">
        <v>1495.75</v>
      </c>
      <c r="K395">
        <v>1489.79</v>
      </c>
      <c r="L395">
        <v>1483.89</v>
      </c>
    </row>
    <row r="396" spans="1:12" x14ac:dyDescent="0.15">
      <c r="A396">
        <v>1955</v>
      </c>
      <c r="B396">
        <v>1556.47</v>
      </c>
      <c r="C396">
        <v>1550.01</v>
      </c>
      <c r="D396">
        <v>1543.6</v>
      </c>
      <c r="E396">
        <v>1537.25</v>
      </c>
      <c r="F396">
        <v>1530.96</v>
      </c>
      <c r="G396">
        <v>1524.72</v>
      </c>
      <c r="H396">
        <v>1518.53</v>
      </c>
      <c r="I396">
        <v>1512.39</v>
      </c>
      <c r="J396">
        <v>1506.31</v>
      </c>
      <c r="K396">
        <v>1500.29</v>
      </c>
      <c r="L396">
        <v>1494.31</v>
      </c>
    </row>
    <row r="397" spans="1:12" x14ac:dyDescent="0.15">
      <c r="A397">
        <v>1960</v>
      </c>
      <c r="B397">
        <v>1567.69</v>
      </c>
      <c r="C397">
        <v>1561.16</v>
      </c>
      <c r="D397">
        <v>1554.69</v>
      </c>
      <c r="E397">
        <v>1548.27</v>
      </c>
      <c r="F397">
        <v>1541.91</v>
      </c>
      <c r="G397">
        <v>1535.6</v>
      </c>
      <c r="H397">
        <v>1529.34</v>
      </c>
      <c r="I397">
        <v>1523.14</v>
      </c>
      <c r="J397">
        <v>1516.99</v>
      </c>
      <c r="K397">
        <v>1510.9</v>
      </c>
      <c r="L397">
        <v>1504.86</v>
      </c>
    </row>
    <row r="398" spans="1:12" x14ac:dyDescent="0.15">
      <c r="A398">
        <v>1965</v>
      </c>
      <c r="B398">
        <v>1579.03</v>
      </c>
      <c r="C398">
        <v>1572.44</v>
      </c>
      <c r="D398">
        <v>1565.9</v>
      </c>
      <c r="E398">
        <v>1559.41</v>
      </c>
      <c r="F398">
        <v>1552.98</v>
      </c>
      <c r="G398">
        <v>1546.6</v>
      </c>
      <c r="H398">
        <v>1540.28</v>
      </c>
      <c r="I398">
        <v>1534.01</v>
      </c>
      <c r="J398">
        <v>1527.79</v>
      </c>
      <c r="K398">
        <v>1521.63</v>
      </c>
      <c r="L398">
        <v>1515.52</v>
      </c>
    </row>
    <row r="399" spans="1:12" x14ac:dyDescent="0.15">
      <c r="A399">
        <v>1970</v>
      </c>
      <c r="B399">
        <v>1590.49</v>
      </c>
      <c r="C399">
        <v>1583.83</v>
      </c>
      <c r="D399">
        <v>1577.22</v>
      </c>
      <c r="E399">
        <v>1570.67</v>
      </c>
      <c r="F399">
        <v>1564.17</v>
      </c>
      <c r="G399">
        <v>1557.72</v>
      </c>
      <c r="H399">
        <v>1551.33</v>
      </c>
      <c r="I399">
        <v>1544.99</v>
      </c>
      <c r="J399">
        <v>1538.7</v>
      </c>
      <c r="K399">
        <v>1532.47</v>
      </c>
      <c r="L399">
        <v>1526.3</v>
      </c>
    </row>
    <row r="400" spans="1:12" x14ac:dyDescent="0.15">
      <c r="A400">
        <v>1975</v>
      </c>
      <c r="B400">
        <v>1602.06</v>
      </c>
      <c r="C400">
        <v>1595.34</v>
      </c>
      <c r="D400">
        <v>1588.66</v>
      </c>
      <c r="E400">
        <v>1582.04</v>
      </c>
      <c r="F400">
        <v>1575.47</v>
      </c>
      <c r="G400">
        <v>1568.95</v>
      </c>
      <c r="H400">
        <v>1562.49</v>
      </c>
      <c r="I400">
        <v>1556.09</v>
      </c>
      <c r="J400">
        <v>1549.74</v>
      </c>
      <c r="K400">
        <v>1543.44</v>
      </c>
      <c r="L400">
        <v>1537.19</v>
      </c>
    </row>
    <row r="401" spans="1:12" x14ac:dyDescent="0.15">
      <c r="A401">
        <v>1980</v>
      </c>
      <c r="B401">
        <v>1613.72</v>
      </c>
      <c r="C401">
        <v>1606.96</v>
      </c>
      <c r="D401">
        <v>1600.21</v>
      </c>
      <c r="E401">
        <v>1593.53</v>
      </c>
      <c r="F401">
        <v>1586.89</v>
      </c>
      <c r="G401">
        <v>1580.31</v>
      </c>
      <c r="H401">
        <v>1573.78</v>
      </c>
      <c r="I401">
        <v>1567.31</v>
      </c>
      <c r="J401">
        <v>1560.89</v>
      </c>
      <c r="K401">
        <v>1554.52</v>
      </c>
      <c r="L401">
        <v>1548.21</v>
      </c>
    </row>
    <row r="402" spans="1:12" x14ac:dyDescent="0.15">
      <c r="A402">
        <v>1985</v>
      </c>
      <c r="B402">
        <v>1625.43</v>
      </c>
      <c r="C402">
        <v>1618.66</v>
      </c>
      <c r="D402">
        <v>1611.88</v>
      </c>
      <c r="E402">
        <v>1605.13</v>
      </c>
      <c r="F402">
        <v>1598.43</v>
      </c>
      <c r="G402">
        <v>1591.78</v>
      </c>
      <c r="H402">
        <v>1585.18</v>
      </c>
      <c r="I402">
        <v>1578.64</v>
      </c>
      <c r="J402">
        <v>1572.15</v>
      </c>
      <c r="K402">
        <v>1565.72</v>
      </c>
      <c r="L402">
        <v>1559.34</v>
      </c>
    </row>
    <row r="403" spans="1:12" x14ac:dyDescent="0.15">
      <c r="A403">
        <v>1990</v>
      </c>
      <c r="B403">
        <v>1637.13</v>
      </c>
      <c r="C403">
        <v>1630.36</v>
      </c>
      <c r="D403">
        <v>1623.59</v>
      </c>
      <c r="E403">
        <v>1616.82</v>
      </c>
      <c r="F403">
        <v>1610.07</v>
      </c>
      <c r="G403">
        <v>1603.36</v>
      </c>
      <c r="H403">
        <v>1596.69</v>
      </c>
      <c r="I403">
        <v>1590.08</v>
      </c>
      <c r="J403">
        <v>1583.53</v>
      </c>
      <c r="K403">
        <v>1577.03</v>
      </c>
      <c r="L403">
        <v>1570.58</v>
      </c>
    </row>
    <row r="404" spans="1:12" x14ac:dyDescent="0.15">
      <c r="A404">
        <v>1995</v>
      </c>
      <c r="B404">
        <v>1648.77</v>
      </c>
      <c r="C404">
        <v>1642.07</v>
      </c>
      <c r="D404">
        <v>1635.3</v>
      </c>
      <c r="E404">
        <v>1628.53</v>
      </c>
      <c r="F404">
        <v>1621.76</v>
      </c>
      <c r="G404">
        <v>1615</v>
      </c>
      <c r="H404">
        <v>1608.29</v>
      </c>
      <c r="I404">
        <v>1601.62</v>
      </c>
      <c r="J404">
        <v>1595</v>
      </c>
      <c r="K404">
        <v>1588.44</v>
      </c>
      <c r="L404">
        <v>1581.92</v>
      </c>
    </row>
    <row r="405" spans="1:12" x14ac:dyDescent="0.15">
      <c r="A405">
        <v>2000</v>
      </c>
      <c r="B405">
        <v>1659.99</v>
      </c>
      <c r="C405">
        <v>1653.7</v>
      </c>
      <c r="D405">
        <v>1647</v>
      </c>
      <c r="E405">
        <v>1640.23</v>
      </c>
      <c r="F405">
        <v>1633.47</v>
      </c>
      <c r="G405">
        <v>1626.7</v>
      </c>
      <c r="H405">
        <v>1619.94</v>
      </c>
      <c r="I405">
        <v>1613.22</v>
      </c>
      <c r="J405">
        <v>1606.55</v>
      </c>
      <c r="K405">
        <v>1599.92</v>
      </c>
      <c r="L405">
        <v>1593.35</v>
      </c>
    </row>
    <row r="406" spans="1:12" x14ac:dyDescent="0.15">
      <c r="A406">
        <v>2005</v>
      </c>
      <c r="B406">
        <v>1670.4</v>
      </c>
      <c r="C406">
        <v>1664.7</v>
      </c>
      <c r="D406">
        <v>1658.52</v>
      </c>
      <c r="E406">
        <v>1651.9</v>
      </c>
      <c r="F406">
        <v>1645.15</v>
      </c>
      <c r="G406">
        <v>1638.38</v>
      </c>
      <c r="H406">
        <v>1631.62</v>
      </c>
      <c r="I406">
        <v>1624.87</v>
      </c>
      <c r="J406">
        <v>1618.15</v>
      </c>
      <c r="K406">
        <v>1611.47</v>
      </c>
      <c r="L406">
        <v>1604.84</v>
      </c>
    </row>
    <row r="407" spans="1:12" x14ac:dyDescent="0.15">
      <c r="A407">
        <v>2010</v>
      </c>
      <c r="B407">
        <v>1679.78</v>
      </c>
      <c r="C407">
        <v>1674.67</v>
      </c>
      <c r="D407">
        <v>1669.09</v>
      </c>
      <c r="E407">
        <v>1663.04</v>
      </c>
      <c r="F407">
        <v>1656.55</v>
      </c>
      <c r="G407">
        <v>1649.87</v>
      </c>
      <c r="H407">
        <v>1643.15</v>
      </c>
      <c r="I407">
        <v>1636.42</v>
      </c>
      <c r="J407">
        <v>1629.68</v>
      </c>
      <c r="K407">
        <v>1622.97</v>
      </c>
      <c r="L407">
        <v>1616.3</v>
      </c>
    </row>
    <row r="408" spans="1:12" x14ac:dyDescent="0.15">
      <c r="A408">
        <v>2015</v>
      </c>
      <c r="B408">
        <v>1688.13</v>
      </c>
      <c r="C408">
        <v>1683.62</v>
      </c>
      <c r="D408">
        <v>1678.63</v>
      </c>
      <c r="E408">
        <v>1673.18</v>
      </c>
      <c r="F408">
        <v>1667.25</v>
      </c>
      <c r="G408">
        <v>1660.89</v>
      </c>
      <c r="H408">
        <v>1654.32</v>
      </c>
      <c r="I408">
        <v>1647.67</v>
      </c>
      <c r="J408">
        <v>1640.99</v>
      </c>
      <c r="K408">
        <v>1634.3</v>
      </c>
      <c r="L408">
        <v>1627.63</v>
      </c>
    </row>
    <row r="409" spans="1:12" x14ac:dyDescent="0.15">
      <c r="A409">
        <v>2020</v>
      </c>
      <c r="B409">
        <v>1695.45</v>
      </c>
      <c r="C409">
        <v>1691.54</v>
      </c>
      <c r="D409">
        <v>1687.15</v>
      </c>
      <c r="E409">
        <v>1682.29</v>
      </c>
      <c r="F409">
        <v>1676.95</v>
      </c>
      <c r="G409">
        <v>1671.14</v>
      </c>
      <c r="H409">
        <v>1664.91</v>
      </c>
      <c r="I409">
        <v>1658.47</v>
      </c>
      <c r="J409">
        <v>1651.92</v>
      </c>
      <c r="K409">
        <v>1645.3</v>
      </c>
      <c r="L409">
        <v>1638.67</v>
      </c>
    </row>
    <row r="410" spans="1:12" x14ac:dyDescent="0.15">
      <c r="A410">
        <v>2025</v>
      </c>
      <c r="B410">
        <v>1701.74</v>
      </c>
      <c r="C410">
        <v>1698.42</v>
      </c>
      <c r="D410">
        <v>1694.63</v>
      </c>
      <c r="E410">
        <v>1690.37</v>
      </c>
      <c r="F410">
        <v>1685.63</v>
      </c>
      <c r="G410">
        <v>1680.41</v>
      </c>
      <c r="H410">
        <v>1674.73</v>
      </c>
      <c r="I410">
        <v>1668.63</v>
      </c>
      <c r="J410">
        <v>1662.32</v>
      </c>
      <c r="K410">
        <v>1655.87</v>
      </c>
      <c r="L410">
        <v>1649.34</v>
      </c>
    </row>
    <row r="411" spans="1:12" x14ac:dyDescent="0.15">
      <c r="A411">
        <v>2030</v>
      </c>
      <c r="B411">
        <v>1707.01</v>
      </c>
      <c r="C411">
        <v>1704.28</v>
      </c>
      <c r="D411">
        <v>1701.08</v>
      </c>
      <c r="E411">
        <v>1697.42</v>
      </c>
      <c r="F411">
        <v>1693.27</v>
      </c>
      <c r="G411">
        <v>1688.65</v>
      </c>
      <c r="H411">
        <v>1683.56</v>
      </c>
      <c r="I411">
        <v>1678</v>
      </c>
      <c r="J411">
        <v>1672.04</v>
      </c>
      <c r="K411">
        <v>1665.85</v>
      </c>
      <c r="L411">
        <v>1659.53</v>
      </c>
    </row>
    <row r="412" spans="1:12" x14ac:dyDescent="0.15">
      <c r="A412">
        <v>2035</v>
      </c>
      <c r="B412">
        <v>1711.24</v>
      </c>
      <c r="C412">
        <v>1709.11</v>
      </c>
      <c r="D412">
        <v>1706.51</v>
      </c>
      <c r="E412">
        <v>1703.43</v>
      </c>
      <c r="F412">
        <v>1699.88</v>
      </c>
      <c r="G412">
        <v>1695.86</v>
      </c>
      <c r="H412">
        <v>1691.37</v>
      </c>
      <c r="I412">
        <v>1686.4</v>
      </c>
      <c r="J412">
        <v>1680.96</v>
      </c>
      <c r="K412">
        <v>1675.14</v>
      </c>
      <c r="L412">
        <v>1669.08</v>
      </c>
    </row>
    <row r="413" spans="1:12" x14ac:dyDescent="0.15">
      <c r="A413">
        <v>2040</v>
      </c>
      <c r="B413">
        <v>1714.44</v>
      </c>
      <c r="C413">
        <v>1712.91</v>
      </c>
      <c r="D413">
        <v>1710.9</v>
      </c>
      <c r="E413">
        <v>1708.42</v>
      </c>
      <c r="F413">
        <v>1705.47</v>
      </c>
      <c r="G413">
        <v>1702.04</v>
      </c>
      <c r="H413">
        <v>1698.14</v>
      </c>
      <c r="I413">
        <v>1693.77</v>
      </c>
      <c r="J413">
        <v>1688.92</v>
      </c>
      <c r="K413">
        <v>1683.61</v>
      </c>
      <c r="L413">
        <v>1677.93</v>
      </c>
    </row>
    <row r="414" spans="1:12" x14ac:dyDescent="0.15">
      <c r="A414">
        <v>2045</v>
      </c>
      <c r="B414">
        <v>1716.61</v>
      </c>
      <c r="C414">
        <v>1715.67</v>
      </c>
      <c r="D414">
        <v>1714.26</v>
      </c>
      <c r="E414">
        <v>1712.38</v>
      </c>
      <c r="F414">
        <v>1710.02</v>
      </c>
      <c r="G414">
        <v>1707.19</v>
      </c>
      <c r="H414">
        <v>1703.89</v>
      </c>
      <c r="I414">
        <v>1700.11</v>
      </c>
      <c r="J414">
        <v>1695.85</v>
      </c>
      <c r="K414">
        <v>1691.13</v>
      </c>
      <c r="L414">
        <v>1685.94</v>
      </c>
    </row>
    <row r="415" spans="1:12" x14ac:dyDescent="0.15">
      <c r="A415">
        <v>2050</v>
      </c>
      <c r="B415">
        <v>1717.65</v>
      </c>
      <c r="C415">
        <v>1717.41</v>
      </c>
      <c r="D415">
        <v>1716.6</v>
      </c>
      <c r="E415">
        <v>1715.31</v>
      </c>
      <c r="F415">
        <v>1713.55</v>
      </c>
      <c r="G415">
        <v>1711.31</v>
      </c>
      <c r="H415">
        <v>1708.6</v>
      </c>
      <c r="I415">
        <v>1705.42</v>
      </c>
      <c r="J415">
        <v>1701.76</v>
      </c>
      <c r="K415">
        <v>1697.63</v>
      </c>
      <c r="L415">
        <v>1693.02</v>
      </c>
    </row>
    <row r="416" spans="1:12" x14ac:dyDescent="0.15">
      <c r="A416">
        <v>2055</v>
      </c>
      <c r="B416">
        <v>1718.16</v>
      </c>
      <c r="C416">
        <v>1718.13</v>
      </c>
      <c r="D416">
        <v>1717.9</v>
      </c>
      <c r="E416">
        <v>1717.21</v>
      </c>
      <c r="F416">
        <v>1716.04</v>
      </c>
      <c r="G416">
        <v>1714.4</v>
      </c>
      <c r="H416">
        <v>1712.29</v>
      </c>
      <c r="I416">
        <v>1709.7</v>
      </c>
      <c r="J416">
        <v>1706.64</v>
      </c>
      <c r="K416">
        <v>1703.1</v>
      </c>
      <c r="L416">
        <v>1699.09</v>
      </c>
    </row>
    <row r="417" spans="1:12" x14ac:dyDescent="0.15">
      <c r="A417">
        <v>2060</v>
      </c>
      <c r="B417">
        <v>1718.2</v>
      </c>
      <c r="C417">
        <v>1718.2</v>
      </c>
      <c r="D417">
        <v>1718.2</v>
      </c>
      <c r="E417">
        <v>1718.08</v>
      </c>
      <c r="F417">
        <v>1717.51</v>
      </c>
      <c r="G417">
        <v>1716.47</v>
      </c>
      <c r="H417">
        <v>1714.95</v>
      </c>
      <c r="I417">
        <v>1712.95</v>
      </c>
      <c r="J417">
        <v>1710.49</v>
      </c>
      <c r="K417">
        <v>1707.55</v>
      </c>
      <c r="L417">
        <v>1704.14</v>
      </c>
    </row>
    <row r="418" spans="1:12" x14ac:dyDescent="0.15">
      <c r="A418">
        <v>2065</v>
      </c>
      <c r="B418">
        <v>1718.2</v>
      </c>
      <c r="C418">
        <v>1718.2</v>
      </c>
      <c r="D418">
        <v>1718.2</v>
      </c>
      <c r="E418">
        <v>1718.2</v>
      </c>
      <c r="F418">
        <v>1718.09</v>
      </c>
      <c r="G418">
        <v>1717.61</v>
      </c>
      <c r="H418">
        <v>1716.66</v>
      </c>
      <c r="I418">
        <v>1715.24</v>
      </c>
      <c r="J418">
        <v>1713.37</v>
      </c>
      <c r="K418">
        <v>1711.03</v>
      </c>
      <c r="L418">
        <v>1708.2</v>
      </c>
    </row>
    <row r="419" spans="1:12" x14ac:dyDescent="0.15">
      <c r="A419">
        <v>2070</v>
      </c>
      <c r="B419">
        <v>1718.2</v>
      </c>
      <c r="C419">
        <v>1718.2</v>
      </c>
      <c r="D419">
        <v>1718.2</v>
      </c>
      <c r="E419">
        <v>1718.2</v>
      </c>
      <c r="F419">
        <v>1718.2</v>
      </c>
      <c r="G419">
        <v>1718.09</v>
      </c>
      <c r="H419">
        <v>1717.62</v>
      </c>
      <c r="I419">
        <v>1716.75</v>
      </c>
      <c r="J419">
        <v>1715.43</v>
      </c>
      <c r="K419">
        <v>1713.64</v>
      </c>
      <c r="L419">
        <v>1711.39</v>
      </c>
    </row>
    <row r="420" spans="1:12" x14ac:dyDescent="0.15">
      <c r="A420">
        <v>2072</v>
      </c>
      <c r="B420">
        <v>1718.2</v>
      </c>
      <c r="C420">
        <v>1718.2</v>
      </c>
      <c r="D420">
        <v>1718.2</v>
      </c>
      <c r="E420">
        <v>1718.2</v>
      </c>
      <c r="F420">
        <v>1718.2</v>
      </c>
      <c r="G420">
        <v>1718.05</v>
      </c>
      <c r="H420">
        <v>1717.85</v>
      </c>
      <c r="I420">
        <v>1717.17</v>
      </c>
      <c r="J420">
        <v>1716.05</v>
      </c>
      <c r="K420">
        <v>1714.48</v>
      </c>
      <c r="L420">
        <v>1712.45</v>
      </c>
    </row>
  </sheetData>
  <mergeCells count="1">
    <mergeCell ref="R1:V1"/>
  </mergeCells>
  <phoneticPr fontId="1" type="noConversion"/>
  <hyperlinks>
    <hyperlink ref="R4" location="SOUNDING!A1" display="Back" xr:uid="{00000000-0004-0000-0D00-000000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1" tint="0.34998626667073579"/>
  </sheetPr>
  <dimension ref="A1:W424"/>
  <sheetViews>
    <sheetView showRowColHeaders="0" workbookViewId="0">
      <pane xSplit="17" ySplit="4" topLeftCell="R395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2" width="9" style="7"/>
    <col min="13" max="13" width="9" style="10"/>
    <col min="14" max="17" width="9" style="10" hidden="1" customWidth="1"/>
    <col min="18" max="16384" width="9" style="10"/>
  </cols>
  <sheetData>
    <row r="1" spans="1:23" x14ac:dyDescent="0.15">
      <c r="A1" s="6"/>
      <c r="Q1" s="13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R4" s="16" t="s">
        <v>90</v>
      </c>
    </row>
    <row r="5" spans="1:23" x14ac:dyDescent="0.15">
      <c r="A5">
        <v>0</v>
      </c>
      <c r="B5">
        <v>93.53</v>
      </c>
      <c r="C5">
        <v>57.56</v>
      </c>
      <c r="D5">
        <v>22.12</v>
      </c>
      <c r="E5">
        <v>3.59</v>
      </c>
      <c r="F5">
        <v>1.86</v>
      </c>
      <c r="G5">
        <v>1.29</v>
      </c>
      <c r="H5">
        <v>1</v>
      </c>
      <c r="I5">
        <v>0.83</v>
      </c>
      <c r="J5">
        <v>0.73</v>
      </c>
      <c r="K5">
        <v>0.64</v>
      </c>
      <c r="L5">
        <v>0.62</v>
      </c>
    </row>
    <row r="6" spans="1:23" x14ac:dyDescent="0.15">
      <c r="A6">
        <v>5</v>
      </c>
      <c r="B6">
        <v>126.34</v>
      </c>
      <c r="C6">
        <v>90.08</v>
      </c>
      <c r="D6">
        <v>54.25</v>
      </c>
      <c r="E6">
        <v>20.91</v>
      </c>
      <c r="F6">
        <v>10.61</v>
      </c>
      <c r="G6">
        <v>7.18</v>
      </c>
      <c r="H6">
        <v>5.47</v>
      </c>
      <c r="I6">
        <v>4.45</v>
      </c>
      <c r="J6">
        <v>3.76</v>
      </c>
      <c r="K6">
        <v>3.27</v>
      </c>
      <c r="L6">
        <v>2.9</v>
      </c>
    </row>
    <row r="7" spans="1:23" x14ac:dyDescent="0.15">
      <c r="A7">
        <v>10</v>
      </c>
      <c r="B7">
        <v>159.4</v>
      </c>
      <c r="C7">
        <v>122.9</v>
      </c>
      <c r="D7">
        <v>86.76</v>
      </c>
      <c r="E7">
        <v>51.09</v>
      </c>
      <c r="F7">
        <v>26.62</v>
      </c>
      <c r="G7">
        <v>17.920000000000002</v>
      </c>
      <c r="H7">
        <v>13.56</v>
      </c>
      <c r="I7">
        <v>10.95</v>
      </c>
      <c r="J7">
        <v>9.2200000000000006</v>
      </c>
      <c r="K7">
        <v>7.99</v>
      </c>
      <c r="L7">
        <v>7.06</v>
      </c>
    </row>
    <row r="8" spans="1:23" x14ac:dyDescent="0.15">
      <c r="A8">
        <v>15</v>
      </c>
      <c r="B8">
        <v>192.67</v>
      </c>
      <c r="C8">
        <v>155.94999999999999</v>
      </c>
      <c r="D8">
        <v>119.56</v>
      </c>
      <c r="E8">
        <v>83.55</v>
      </c>
      <c r="F8">
        <v>49.98</v>
      </c>
      <c r="G8">
        <v>33.54</v>
      </c>
      <c r="H8">
        <v>25.33</v>
      </c>
      <c r="I8">
        <v>20.399999999999999</v>
      </c>
      <c r="J8">
        <v>17.12</v>
      </c>
      <c r="K8">
        <v>14.78</v>
      </c>
      <c r="L8">
        <v>13.03</v>
      </c>
    </row>
    <row r="9" spans="1:23" x14ac:dyDescent="0.15">
      <c r="A9">
        <v>20</v>
      </c>
      <c r="B9">
        <v>226.14</v>
      </c>
      <c r="C9">
        <v>189.23</v>
      </c>
      <c r="D9">
        <v>152.6</v>
      </c>
      <c r="E9">
        <v>116.32</v>
      </c>
      <c r="F9">
        <v>80.489999999999995</v>
      </c>
      <c r="G9">
        <v>54.1</v>
      </c>
      <c r="H9">
        <v>40.79</v>
      </c>
      <c r="I9">
        <v>32.82</v>
      </c>
      <c r="J9">
        <v>27.5</v>
      </c>
      <c r="K9">
        <v>23.7</v>
      </c>
      <c r="L9">
        <v>20.85</v>
      </c>
    </row>
    <row r="10" spans="1:23" x14ac:dyDescent="0.15">
      <c r="A10">
        <v>25</v>
      </c>
      <c r="B10">
        <v>259.77999999999997</v>
      </c>
      <c r="C10">
        <v>222.69</v>
      </c>
      <c r="D10">
        <v>185.86</v>
      </c>
      <c r="E10">
        <v>149.34</v>
      </c>
      <c r="F10">
        <v>113.19</v>
      </c>
      <c r="G10">
        <v>79.650000000000006</v>
      </c>
      <c r="H10">
        <v>60</v>
      </c>
      <c r="I10">
        <v>48.2</v>
      </c>
      <c r="J10">
        <v>40.36</v>
      </c>
      <c r="K10">
        <v>34.75</v>
      </c>
      <c r="L10">
        <v>30.54</v>
      </c>
    </row>
    <row r="11" spans="1:23" x14ac:dyDescent="0.15">
      <c r="A11">
        <v>30</v>
      </c>
      <c r="B11">
        <v>293.58</v>
      </c>
      <c r="C11">
        <v>256.32</v>
      </c>
      <c r="D11">
        <v>219.31</v>
      </c>
      <c r="E11">
        <v>182.57</v>
      </c>
      <c r="F11">
        <v>146.16999999999999</v>
      </c>
      <c r="G11">
        <v>110.19</v>
      </c>
      <c r="H11">
        <v>82.94</v>
      </c>
      <c r="I11">
        <v>66.599999999999994</v>
      </c>
      <c r="J11">
        <v>55.71</v>
      </c>
      <c r="K11">
        <v>47.94</v>
      </c>
      <c r="L11">
        <v>42.11</v>
      </c>
    </row>
    <row r="12" spans="1:23" x14ac:dyDescent="0.15">
      <c r="A12">
        <v>35</v>
      </c>
      <c r="B12">
        <v>327.52</v>
      </c>
      <c r="C12">
        <v>290.11</v>
      </c>
      <c r="D12">
        <v>252.93</v>
      </c>
      <c r="E12">
        <v>216</v>
      </c>
      <c r="F12">
        <v>179.37</v>
      </c>
      <c r="G12">
        <v>143.1</v>
      </c>
      <c r="H12">
        <v>109.67</v>
      </c>
      <c r="I12">
        <v>88.01</v>
      </c>
      <c r="J12">
        <v>73.58</v>
      </c>
      <c r="K12">
        <v>63.28</v>
      </c>
      <c r="L12">
        <v>55.56</v>
      </c>
    </row>
    <row r="13" spans="1:23" x14ac:dyDescent="0.15">
      <c r="A13">
        <v>40</v>
      </c>
      <c r="B13">
        <v>361.59</v>
      </c>
      <c r="C13">
        <v>324.04000000000002</v>
      </c>
      <c r="D13">
        <v>286.70999999999998</v>
      </c>
      <c r="E13">
        <v>249.6</v>
      </c>
      <c r="F13">
        <v>212.77</v>
      </c>
      <c r="G13">
        <v>176.25</v>
      </c>
      <c r="H13">
        <v>140.19</v>
      </c>
      <c r="I13">
        <v>112.46</v>
      </c>
      <c r="J13">
        <v>93.99</v>
      </c>
      <c r="K13">
        <v>80.790000000000006</v>
      </c>
      <c r="L13">
        <v>70.900000000000006</v>
      </c>
    </row>
    <row r="14" spans="1:23" x14ac:dyDescent="0.15">
      <c r="A14">
        <v>45</v>
      </c>
      <c r="B14">
        <v>395.79</v>
      </c>
      <c r="C14">
        <v>358.11</v>
      </c>
      <c r="D14">
        <v>320.63</v>
      </c>
      <c r="E14">
        <v>283.36</v>
      </c>
      <c r="F14">
        <v>246.34</v>
      </c>
      <c r="G14">
        <v>209.61</v>
      </c>
      <c r="H14">
        <v>173.23</v>
      </c>
      <c r="I14">
        <v>139.96</v>
      </c>
      <c r="J14">
        <v>116.92</v>
      </c>
      <c r="K14">
        <v>100.49</v>
      </c>
      <c r="L14">
        <v>88.15</v>
      </c>
    </row>
    <row r="15" spans="1:23" x14ac:dyDescent="0.15">
      <c r="A15">
        <v>50</v>
      </c>
      <c r="B15">
        <v>430.1</v>
      </c>
      <c r="C15">
        <v>392.3</v>
      </c>
      <c r="D15">
        <v>354.69</v>
      </c>
      <c r="E15">
        <v>317.27</v>
      </c>
      <c r="F15">
        <v>280.08</v>
      </c>
      <c r="G15">
        <v>243.16</v>
      </c>
      <c r="H15">
        <v>206.54</v>
      </c>
      <c r="I15">
        <v>170.52</v>
      </c>
      <c r="J15">
        <v>142.41999999999999</v>
      </c>
      <c r="K15">
        <v>122.35</v>
      </c>
      <c r="L15">
        <v>107.32</v>
      </c>
    </row>
    <row r="16" spans="1:23" x14ac:dyDescent="0.15">
      <c r="A16">
        <v>55</v>
      </c>
      <c r="B16">
        <v>464.52</v>
      </c>
      <c r="C16">
        <v>426.61</v>
      </c>
      <c r="D16">
        <v>388.87</v>
      </c>
      <c r="E16">
        <v>351.31</v>
      </c>
      <c r="F16">
        <v>313.97000000000003</v>
      </c>
      <c r="G16">
        <v>276.87</v>
      </c>
      <c r="H16">
        <v>240.04</v>
      </c>
      <c r="I16">
        <v>203.57</v>
      </c>
      <c r="J16">
        <v>170.48</v>
      </c>
      <c r="K16">
        <v>146.41999999999999</v>
      </c>
      <c r="L16">
        <v>128.4</v>
      </c>
    </row>
    <row r="17" spans="1:12" x14ac:dyDescent="0.15">
      <c r="A17">
        <v>60</v>
      </c>
      <c r="B17">
        <v>499.04</v>
      </c>
      <c r="C17">
        <v>461.02</v>
      </c>
      <c r="D17">
        <v>423.17</v>
      </c>
      <c r="E17">
        <v>385.48</v>
      </c>
      <c r="F17">
        <v>348</v>
      </c>
      <c r="G17">
        <v>310.73</v>
      </c>
      <c r="H17">
        <v>273.72000000000003</v>
      </c>
      <c r="I17">
        <v>237.01</v>
      </c>
      <c r="J17">
        <v>201.09</v>
      </c>
      <c r="K17">
        <v>172.69</v>
      </c>
      <c r="L17">
        <v>151.38999999999999</v>
      </c>
    </row>
    <row r="18" spans="1:12" x14ac:dyDescent="0.15">
      <c r="A18">
        <v>65</v>
      </c>
      <c r="B18">
        <v>533.65</v>
      </c>
      <c r="C18">
        <v>495.54</v>
      </c>
      <c r="D18">
        <v>457.57</v>
      </c>
      <c r="E18">
        <v>419.77</v>
      </c>
      <c r="F18">
        <v>382.15</v>
      </c>
      <c r="G18">
        <v>344.73</v>
      </c>
      <c r="H18">
        <v>307.55</v>
      </c>
      <c r="I18">
        <v>270.64</v>
      </c>
      <c r="J18">
        <v>234.08</v>
      </c>
      <c r="K18">
        <v>201.18</v>
      </c>
      <c r="L18">
        <v>176.34</v>
      </c>
    </row>
    <row r="19" spans="1:12" x14ac:dyDescent="0.15">
      <c r="A19">
        <v>70</v>
      </c>
      <c r="B19">
        <v>568.35</v>
      </c>
      <c r="C19">
        <v>530.15</v>
      </c>
      <c r="D19">
        <v>492.08</v>
      </c>
      <c r="E19">
        <v>454.16</v>
      </c>
      <c r="F19">
        <v>416.42</v>
      </c>
      <c r="G19">
        <v>378.86</v>
      </c>
      <c r="H19">
        <v>341.53</v>
      </c>
      <c r="I19">
        <v>304.44</v>
      </c>
      <c r="J19">
        <v>267.64999999999998</v>
      </c>
      <c r="K19">
        <v>231.87</v>
      </c>
      <c r="L19">
        <v>203.23</v>
      </c>
    </row>
    <row r="20" spans="1:12" x14ac:dyDescent="0.15">
      <c r="A20">
        <v>75</v>
      </c>
      <c r="B20">
        <v>603.13</v>
      </c>
      <c r="C20">
        <v>564.84</v>
      </c>
      <c r="D20">
        <v>526.67999999999995</v>
      </c>
      <c r="E20">
        <v>488.66</v>
      </c>
      <c r="F20">
        <v>450.8</v>
      </c>
      <c r="G20">
        <v>413.11</v>
      </c>
      <c r="H20">
        <v>375.63</v>
      </c>
      <c r="I20">
        <v>338.38</v>
      </c>
      <c r="J20">
        <v>301.39</v>
      </c>
      <c r="K20">
        <v>264.74</v>
      </c>
      <c r="L20">
        <v>232.06</v>
      </c>
    </row>
    <row r="21" spans="1:12" x14ac:dyDescent="0.15">
      <c r="A21">
        <v>80</v>
      </c>
      <c r="B21">
        <v>637.99</v>
      </c>
      <c r="C21">
        <v>599.62</v>
      </c>
      <c r="D21">
        <v>561.37</v>
      </c>
      <c r="E21">
        <v>523.25</v>
      </c>
      <c r="F21">
        <v>485.28</v>
      </c>
      <c r="G21">
        <v>447.47</v>
      </c>
      <c r="H21">
        <v>409.86</v>
      </c>
      <c r="I21">
        <v>372.45</v>
      </c>
      <c r="J21">
        <v>335.3</v>
      </c>
      <c r="K21">
        <v>298.43</v>
      </c>
      <c r="L21">
        <v>262.82</v>
      </c>
    </row>
    <row r="22" spans="1:12" x14ac:dyDescent="0.15">
      <c r="A22">
        <v>85</v>
      </c>
      <c r="B22">
        <v>672.92</v>
      </c>
      <c r="C22">
        <v>634.47</v>
      </c>
      <c r="D22">
        <v>596.14</v>
      </c>
      <c r="E22">
        <v>557.92999999999995</v>
      </c>
      <c r="F22">
        <v>519.86</v>
      </c>
      <c r="G22">
        <v>481.94</v>
      </c>
      <c r="H22">
        <v>444.2</v>
      </c>
      <c r="I22">
        <v>406.66</v>
      </c>
      <c r="J22">
        <v>369.34</v>
      </c>
      <c r="K22">
        <v>332.28</v>
      </c>
      <c r="L22">
        <v>295.55</v>
      </c>
    </row>
    <row r="23" spans="1:12" x14ac:dyDescent="0.15">
      <c r="A23">
        <v>90</v>
      </c>
      <c r="B23">
        <v>707.91</v>
      </c>
      <c r="C23">
        <v>669.4</v>
      </c>
      <c r="D23">
        <v>630.99</v>
      </c>
      <c r="E23">
        <v>592.69000000000005</v>
      </c>
      <c r="F23">
        <v>554.52</v>
      </c>
      <c r="G23">
        <v>516.5</v>
      </c>
      <c r="H23">
        <v>478.65</v>
      </c>
      <c r="I23">
        <v>440.97</v>
      </c>
      <c r="J23">
        <v>403.51</v>
      </c>
      <c r="K23">
        <v>366.28</v>
      </c>
      <c r="L23">
        <v>329.34</v>
      </c>
    </row>
    <row r="24" spans="1:12" x14ac:dyDescent="0.15">
      <c r="A24">
        <v>95</v>
      </c>
      <c r="B24">
        <v>742.97</v>
      </c>
      <c r="C24">
        <v>704.39</v>
      </c>
      <c r="D24">
        <v>665.91</v>
      </c>
      <c r="E24">
        <v>627.53</v>
      </c>
      <c r="F24">
        <v>589.28</v>
      </c>
      <c r="G24">
        <v>551.16</v>
      </c>
      <c r="H24">
        <v>513.19000000000005</v>
      </c>
      <c r="I24">
        <v>475.39</v>
      </c>
      <c r="J24">
        <v>437.79</v>
      </c>
      <c r="K24">
        <v>400.41</v>
      </c>
      <c r="L24">
        <v>363.29</v>
      </c>
    </row>
    <row r="25" spans="1:12" x14ac:dyDescent="0.15">
      <c r="A25">
        <v>100</v>
      </c>
      <c r="B25">
        <v>778.08</v>
      </c>
      <c r="C25">
        <v>739.44</v>
      </c>
      <c r="D25">
        <v>700.89</v>
      </c>
      <c r="E25">
        <v>662.44</v>
      </c>
      <c r="F25">
        <v>624.1</v>
      </c>
      <c r="G25">
        <v>585.89</v>
      </c>
      <c r="H25">
        <v>547.83000000000004</v>
      </c>
      <c r="I25">
        <v>509.92</v>
      </c>
      <c r="J25">
        <v>472.19</v>
      </c>
      <c r="K25">
        <v>434.67</v>
      </c>
      <c r="L25">
        <v>397.38</v>
      </c>
    </row>
    <row r="26" spans="1:12" x14ac:dyDescent="0.15">
      <c r="A26">
        <v>105</v>
      </c>
      <c r="B26">
        <v>813.24</v>
      </c>
      <c r="C26">
        <v>774.55</v>
      </c>
      <c r="D26">
        <v>735.94</v>
      </c>
      <c r="E26">
        <v>697.42</v>
      </c>
      <c r="F26">
        <v>659.01</v>
      </c>
      <c r="G26">
        <v>620.71</v>
      </c>
      <c r="H26">
        <v>582.54999999999995</v>
      </c>
      <c r="I26">
        <v>544.53</v>
      </c>
      <c r="J26">
        <v>506.69</v>
      </c>
      <c r="K26">
        <v>469.03</v>
      </c>
      <c r="L26">
        <v>431.59</v>
      </c>
    </row>
    <row r="27" spans="1:12" x14ac:dyDescent="0.15">
      <c r="A27">
        <v>110</v>
      </c>
      <c r="B27">
        <v>848.46</v>
      </c>
      <c r="C27">
        <v>809.72</v>
      </c>
      <c r="D27">
        <v>771.05</v>
      </c>
      <c r="E27">
        <v>732.46</v>
      </c>
      <c r="F27">
        <v>693.98</v>
      </c>
      <c r="G27">
        <v>655.6</v>
      </c>
      <c r="H27">
        <v>617.35</v>
      </c>
      <c r="I27">
        <v>579.24</v>
      </c>
      <c r="J27">
        <v>541.28</v>
      </c>
      <c r="K27">
        <v>503.5</v>
      </c>
      <c r="L27">
        <v>465.93</v>
      </c>
    </row>
    <row r="28" spans="1:12" x14ac:dyDescent="0.15">
      <c r="A28">
        <v>115</v>
      </c>
      <c r="B28">
        <v>883.71</v>
      </c>
      <c r="C28">
        <v>844.93</v>
      </c>
      <c r="D28">
        <v>806.21</v>
      </c>
      <c r="E28">
        <v>767.56</v>
      </c>
      <c r="F28">
        <v>729.01</v>
      </c>
      <c r="G28">
        <v>690.56</v>
      </c>
      <c r="H28">
        <v>652.23</v>
      </c>
      <c r="I28">
        <v>614.02</v>
      </c>
      <c r="J28">
        <v>575.96</v>
      </c>
      <c r="K28">
        <v>538.07000000000005</v>
      </c>
      <c r="L28">
        <v>500.36</v>
      </c>
    </row>
    <row r="29" spans="1:12" x14ac:dyDescent="0.15">
      <c r="A29">
        <v>120</v>
      </c>
      <c r="B29">
        <v>919.01</v>
      </c>
      <c r="C29">
        <v>880.18</v>
      </c>
      <c r="D29">
        <v>841.41</v>
      </c>
      <c r="E29">
        <v>802.72</v>
      </c>
      <c r="F29">
        <v>764.1</v>
      </c>
      <c r="G29">
        <v>725.58</v>
      </c>
      <c r="H29">
        <v>687.17</v>
      </c>
      <c r="I29">
        <v>648.88</v>
      </c>
      <c r="J29">
        <v>610.73</v>
      </c>
      <c r="K29">
        <v>572.73</v>
      </c>
      <c r="L29">
        <v>534.9</v>
      </c>
    </row>
    <row r="30" spans="1:12" x14ac:dyDescent="0.15">
      <c r="A30">
        <v>125</v>
      </c>
      <c r="B30">
        <v>954.33</v>
      </c>
      <c r="C30">
        <v>915.47</v>
      </c>
      <c r="D30">
        <v>876.67</v>
      </c>
      <c r="E30">
        <v>837.92</v>
      </c>
      <c r="F30">
        <v>799.25</v>
      </c>
      <c r="G30">
        <v>760.67</v>
      </c>
      <c r="H30">
        <v>722.18</v>
      </c>
      <c r="I30">
        <v>683.81</v>
      </c>
      <c r="J30">
        <v>645.57000000000005</v>
      </c>
      <c r="K30">
        <v>607.47</v>
      </c>
      <c r="L30">
        <v>569.53</v>
      </c>
    </row>
    <row r="31" spans="1:12" x14ac:dyDescent="0.15">
      <c r="A31">
        <v>130</v>
      </c>
      <c r="B31">
        <v>989.69</v>
      </c>
      <c r="C31">
        <v>950.8</v>
      </c>
      <c r="D31">
        <v>911.96</v>
      </c>
      <c r="E31">
        <v>873.17</v>
      </c>
      <c r="F31">
        <v>834.45</v>
      </c>
      <c r="G31">
        <v>795.8</v>
      </c>
      <c r="H31">
        <v>757.25</v>
      </c>
      <c r="I31">
        <v>718.81</v>
      </c>
      <c r="J31">
        <v>680.48</v>
      </c>
      <c r="K31">
        <v>642.29</v>
      </c>
      <c r="L31">
        <v>604.25</v>
      </c>
    </row>
    <row r="32" spans="1:12" x14ac:dyDescent="0.15">
      <c r="A32">
        <v>135</v>
      </c>
      <c r="B32">
        <v>1025.08</v>
      </c>
      <c r="C32">
        <v>986.16</v>
      </c>
      <c r="D32">
        <v>947.28</v>
      </c>
      <c r="E32">
        <v>908.45</v>
      </c>
      <c r="F32">
        <v>869.69</v>
      </c>
      <c r="G32">
        <v>830.99</v>
      </c>
      <c r="H32">
        <v>792.38</v>
      </c>
      <c r="I32">
        <v>753.87</v>
      </c>
      <c r="J32">
        <v>715.46</v>
      </c>
      <c r="K32">
        <v>677.19</v>
      </c>
      <c r="L32">
        <v>639.04999999999995</v>
      </c>
    </row>
    <row r="33" spans="1:12" x14ac:dyDescent="0.15">
      <c r="A33">
        <v>140</v>
      </c>
      <c r="B33">
        <v>1060.49</v>
      </c>
      <c r="C33">
        <v>1021.55</v>
      </c>
      <c r="D33">
        <v>982.64</v>
      </c>
      <c r="E33">
        <v>943.78</v>
      </c>
      <c r="F33">
        <v>904.97</v>
      </c>
      <c r="G33">
        <v>866.22</v>
      </c>
      <c r="H33">
        <v>827.56</v>
      </c>
      <c r="I33">
        <v>788.98</v>
      </c>
      <c r="J33">
        <v>750.5</v>
      </c>
      <c r="K33">
        <v>712.15</v>
      </c>
      <c r="L33">
        <v>673.92</v>
      </c>
    </row>
    <row r="34" spans="1:12" x14ac:dyDescent="0.15">
      <c r="A34">
        <v>145</v>
      </c>
      <c r="B34">
        <v>1095.8399999999999</v>
      </c>
      <c r="C34">
        <v>1056.96</v>
      </c>
      <c r="D34">
        <v>1018.03</v>
      </c>
      <c r="E34">
        <v>979.13</v>
      </c>
      <c r="F34">
        <v>940.29</v>
      </c>
      <c r="G34">
        <v>901.5</v>
      </c>
      <c r="H34">
        <v>862.78</v>
      </c>
      <c r="I34">
        <v>824.14</v>
      </c>
      <c r="J34">
        <v>785.6</v>
      </c>
      <c r="K34">
        <v>747.17</v>
      </c>
      <c r="L34">
        <v>708.86</v>
      </c>
    </row>
    <row r="35" spans="1:12" x14ac:dyDescent="0.15">
      <c r="A35">
        <v>150</v>
      </c>
      <c r="B35">
        <v>1127.78</v>
      </c>
      <c r="C35">
        <v>1092.3900000000001</v>
      </c>
      <c r="D35">
        <v>1053.44</v>
      </c>
      <c r="E35">
        <v>1014.52</v>
      </c>
      <c r="F35">
        <v>975.64</v>
      </c>
      <c r="G35">
        <v>936.81</v>
      </c>
      <c r="H35">
        <v>898.04</v>
      </c>
      <c r="I35">
        <v>859.35</v>
      </c>
      <c r="J35">
        <v>820.75</v>
      </c>
      <c r="K35">
        <v>782.25</v>
      </c>
      <c r="L35">
        <v>743.86</v>
      </c>
    </row>
    <row r="36" spans="1:12" x14ac:dyDescent="0.15">
      <c r="A36">
        <v>155</v>
      </c>
      <c r="B36">
        <v>1154.06</v>
      </c>
      <c r="C36">
        <v>1127.8399999999999</v>
      </c>
      <c r="D36">
        <v>1088.8699999999999</v>
      </c>
      <c r="E36">
        <v>1049.93</v>
      </c>
      <c r="F36">
        <v>1011.02</v>
      </c>
      <c r="G36">
        <v>972.15</v>
      </c>
      <c r="H36">
        <v>933.35</v>
      </c>
      <c r="I36">
        <v>894.61</v>
      </c>
      <c r="J36">
        <v>855.95</v>
      </c>
      <c r="K36">
        <v>817.38</v>
      </c>
      <c r="L36">
        <v>778.92</v>
      </c>
    </row>
    <row r="37" spans="1:12" x14ac:dyDescent="0.15">
      <c r="A37">
        <v>160</v>
      </c>
      <c r="B37">
        <v>1174.6600000000001</v>
      </c>
      <c r="C37">
        <v>1158.58</v>
      </c>
      <c r="D37">
        <v>1124.32</v>
      </c>
      <c r="E37">
        <v>1085.3599999999999</v>
      </c>
      <c r="F37">
        <v>1046.42</v>
      </c>
      <c r="G37">
        <v>1007.53</v>
      </c>
      <c r="H37">
        <v>968.68</v>
      </c>
      <c r="I37">
        <v>929.9</v>
      </c>
      <c r="J37">
        <v>891.19</v>
      </c>
      <c r="K37">
        <v>852.56</v>
      </c>
      <c r="L37">
        <v>814.04</v>
      </c>
    </row>
    <row r="38" spans="1:12" x14ac:dyDescent="0.15">
      <c r="A38">
        <v>165</v>
      </c>
      <c r="B38">
        <v>1189.51</v>
      </c>
      <c r="C38">
        <v>1178.0999999999999</v>
      </c>
      <c r="D38">
        <v>1159.78</v>
      </c>
      <c r="E38">
        <v>1120.8</v>
      </c>
      <c r="F38">
        <v>1081.8499999999999</v>
      </c>
      <c r="G38">
        <v>1042.93</v>
      </c>
      <c r="H38">
        <v>1004.05</v>
      </c>
      <c r="I38">
        <v>965.23</v>
      </c>
      <c r="J38">
        <v>926.47</v>
      </c>
      <c r="K38">
        <v>887.79</v>
      </c>
      <c r="L38">
        <v>849.2</v>
      </c>
    </row>
    <row r="39" spans="1:12" x14ac:dyDescent="0.15">
      <c r="A39">
        <v>170</v>
      </c>
      <c r="B39">
        <v>1199.93</v>
      </c>
      <c r="C39">
        <v>1188.8900000000001</v>
      </c>
      <c r="D39">
        <v>1177.6600000000001</v>
      </c>
      <c r="E39">
        <v>1153.3499999999999</v>
      </c>
      <c r="F39">
        <v>1115.9000000000001</v>
      </c>
      <c r="G39">
        <v>1077.2</v>
      </c>
      <c r="H39">
        <v>1038.54</v>
      </c>
      <c r="I39">
        <v>999.92</v>
      </c>
      <c r="J39">
        <v>961.2</v>
      </c>
      <c r="K39">
        <v>922.54</v>
      </c>
      <c r="L39">
        <v>883.91</v>
      </c>
    </row>
    <row r="40" spans="1:12" x14ac:dyDescent="0.15">
      <c r="A40">
        <v>175</v>
      </c>
      <c r="B40">
        <v>1209.9100000000001</v>
      </c>
      <c r="C40">
        <v>1199.01</v>
      </c>
      <c r="D40">
        <v>1187.9100000000001</v>
      </c>
      <c r="E40">
        <v>1175.1099999999999</v>
      </c>
      <c r="F40">
        <v>1144.4000000000001</v>
      </c>
      <c r="G40">
        <v>1107.96</v>
      </c>
      <c r="H40">
        <v>1070.79</v>
      </c>
      <c r="I40">
        <v>1032.6099999999999</v>
      </c>
      <c r="J40">
        <v>994.02</v>
      </c>
      <c r="K40">
        <v>955.49</v>
      </c>
      <c r="L40">
        <v>917.04</v>
      </c>
    </row>
    <row r="41" spans="1:12" x14ac:dyDescent="0.15">
      <c r="A41">
        <v>180</v>
      </c>
      <c r="B41">
        <v>1219.77</v>
      </c>
      <c r="C41">
        <v>1209</v>
      </c>
      <c r="D41">
        <v>1198.04</v>
      </c>
      <c r="E41">
        <v>1186.8699999999999</v>
      </c>
      <c r="F41">
        <v>1167.22</v>
      </c>
      <c r="G41">
        <v>1135.42</v>
      </c>
      <c r="H41">
        <v>1099.48</v>
      </c>
      <c r="I41">
        <v>1062.52</v>
      </c>
      <c r="J41">
        <v>1025.4100000000001</v>
      </c>
      <c r="K41">
        <v>988.12</v>
      </c>
      <c r="L41">
        <v>949.62</v>
      </c>
    </row>
    <row r="42" spans="1:12" x14ac:dyDescent="0.15">
      <c r="A42">
        <v>185</v>
      </c>
      <c r="B42">
        <v>1229.5</v>
      </c>
      <c r="C42">
        <v>1218.8699999999999</v>
      </c>
      <c r="D42">
        <v>1208.04</v>
      </c>
      <c r="E42">
        <v>1197.01</v>
      </c>
      <c r="F42">
        <v>1184.3499999999999</v>
      </c>
      <c r="G42">
        <v>1158.1500000000001</v>
      </c>
      <c r="H42">
        <v>1126.0899999999999</v>
      </c>
      <c r="I42">
        <v>1090.51</v>
      </c>
      <c r="J42">
        <v>1054.25</v>
      </c>
      <c r="K42">
        <v>1017.16</v>
      </c>
      <c r="L42">
        <v>980.13</v>
      </c>
    </row>
    <row r="43" spans="1:12" x14ac:dyDescent="0.15">
      <c r="A43">
        <v>190</v>
      </c>
      <c r="B43">
        <v>1239.1099999999999</v>
      </c>
      <c r="C43">
        <v>1228.6199999999999</v>
      </c>
      <c r="D43">
        <v>1217.92</v>
      </c>
      <c r="E43">
        <v>1207.03</v>
      </c>
      <c r="F43">
        <v>1195.94</v>
      </c>
      <c r="G43">
        <v>1177.52</v>
      </c>
      <c r="H43">
        <v>1149.05</v>
      </c>
      <c r="I43">
        <v>1116.72</v>
      </c>
      <c r="J43">
        <v>1081.53</v>
      </c>
      <c r="K43">
        <v>1045.6600000000001</v>
      </c>
      <c r="L43">
        <v>1008.91</v>
      </c>
    </row>
    <row r="44" spans="1:12" x14ac:dyDescent="0.15">
      <c r="A44">
        <v>195</v>
      </c>
      <c r="B44">
        <v>1248.5999999999999</v>
      </c>
      <c r="C44">
        <v>1238.24</v>
      </c>
      <c r="D44">
        <v>1227.68</v>
      </c>
      <c r="E44">
        <v>1216.92</v>
      </c>
      <c r="F44">
        <v>1205.97</v>
      </c>
      <c r="G44">
        <v>1193.43</v>
      </c>
      <c r="H44">
        <v>1169.97</v>
      </c>
      <c r="I44">
        <v>1139.79</v>
      </c>
      <c r="J44">
        <v>1107.33</v>
      </c>
      <c r="K44">
        <v>1072.54</v>
      </c>
      <c r="L44">
        <v>1036.7</v>
      </c>
    </row>
    <row r="45" spans="1:12" x14ac:dyDescent="0.15">
      <c r="A45">
        <v>200</v>
      </c>
      <c r="B45">
        <v>1257.69</v>
      </c>
      <c r="C45">
        <v>1247.47</v>
      </c>
      <c r="D45">
        <v>1237.04</v>
      </c>
      <c r="E45">
        <v>1226.42</v>
      </c>
      <c r="F45">
        <v>1215.5899999999999</v>
      </c>
      <c r="G45">
        <v>1204.57</v>
      </c>
      <c r="H45">
        <v>1186.71</v>
      </c>
      <c r="I45">
        <v>1160.47</v>
      </c>
      <c r="J45">
        <v>1129.75</v>
      </c>
      <c r="K45">
        <v>1097.33</v>
      </c>
      <c r="L45">
        <v>1062.8499999999999</v>
      </c>
    </row>
    <row r="46" spans="1:12" x14ac:dyDescent="0.15">
      <c r="A46">
        <v>205</v>
      </c>
      <c r="B46">
        <v>1266.48</v>
      </c>
      <c r="C46">
        <v>1256.3900000000001</v>
      </c>
      <c r="D46">
        <v>1246.0999999999999</v>
      </c>
      <c r="E46">
        <v>1235.6099999999999</v>
      </c>
      <c r="F46">
        <v>1224.92</v>
      </c>
      <c r="G46">
        <v>1214.03</v>
      </c>
      <c r="H46">
        <v>1201.25</v>
      </c>
      <c r="I46">
        <v>1178.3699999999999</v>
      </c>
      <c r="J46">
        <v>1150.3900000000001</v>
      </c>
      <c r="K46">
        <v>1119.32</v>
      </c>
      <c r="L46">
        <v>1086.94</v>
      </c>
    </row>
    <row r="47" spans="1:12" x14ac:dyDescent="0.15">
      <c r="A47">
        <v>210</v>
      </c>
      <c r="B47">
        <v>1275.1500000000001</v>
      </c>
      <c r="C47">
        <v>1265.2</v>
      </c>
      <c r="D47">
        <v>1255.04</v>
      </c>
      <c r="E47">
        <v>1244.69</v>
      </c>
      <c r="F47">
        <v>1234.1400000000001</v>
      </c>
      <c r="G47">
        <v>1223.3800000000001</v>
      </c>
      <c r="H47">
        <v>1212.25</v>
      </c>
      <c r="I47">
        <v>1194.24</v>
      </c>
      <c r="J47">
        <v>1170.01</v>
      </c>
      <c r="K47">
        <v>1140.32</v>
      </c>
      <c r="L47">
        <v>1108.9100000000001</v>
      </c>
    </row>
    <row r="48" spans="1:12" x14ac:dyDescent="0.15">
      <c r="A48">
        <v>215</v>
      </c>
      <c r="B48">
        <v>1283.72</v>
      </c>
      <c r="C48">
        <v>1273.9000000000001</v>
      </c>
      <c r="D48">
        <v>1263.8800000000001</v>
      </c>
      <c r="E48">
        <v>1253.6600000000001</v>
      </c>
      <c r="F48">
        <v>1243.24</v>
      </c>
      <c r="G48">
        <v>1232.6199999999999</v>
      </c>
      <c r="H48">
        <v>1221.81</v>
      </c>
      <c r="I48">
        <v>1208.69</v>
      </c>
      <c r="J48">
        <v>1186.3599999999999</v>
      </c>
      <c r="K48">
        <v>1160.3800000000001</v>
      </c>
      <c r="L48">
        <v>1130.27</v>
      </c>
    </row>
    <row r="49" spans="1:12" x14ac:dyDescent="0.15">
      <c r="A49">
        <v>220</v>
      </c>
      <c r="B49">
        <v>1292.17</v>
      </c>
      <c r="C49">
        <v>1282.48</v>
      </c>
      <c r="D49">
        <v>1272.5999999999999</v>
      </c>
      <c r="E49">
        <v>1262.51</v>
      </c>
      <c r="F49">
        <v>1252.23</v>
      </c>
      <c r="G49">
        <v>1241.75</v>
      </c>
      <c r="H49">
        <v>1231.07</v>
      </c>
      <c r="I49">
        <v>1219.6300000000001</v>
      </c>
      <c r="J49">
        <v>1201.68</v>
      </c>
      <c r="K49">
        <v>1178</v>
      </c>
      <c r="L49">
        <v>1150.32</v>
      </c>
    </row>
    <row r="50" spans="1:12" x14ac:dyDescent="0.15">
      <c r="A50">
        <v>225</v>
      </c>
      <c r="B50">
        <v>1300.52</v>
      </c>
      <c r="C50">
        <v>1290.96</v>
      </c>
      <c r="D50">
        <v>1281.21</v>
      </c>
      <c r="E50">
        <v>1271.26</v>
      </c>
      <c r="F50">
        <v>1261.1099999999999</v>
      </c>
      <c r="G50">
        <v>1250.77</v>
      </c>
      <c r="H50">
        <v>1240.22</v>
      </c>
      <c r="I50">
        <v>1229.48</v>
      </c>
      <c r="J50">
        <v>1216.05</v>
      </c>
      <c r="K50">
        <v>1194.28</v>
      </c>
      <c r="L50">
        <v>1169.6500000000001</v>
      </c>
    </row>
    <row r="51" spans="1:12" x14ac:dyDescent="0.15">
      <c r="A51">
        <v>230</v>
      </c>
      <c r="B51">
        <v>1308.75</v>
      </c>
      <c r="C51">
        <v>1299.33</v>
      </c>
      <c r="D51">
        <v>1289.71</v>
      </c>
      <c r="E51">
        <v>1279.8900000000001</v>
      </c>
      <c r="F51">
        <v>1269.8800000000001</v>
      </c>
      <c r="G51">
        <v>1259.67</v>
      </c>
      <c r="H51">
        <v>1249.26</v>
      </c>
      <c r="I51">
        <v>1238.6500000000001</v>
      </c>
      <c r="J51">
        <v>1226.92</v>
      </c>
      <c r="K51">
        <v>1209.03</v>
      </c>
      <c r="L51">
        <v>1185.92</v>
      </c>
    </row>
    <row r="52" spans="1:12" x14ac:dyDescent="0.15">
      <c r="A52">
        <v>235</v>
      </c>
      <c r="B52">
        <v>1316.87</v>
      </c>
      <c r="C52">
        <v>1307.58</v>
      </c>
      <c r="D52">
        <v>1298.0999999999999</v>
      </c>
      <c r="E52">
        <v>1288.42</v>
      </c>
      <c r="F52">
        <v>1278.54</v>
      </c>
      <c r="G52">
        <v>1268.46</v>
      </c>
      <c r="H52">
        <v>1258.18</v>
      </c>
      <c r="I52">
        <v>1247.71</v>
      </c>
      <c r="J52">
        <v>1237.04</v>
      </c>
      <c r="K52">
        <v>1223.31</v>
      </c>
      <c r="L52">
        <v>1202.01</v>
      </c>
    </row>
    <row r="53" spans="1:12" x14ac:dyDescent="0.15">
      <c r="A53">
        <v>240</v>
      </c>
      <c r="B53">
        <v>1324.88</v>
      </c>
      <c r="C53">
        <v>1315.73</v>
      </c>
      <c r="D53">
        <v>1306.3800000000001</v>
      </c>
      <c r="E53">
        <v>1296.83</v>
      </c>
      <c r="F53">
        <v>1287.08</v>
      </c>
      <c r="G53">
        <v>1277.1400000000001</v>
      </c>
      <c r="H53">
        <v>1267</v>
      </c>
      <c r="I53">
        <v>1256.6600000000001</v>
      </c>
      <c r="J53">
        <v>1246.1199999999999</v>
      </c>
      <c r="K53">
        <v>1234.0999999999999</v>
      </c>
      <c r="L53">
        <v>1216.29</v>
      </c>
    </row>
    <row r="54" spans="1:12" x14ac:dyDescent="0.15">
      <c r="A54">
        <v>245</v>
      </c>
      <c r="B54">
        <v>1332.78</v>
      </c>
      <c r="C54">
        <v>1323.76</v>
      </c>
      <c r="D54">
        <v>1314.54</v>
      </c>
      <c r="E54">
        <v>1305.1300000000001</v>
      </c>
      <c r="F54">
        <v>1295.52</v>
      </c>
      <c r="G54">
        <v>1285.71</v>
      </c>
      <c r="H54">
        <v>1275.7</v>
      </c>
      <c r="I54">
        <v>1265.5</v>
      </c>
      <c r="J54">
        <v>1255.0999999999999</v>
      </c>
      <c r="K54">
        <v>1244.45</v>
      </c>
      <c r="L54">
        <v>1230.48</v>
      </c>
    </row>
    <row r="55" spans="1:12" x14ac:dyDescent="0.15">
      <c r="A55">
        <v>250</v>
      </c>
      <c r="B55">
        <v>1340.57</v>
      </c>
      <c r="C55">
        <v>1331.68</v>
      </c>
      <c r="D55">
        <v>1322.6</v>
      </c>
      <c r="E55">
        <v>1313.32</v>
      </c>
      <c r="F55">
        <v>1303.8399999999999</v>
      </c>
      <c r="G55">
        <v>1294.17</v>
      </c>
      <c r="H55">
        <v>1284.29</v>
      </c>
      <c r="I55">
        <v>1274.22</v>
      </c>
      <c r="J55">
        <v>1263.96</v>
      </c>
      <c r="K55">
        <v>1253.49</v>
      </c>
      <c r="L55">
        <v>1241.18</v>
      </c>
    </row>
    <row r="56" spans="1:12" x14ac:dyDescent="0.15">
      <c r="A56">
        <v>255</v>
      </c>
      <c r="B56">
        <v>1348.25</v>
      </c>
      <c r="C56">
        <v>1339.49</v>
      </c>
      <c r="D56">
        <v>1330.54</v>
      </c>
      <c r="E56">
        <v>1321.4</v>
      </c>
      <c r="F56">
        <v>1312.05</v>
      </c>
      <c r="G56">
        <v>1302.51</v>
      </c>
      <c r="H56">
        <v>1292.77</v>
      </c>
      <c r="I56">
        <v>1282.8399999999999</v>
      </c>
      <c r="J56">
        <v>1272.7</v>
      </c>
      <c r="K56">
        <v>1262.3699999999999</v>
      </c>
      <c r="L56">
        <v>1251.52</v>
      </c>
    </row>
    <row r="57" spans="1:12" x14ac:dyDescent="0.15">
      <c r="A57">
        <v>260</v>
      </c>
      <c r="B57">
        <v>1355.81</v>
      </c>
      <c r="C57">
        <v>1347.19</v>
      </c>
      <c r="D57">
        <v>1338.38</v>
      </c>
      <c r="E57">
        <v>1329.36</v>
      </c>
      <c r="F57">
        <v>1320.15</v>
      </c>
      <c r="G57">
        <v>1310.74</v>
      </c>
      <c r="H57">
        <v>1301.1400000000001</v>
      </c>
      <c r="I57">
        <v>1291.3399999999999</v>
      </c>
      <c r="J57">
        <v>1281.3399999999999</v>
      </c>
      <c r="K57">
        <v>1271.1400000000001</v>
      </c>
      <c r="L57">
        <v>1260.75</v>
      </c>
    </row>
    <row r="58" spans="1:12" x14ac:dyDescent="0.15">
      <c r="A58">
        <v>265</v>
      </c>
      <c r="B58">
        <v>1363.27</v>
      </c>
      <c r="C58">
        <v>1354.78</v>
      </c>
      <c r="D58">
        <v>1346.1</v>
      </c>
      <c r="E58">
        <v>1337.22</v>
      </c>
      <c r="F58">
        <v>1328.14</v>
      </c>
      <c r="G58">
        <v>1318.87</v>
      </c>
      <c r="H58">
        <v>1309.3900000000001</v>
      </c>
      <c r="I58">
        <v>1299.73</v>
      </c>
      <c r="J58">
        <v>1289.8599999999999</v>
      </c>
      <c r="K58">
        <v>1279.8</v>
      </c>
      <c r="L58">
        <v>1269.54</v>
      </c>
    </row>
    <row r="59" spans="1:12" x14ac:dyDescent="0.15">
      <c r="A59">
        <v>270</v>
      </c>
      <c r="B59">
        <v>1370.61</v>
      </c>
      <c r="C59">
        <v>1362.26</v>
      </c>
      <c r="D59">
        <v>1353.71</v>
      </c>
      <c r="E59">
        <v>1344.96</v>
      </c>
      <c r="F59">
        <v>1336.02</v>
      </c>
      <c r="G59">
        <v>1326.87</v>
      </c>
      <c r="H59">
        <v>1317.54</v>
      </c>
      <c r="I59">
        <v>1308</v>
      </c>
      <c r="J59">
        <v>1298.27</v>
      </c>
      <c r="K59">
        <v>1288.3499999999999</v>
      </c>
      <c r="L59">
        <v>1278.22</v>
      </c>
    </row>
    <row r="60" spans="1:12" x14ac:dyDescent="0.15">
      <c r="A60">
        <v>275</v>
      </c>
      <c r="B60">
        <v>1377.85</v>
      </c>
      <c r="C60">
        <v>1369.63</v>
      </c>
      <c r="D60">
        <v>1361.21</v>
      </c>
      <c r="E60">
        <v>1352.59</v>
      </c>
      <c r="F60">
        <v>1343.78</v>
      </c>
      <c r="G60">
        <v>1334.77</v>
      </c>
      <c r="H60">
        <v>1325.57</v>
      </c>
      <c r="I60">
        <v>1316.17</v>
      </c>
      <c r="J60">
        <v>1306.57</v>
      </c>
      <c r="K60">
        <v>1296.78</v>
      </c>
      <c r="L60">
        <v>1286.79</v>
      </c>
    </row>
    <row r="61" spans="1:12" x14ac:dyDescent="0.15">
      <c r="A61">
        <v>280</v>
      </c>
      <c r="B61">
        <v>1384.97</v>
      </c>
      <c r="C61">
        <v>1376.88</v>
      </c>
      <c r="D61">
        <v>1368.6</v>
      </c>
      <c r="E61">
        <v>1360.11</v>
      </c>
      <c r="F61">
        <v>1351.43</v>
      </c>
      <c r="G61">
        <v>1342.56</v>
      </c>
      <c r="H61">
        <v>1333.49</v>
      </c>
      <c r="I61">
        <v>1324.22</v>
      </c>
      <c r="J61">
        <v>1314.76</v>
      </c>
      <c r="K61">
        <v>1305.0999999999999</v>
      </c>
      <c r="L61">
        <v>1295.24</v>
      </c>
    </row>
    <row r="62" spans="1:12" x14ac:dyDescent="0.15">
      <c r="A62">
        <v>285</v>
      </c>
      <c r="B62">
        <v>1391.98</v>
      </c>
      <c r="C62">
        <v>1384.03</v>
      </c>
      <c r="D62">
        <v>1375.87</v>
      </c>
      <c r="E62">
        <v>1367.52</v>
      </c>
      <c r="F62">
        <v>1358.98</v>
      </c>
      <c r="G62">
        <v>1350.23</v>
      </c>
      <c r="H62">
        <v>1341.3</v>
      </c>
      <c r="I62">
        <v>1332.16</v>
      </c>
      <c r="J62">
        <v>1322.83</v>
      </c>
      <c r="K62">
        <v>1313.31</v>
      </c>
      <c r="L62">
        <v>1303.58</v>
      </c>
    </row>
    <row r="63" spans="1:12" x14ac:dyDescent="0.15">
      <c r="A63">
        <v>290</v>
      </c>
      <c r="B63">
        <v>1398.89</v>
      </c>
      <c r="C63">
        <v>1391.06</v>
      </c>
      <c r="D63">
        <v>1383.04</v>
      </c>
      <c r="E63">
        <v>1374.82</v>
      </c>
      <c r="F63">
        <v>1366.41</v>
      </c>
      <c r="G63">
        <v>1357.8</v>
      </c>
      <c r="H63">
        <v>1348.99</v>
      </c>
      <c r="I63">
        <v>1339.99</v>
      </c>
      <c r="J63">
        <v>1330.79</v>
      </c>
      <c r="K63">
        <v>1321.4</v>
      </c>
      <c r="L63">
        <v>1311.81</v>
      </c>
    </row>
    <row r="64" spans="1:12" x14ac:dyDescent="0.15">
      <c r="A64">
        <v>295</v>
      </c>
      <c r="B64">
        <v>1405.68</v>
      </c>
      <c r="C64">
        <v>1397.98</v>
      </c>
      <c r="D64">
        <v>1390.09</v>
      </c>
      <c r="E64">
        <v>1382.01</v>
      </c>
      <c r="F64">
        <v>1373.73</v>
      </c>
      <c r="G64">
        <v>1365.25</v>
      </c>
      <c r="H64">
        <v>1356.58</v>
      </c>
      <c r="I64">
        <v>1347.71</v>
      </c>
      <c r="J64">
        <v>1338.64</v>
      </c>
      <c r="K64">
        <v>1329.39</v>
      </c>
      <c r="L64">
        <v>1319.93</v>
      </c>
    </row>
    <row r="65" spans="1:12" x14ac:dyDescent="0.15">
      <c r="A65">
        <v>300</v>
      </c>
      <c r="B65">
        <v>1412.36</v>
      </c>
      <c r="C65">
        <v>1404.79</v>
      </c>
      <c r="D65">
        <v>1397.04</v>
      </c>
      <c r="E65">
        <v>1389.08</v>
      </c>
      <c r="F65">
        <v>1380.93</v>
      </c>
      <c r="G65">
        <v>1372.59</v>
      </c>
      <c r="H65">
        <v>1364.05</v>
      </c>
      <c r="I65">
        <v>1355.31</v>
      </c>
      <c r="J65">
        <v>1346.38</v>
      </c>
      <c r="K65">
        <v>1337.26</v>
      </c>
      <c r="L65">
        <v>1327.93</v>
      </c>
    </row>
    <row r="66" spans="1:12" x14ac:dyDescent="0.15">
      <c r="A66">
        <v>305</v>
      </c>
      <c r="B66">
        <v>1418.92</v>
      </c>
      <c r="C66">
        <v>1411.49</v>
      </c>
      <c r="D66">
        <v>1403.87</v>
      </c>
      <c r="E66">
        <v>1396.05</v>
      </c>
      <c r="F66">
        <v>1388.03</v>
      </c>
      <c r="G66">
        <v>1379.82</v>
      </c>
      <c r="H66">
        <v>1371.41</v>
      </c>
      <c r="I66">
        <v>1362.81</v>
      </c>
      <c r="J66">
        <v>1354.01</v>
      </c>
      <c r="K66">
        <v>1345.01</v>
      </c>
      <c r="L66">
        <v>1335.83</v>
      </c>
    </row>
    <row r="67" spans="1:12" x14ac:dyDescent="0.15">
      <c r="A67">
        <v>310</v>
      </c>
      <c r="B67">
        <v>1425.38</v>
      </c>
      <c r="C67">
        <v>1418.08</v>
      </c>
      <c r="D67">
        <v>1410.59</v>
      </c>
      <c r="E67">
        <v>1402.9</v>
      </c>
      <c r="F67">
        <v>1395.01</v>
      </c>
      <c r="G67">
        <v>1386.93</v>
      </c>
      <c r="H67">
        <v>1378.66</v>
      </c>
      <c r="I67">
        <v>1370.19</v>
      </c>
      <c r="J67">
        <v>1361.52</v>
      </c>
      <c r="K67">
        <v>1352.66</v>
      </c>
      <c r="L67">
        <v>1343.61</v>
      </c>
    </row>
    <row r="68" spans="1:12" x14ac:dyDescent="0.15">
      <c r="A68">
        <v>315</v>
      </c>
      <c r="B68">
        <v>1431.73</v>
      </c>
      <c r="C68">
        <v>1424.56</v>
      </c>
      <c r="D68">
        <v>1417.2</v>
      </c>
      <c r="E68">
        <v>1409.64</v>
      </c>
      <c r="F68">
        <v>1401.88</v>
      </c>
      <c r="G68">
        <v>1393.94</v>
      </c>
      <c r="H68">
        <v>1385.79</v>
      </c>
      <c r="I68">
        <v>1377.46</v>
      </c>
      <c r="J68">
        <v>1368.92</v>
      </c>
      <c r="K68">
        <v>1360.19</v>
      </c>
      <c r="L68">
        <v>1351.27</v>
      </c>
    </row>
    <row r="69" spans="1:12" x14ac:dyDescent="0.15">
      <c r="A69">
        <v>320</v>
      </c>
      <c r="B69">
        <v>1437.97</v>
      </c>
      <c r="C69">
        <v>1430.93</v>
      </c>
      <c r="D69">
        <v>1423.7</v>
      </c>
      <c r="E69">
        <v>1416.27</v>
      </c>
      <c r="F69">
        <v>1408.65</v>
      </c>
      <c r="G69">
        <v>1400.83</v>
      </c>
      <c r="H69">
        <v>1392.82</v>
      </c>
      <c r="I69">
        <v>1384.61</v>
      </c>
      <c r="J69">
        <v>1376.21</v>
      </c>
      <c r="K69">
        <v>1367.62</v>
      </c>
      <c r="L69">
        <v>1358.83</v>
      </c>
    </row>
    <row r="70" spans="1:12" x14ac:dyDescent="0.15">
      <c r="A70">
        <v>325</v>
      </c>
      <c r="B70">
        <v>1444.09</v>
      </c>
      <c r="C70">
        <v>1437.18</v>
      </c>
      <c r="D70">
        <v>1430.08</v>
      </c>
      <c r="E70">
        <v>1422.79</v>
      </c>
      <c r="F70">
        <v>1415.3</v>
      </c>
      <c r="G70">
        <v>1407.61</v>
      </c>
      <c r="H70">
        <v>1399.73</v>
      </c>
      <c r="I70">
        <v>1391.66</v>
      </c>
      <c r="J70">
        <v>1383.39</v>
      </c>
      <c r="K70">
        <v>1374.93</v>
      </c>
      <c r="L70">
        <v>1366.27</v>
      </c>
    </row>
    <row r="71" spans="1:12" x14ac:dyDescent="0.15">
      <c r="A71">
        <v>330</v>
      </c>
      <c r="B71">
        <v>1450.1</v>
      </c>
      <c r="C71">
        <v>1443.33</v>
      </c>
      <c r="D71">
        <v>1436.36</v>
      </c>
      <c r="E71">
        <v>1429.19</v>
      </c>
      <c r="F71">
        <v>1421.83</v>
      </c>
      <c r="G71">
        <v>1414.28</v>
      </c>
      <c r="H71">
        <v>1406.53</v>
      </c>
      <c r="I71">
        <v>1398.59</v>
      </c>
      <c r="J71">
        <v>1390.45</v>
      </c>
      <c r="K71">
        <v>1382.12</v>
      </c>
      <c r="L71">
        <v>1373.6</v>
      </c>
    </row>
    <row r="72" spans="1:12" x14ac:dyDescent="0.15">
      <c r="A72">
        <v>335</v>
      </c>
      <c r="B72">
        <v>1456.01</v>
      </c>
      <c r="C72">
        <v>1449.36</v>
      </c>
      <c r="D72">
        <v>1442.52</v>
      </c>
      <c r="E72">
        <v>1435.49</v>
      </c>
      <c r="F72">
        <v>1428.26</v>
      </c>
      <c r="G72">
        <v>1420.84</v>
      </c>
      <c r="H72">
        <v>1413.22</v>
      </c>
      <c r="I72">
        <v>1405.41</v>
      </c>
      <c r="J72">
        <v>1397.41</v>
      </c>
      <c r="K72">
        <v>1389.21</v>
      </c>
      <c r="L72">
        <v>1380.81</v>
      </c>
    </row>
    <row r="73" spans="1:12" x14ac:dyDescent="0.15">
      <c r="A73">
        <v>340</v>
      </c>
      <c r="B73">
        <v>1461.8</v>
      </c>
      <c r="C73">
        <v>1455.28</v>
      </c>
      <c r="D73">
        <v>1448.58</v>
      </c>
      <c r="E73">
        <v>1441.67</v>
      </c>
      <c r="F73">
        <v>1434.57</v>
      </c>
      <c r="G73">
        <v>1427.28</v>
      </c>
      <c r="H73">
        <v>1419.8</v>
      </c>
      <c r="I73">
        <v>1412.12</v>
      </c>
      <c r="J73">
        <v>1404.25</v>
      </c>
      <c r="K73">
        <v>1396.18</v>
      </c>
      <c r="L73">
        <v>1387.92</v>
      </c>
    </row>
    <row r="74" spans="1:12" x14ac:dyDescent="0.15">
      <c r="A74">
        <v>345</v>
      </c>
      <c r="B74">
        <v>1467.48</v>
      </c>
      <c r="C74">
        <v>1461.1</v>
      </c>
      <c r="D74">
        <v>1454.52</v>
      </c>
      <c r="E74">
        <v>1447.75</v>
      </c>
      <c r="F74">
        <v>1440.78</v>
      </c>
      <c r="G74">
        <v>1433.62</v>
      </c>
      <c r="H74">
        <v>1426.26</v>
      </c>
      <c r="I74">
        <v>1418.72</v>
      </c>
      <c r="J74">
        <v>1410.97</v>
      </c>
      <c r="K74">
        <v>1403.04</v>
      </c>
      <c r="L74">
        <v>1394.91</v>
      </c>
    </row>
    <row r="75" spans="1:12" x14ac:dyDescent="0.15">
      <c r="A75">
        <v>350</v>
      </c>
      <c r="B75">
        <v>1473.05</v>
      </c>
      <c r="C75">
        <v>1466.8</v>
      </c>
      <c r="D75">
        <v>1460.35</v>
      </c>
      <c r="E75">
        <v>1453.71</v>
      </c>
      <c r="F75">
        <v>1446.87</v>
      </c>
      <c r="G75">
        <v>1439.84</v>
      </c>
      <c r="H75">
        <v>1432.62</v>
      </c>
      <c r="I75">
        <v>1425.2</v>
      </c>
      <c r="J75">
        <v>1417.59</v>
      </c>
      <c r="K75">
        <v>1409.79</v>
      </c>
      <c r="L75">
        <v>1401.79</v>
      </c>
    </row>
    <row r="76" spans="1:12" x14ac:dyDescent="0.15">
      <c r="A76">
        <v>355</v>
      </c>
      <c r="B76">
        <v>1478.51</v>
      </c>
      <c r="C76">
        <v>1472.39</v>
      </c>
      <c r="D76">
        <v>1466.07</v>
      </c>
      <c r="E76">
        <v>1459.56</v>
      </c>
      <c r="F76">
        <v>1452.85</v>
      </c>
      <c r="G76">
        <v>1445.95</v>
      </c>
      <c r="H76">
        <v>1438.86</v>
      </c>
      <c r="I76">
        <v>1431.57</v>
      </c>
      <c r="J76">
        <v>1424.09</v>
      </c>
      <c r="K76">
        <v>1416.42</v>
      </c>
      <c r="L76">
        <v>1408.55</v>
      </c>
    </row>
    <row r="77" spans="1:12" x14ac:dyDescent="0.15">
      <c r="A77">
        <v>360</v>
      </c>
      <c r="B77">
        <v>1483.86</v>
      </c>
      <c r="C77">
        <v>1477.86</v>
      </c>
      <c r="D77">
        <v>1471.68</v>
      </c>
      <c r="E77">
        <v>1465.29</v>
      </c>
      <c r="F77">
        <v>1458.72</v>
      </c>
      <c r="G77">
        <v>1451.95</v>
      </c>
      <c r="H77">
        <v>1444.99</v>
      </c>
      <c r="I77">
        <v>1437.83</v>
      </c>
      <c r="J77">
        <v>1430.48</v>
      </c>
      <c r="K77">
        <v>1422.94</v>
      </c>
      <c r="L77">
        <v>1415.21</v>
      </c>
    </row>
    <row r="78" spans="1:12" x14ac:dyDescent="0.15">
      <c r="A78">
        <v>365</v>
      </c>
      <c r="B78">
        <v>1489.1</v>
      </c>
      <c r="C78">
        <v>1483.23</v>
      </c>
      <c r="D78">
        <v>1477.17</v>
      </c>
      <c r="E78">
        <v>1470.92</v>
      </c>
      <c r="F78">
        <v>1464.48</v>
      </c>
      <c r="G78">
        <v>1457.84</v>
      </c>
      <c r="H78">
        <v>1451.01</v>
      </c>
      <c r="I78">
        <v>1443.98</v>
      </c>
      <c r="J78">
        <v>1436.76</v>
      </c>
      <c r="K78">
        <v>1429.35</v>
      </c>
      <c r="L78">
        <v>1421.75</v>
      </c>
    </row>
    <row r="79" spans="1:12" x14ac:dyDescent="0.15">
      <c r="A79">
        <v>370</v>
      </c>
      <c r="B79">
        <v>1494.23</v>
      </c>
      <c r="C79">
        <v>1488.49</v>
      </c>
      <c r="D79">
        <v>1482.56</v>
      </c>
      <c r="E79">
        <v>1476.44</v>
      </c>
      <c r="F79">
        <v>1470.12</v>
      </c>
      <c r="G79">
        <v>1463.61</v>
      </c>
      <c r="H79">
        <v>1456.91</v>
      </c>
      <c r="I79">
        <v>1450.02</v>
      </c>
      <c r="J79">
        <v>1442.93</v>
      </c>
      <c r="K79">
        <v>1435.65</v>
      </c>
      <c r="L79">
        <v>1428.18</v>
      </c>
    </row>
    <row r="80" spans="1:12" x14ac:dyDescent="0.15">
      <c r="A80">
        <v>375</v>
      </c>
      <c r="B80">
        <v>1499.24</v>
      </c>
      <c r="C80">
        <v>1493.63</v>
      </c>
      <c r="D80">
        <v>1487.83</v>
      </c>
      <c r="E80">
        <v>1481.84</v>
      </c>
      <c r="F80">
        <v>1475.65</v>
      </c>
      <c r="G80">
        <v>1469.28</v>
      </c>
      <c r="H80">
        <v>1462.71</v>
      </c>
      <c r="I80">
        <v>1455.94</v>
      </c>
      <c r="J80">
        <v>1448.99</v>
      </c>
      <c r="K80">
        <v>1441.84</v>
      </c>
      <c r="L80">
        <v>1434.49</v>
      </c>
    </row>
    <row r="81" spans="1:12" x14ac:dyDescent="0.15">
      <c r="A81">
        <v>380</v>
      </c>
      <c r="B81">
        <v>1504.15</v>
      </c>
      <c r="C81">
        <v>1498.67</v>
      </c>
      <c r="D81">
        <v>1493</v>
      </c>
      <c r="E81">
        <v>1487.13</v>
      </c>
      <c r="F81">
        <v>1481.08</v>
      </c>
      <c r="G81">
        <v>1474.83</v>
      </c>
      <c r="H81">
        <v>1468.39</v>
      </c>
      <c r="I81">
        <v>1461.75</v>
      </c>
      <c r="J81">
        <v>1454.93</v>
      </c>
      <c r="K81">
        <v>1447.91</v>
      </c>
      <c r="L81">
        <v>1440.7</v>
      </c>
    </row>
    <row r="82" spans="1:12" x14ac:dyDescent="0.15">
      <c r="A82">
        <v>385</v>
      </c>
      <c r="B82">
        <v>1508.94</v>
      </c>
      <c r="C82">
        <v>1503.59</v>
      </c>
      <c r="D82">
        <v>1498.05</v>
      </c>
      <c r="E82">
        <v>1492.32</v>
      </c>
      <c r="F82">
        <v>1486.39</v>
      </c>
      <c r="G82">
        <v>1480.27</v>
      </c>
      <c r="H82">
        <v>1473.96</v>
      </c>
      <c r="I82">
        <v>1467.45</v>
      </c>
      <c r="J82">
        <v>1460.76</v>
      </c>
      <c r="K82">
        <v>1453.87</v>
      </c>
      <c r="L82">
        <v>1446.79</v>
      </c>
    </row>
    <row r="83" spans="1:12" x14ac:dyDescent="0.15">
      <c r="A83">
        <v>390</v>
      </c>
      <c r="B83">
        <v>1513.62</v>
      </c>
      <c r="C83">
        <v>1508.4</v>
      </c>
      <c r="D83">
        <v>1502.99</v>
      </c>
      <c r="E83">
        <v>1497.39</v>
      </c>
      <c r="F83">
        <v>1491.59</v>
      </c>
      <c r="G83">
        <v>1485.6</v>
      </c>
      <c r="H83">
        <v>1479.42</v>
      </c>
      <c r="I83">
        <v>1473.04</v>
      </c>
      <c r="J83">
        <v>1466.48</v>
      </c>
      <c r="K83">
        <v>1459.72</v>
      </c>
      <c r="L83">
        <v>1452.77</v>
      </c>
    </row>
    <row r="84" spans="1:12" x14ac:dyDescent="0.15">
      <c r="A84">
        <v>395</v>
      </c>
      <c r="B84">
        <v>1518.2</v>
      </c>
      <c r="C84">
        <v>1513.1</v>
      </c>
      <c r="D84">
        <v>1507.82</v>
      </c>
      <c r="E84">
        <v>1502.34</v>
      </c>
      <c r="F84">
        <v>1496.68</v>
      </c>
      <c r="G84">
        <v>1490.82</v>
      </c>
      <c r="H84">
        <v>1484.76</v>
      </c>
      <c r="I84">
        <v>1478.52</v>
      </c>
      <c r="J84">
        <v>1472.08</v>
      </c>
      <c r="K84">
        <v>1465.46</v>
      </c>
      <c r="L84">
        <v>1458.64</v>
      </c>
    </row>
    <row r="85" spans="1:12" x14ac:dyDescent="0.15">
      <c r="A85">
        <v>400</v>
      </c>
      <c r="B85">
        <v>1522.66</v>
      </c>
      <c r="C85">
        <v>1517.69</v>
      </c>
      <c r="D85">
        <v>1512.54</v>
      </c>
      <c r="E85">
        <v>1507.19</v>
      </c>
      <c r="F85">
        <v>1501.65</v>
      </c>
      <c r="G85">
        <v>1495.92</v>
      </c>
      <c r="H85">
        <v>1490</v>
      </c>
      <c r="I85">
        <v>1483.88</v>
      </c>
      <c r="J85">
        <v>1477.58</v>
      </c>
      <c r="K85">
        <v>1471.08</v>
      </c>
      <c r="L85">
        <v>1464.39</v>
      </c>
    </row>
    <row r="86" spans="1:12" x14ac:dyDescent="0.15">
      <c r="A86">
        <v>405</v>
      </c>
      <c r="B86">
        <v>1527.01</v>
      </c>
      <c r="C86">
        <v>1522.17</v>
      </c>
      <c r="D86">
        <v>1517.15</v>
      </c>
      <c r="E86">
        <v>1511.93</v>
      </c>
      <c r="F86">
        <v>1506.52</v>
      </c>
      <c r="G86">
        <v>1500.91</v>
      </c>
      <c r="H86">
        <v>1495.12</v>
      </c>
      <c r="I86">
        <v>1489.14</v>
      </c>
      <c r="J86">
        <v>1482.96</v>
      </c>
      <c r="K86">
        <v>1476.59</v>
      </c>
      <c r="L86">
        <v>1470.03</v>
      </c>
    </row>
    <row r="87" spans="1:12" x14ac:dyDescent="0.15">
      <c r="A87">
        <v>410</v>
      </c>
      <c r="B87">
        <v>1531.25</v>
      </c>
      <c r="C87">
        <v>1526.54</v>
      </c>
      <c r="D87">
        <v>1521.64</v>
      </c>
      <c r="E87">
        <v>1516.55</v>
      </c>
      <c r="F87">
        <v>1511.27</v>
      </c>
      <c r="G87">
        <v>1505.8</v>
      </c>
      <c r="H87">
        <v>1500.13</v>
      </c>
      <c r="I87">
        <v>1494.28</v>
      </c>
      <c r="J87">
        <v>1488.23</v>
      </c>
      <c r="K87">
        <v>1481.99</v>
      </c>
      <c r="L87">
        <v>1475.56</v>
      </c>
    </row>
    <row r="88" spans="1:12" x14ac:dyDescent="0.15">
      <c r="A88">
        <v>415</v>
      </c>
      <c r="B88">
        <v>1535.38</v>
      </c>
      <c r="C88">
        <v>1530.8</v>
      </c>
      <c r="D88">
        <v>1526.03</v>
      </c>
      <c r="E88">
        <v>1521.07</v>
      </c>
      <c r="F88">
        <v>1515.91</v>
      </c>
      <c r="G88">
        <v>1510.57</v>
      </c>
      <c r="H88">
        <v>1505.03</v>
      </c>
      <c r="I88">
        <v>1499.3</v>
      </c>
      <c r="J88">
        <v>1493.39</v>
      </c>
      <c r="K88">
        <v>1487.28</v>
      </c>
      <c r="L88">
        <v>1480.98</v>
      </c>
    </row>
    <row r="89" spans="1:12" x14ac:dyDescent="0.15">
      <c r="A89">
        <v>420</v>
      </c>
      <c r="B89">
        <v>1539.39</v>
      </c>
      <c r="C89">
        <v>1534.94</v>
      </c>
      <c r="D89">
        <v>1530.3</v>
      </c>
      <c r="E89">
        <v>1525.47</v>
      </c>
      <c r="F89">
        <v>1520.44</v>
      </c>
      <c r="G89">
        <v>1515.22</v>
      </c>
      <c r="H89">
        <v>1509.82</v>
      </c>
      <c r="I89">
        <v>1504.22</v>
      </c>
      <c r="J89">
        <v>1498.43</v>
      </c>
      <c r="K89">
        <v>1492.45</v>
      </c>
      <c r="L89">
        <v>1486.28</v>
      </c>
    </row>
    <row r="90" spans="1:12" x14ac:dyDescent="0.15">
      <c r="A90">
        <v>425</v>
      </c>
      <c r="B90">
        <v>1543.3</v>
      </c>
      <c r="C90">
        <v>1538.98</v>
      </c>
      <c r="D90">
        <v>1534.46</v>
      </c>
      <c r="E90">
        <v>1529.76</v>
      </c>
      <c r="F90">
        <v>1524.86</v>
      </c>
      <c r="G90">
        <v>1519.77</v>
      </c>
      <c r="H90">
        <v>1514.49</v>
      </c>
      <c r="I90">
        <v>1509.02</v>
      </c>
      <c r="J90">
        <v>1503.36</v>
      </c>
      <c r="K90">
        <v>1497.51</v>
      </c>
      <c r="L90">
        <v>1491.47</v>
      </c>
    </row>
    <row r="91" spans="1:12" x14ac:dyDescent="0.15">
      <c r="A91">
        <v>430</v>
      </c>
      <c r="B91">
        <v>1547.1</v>
      </c>
      <c r="C91">
        <v>1542.9</v>
      </c>
      <c r="D91">
        <v>1538.51</v>
      </c>
      <c r="E91">
        <v>1533.94</v>
      </c>
      <c r="F91">
        <v>1529.17</v>
      </c>
      <c r="G91">
        <v>1524.21</v>
      </c>
      <c r="H91">
        <v>1519.06</v>
      </c>
      <c r="I91">
        <v>1513.72</v>
      </c>
      <c r="J91">
        <v>1508.18</v>
      </c>
      <c r="K91">
        <v>1502.46</v>
      </c>
      <c r="L91">
        <v>1496.55</v>
      </c>
    </row>
    <row r="92" spans="1:12" x14ac:dyDescent="0.15">
      <c r="A92">
        <v>435</v>
      </c>
      <c r="B92">
        <v>1550.78</v>
      </c>
      <c r="C92">
        <v>1546.71</v>
      </c>
      <c r="D92">
        <v>1542.45</v>
      </c>
      <c r="E92">
        <v>1538</v>
      </c>
      <c r="F92">
        <v>1533.36</v>
      </c>
      <c r="G92">
        <v>1528.53</v>
      </c>
      <c r="H92">
        <v>1523.51</v>
      </c>
      <c r="I92">
        <v>1518.3</v>
      </c>
      <c r="J92">
        <v>1512.89</v>
      </c>
      <c r="K92">
        <v>1507.3</v>
      </c>
      <c r="L92">
        <v>1501.52</v>
      </c>
    </row>
    <row r="93" spans="1:12" x14ac:dyDescent="0.15">
      <c r="A93">
        <v>440</v>
      </c>
      <c r="B93">
        <v>1554.36</v>
      </c>
      <c r="C93">
        <v>1550.41</v>
      </c>
      <c r="D93">
        <v>1546.28</v>
      </c>
      <c r="E93">
        <v>1541.96</v>
      </c>
      <c r="F93">
        <v>1537.45</v>
      </c>
      <c r="G93">
        <v>1532.74</v>
      </c>
      <c r="H93">
        <v>1527.85</v>
      </c>
      <c r="I93">
        <v>1522.76</v>
      </c>
      <c r="J93">
        <v>1517.49</v>
      </c>
      <c r="K93">
        <v>1512.02</v>
      </c>
      <c r="L93">
        <v>1506.37</v>
      </c>
    </row>
    <row r="94" spans="1:12" x14ac:dyDescent="0.15">
      <c r="A94">
        <v>445</v>
      </c>
      <c r="B94">
        <v>1557.82</v>
      </c>
      <c r="C94">
        <v>1554</v>
      </c>
      <c r="D94">
        <v>1550</v>
      </c>
      <c r="E94">
        <v>1545.8</v>
      </c>
      <c r="F94">
        <v>1541.42</v>
      </c>
      <c r="G94">
        <v>1536.84</v>
      </c>
      <c r="H94">
        <v>1532.08</v>
      </c>
      <c r="I94">
        <v>1527.12</v>
      </c>
      <c r="J94">
        <v>1521.97</v>
      </c>
      <c r="K94">
        <v>1516.64</v>
      </c>
      <c r="L94">
        <v>1511.11</v>
      </c>
    </row>
    <row r="95" spans="1:12" x14ac:dyDescent="0.15">
      <c r="A95">
        <v>450</v>
      </c>
      <c r="B95">
        <v>1561.34</v>
      </c>
      <c r="C95">
        <v>1557.66</v>
      </c>
      <c r="D95">
        <v>1553.78</v>
      </c>
      <c r="E95">
        <v>1549.72</v>
      </c>
      <c r="F95">
        <v>1545.47</v>
      </c>
      <c r="G95">
        <v>1541.02</v>
      </c>
      <c r="H95">
        <v>1536.38</v>
      </c>
      <c r="I95">
        <v>1531.56</v>
      </c>
      <c r="J95">
        <v>1526.54</v>
      </c>
      <c r="K95">
        <v>1521.34</v>
      </c>
      <c r="L95">
        <v>1515.94</v>
      </c>
    </row>
    <row r="96" spans="1:12" x14ac:dyDescent="0.15">
      <c r="A96">
        <v>455</v>
      </c>
      <c r="B96">
        <v>1564.75</v>
      </c>
      <c r="C96">
        <v>1561.19</v>
      </c>
      <c r="D96">
        <v>1557.45</v>
      </c>
      <c r="E96">
        <v>1553.52</v>
      </c>
      <c r="F96">
        <v>1549.39</v>
      </c>
      <c r="G96">
        <v>1545.08</v>
      </c>
      <c r="H96">
        <v>1540.57</v>
      </c>
      <c r="I96">
        <v>1535.88</v>
      </c>
      <c r="J96">
        <v>1530.99</v>
      </c>
      <c r="K96">
        <v>1525.92</v>
      </c>
      <c r="L96">
        <v>1520.65</v>
      </c>
    </row>
    <row r="97" spans="1:12" x14ac:dyDescent="0.15">
      <c r="A97">
        <v>460</v>
      </c>
      <c r="B97">
        <v>1568.03</v>
      </c>
      <c r="C97">
        <v>1564.6</v>
      </c>
      <c r="D97">
        <v>1560.99</v>
      </c>
      <c r="E97">
        <v>1557.19</v>
      </c>
      <c r="F97">
        <v>1553.2</v>
      </c>
      <c r="G97">
        <v>1549.01</v>
      </c>
      <c r="H97">
        <v>1544.64</v>
      </c>
      <c r="I97">
        <v>1540.08</v>
      </c>
      <c r="J97">
        <v>1535.32</v>
      </c>
      <c r="K97">
        <v>1530.38</v>
      </c>
      <c r="L97">
        <v>1525.24</v>
      </c>
    </row>
    <row r="98" spans="1:12" x14ac:dyDescent="0.15">
      <c r="A98">
        <v>465</v>
      </c>
      <c r="B98">
        <v>1571.18</v>
      </c>
      <c r="C98">
        <v>1567.89</v>
      </c>
      <c r="D98">
        <v>1564.41</v>
      </c>
      <c r="E98">
        <v>1560.74</v>
      </c>
      <c r="F98">
        <v>1556.88</v>
      </c>
      <c r="G98">
        <v>1552.82</v>
      </c>
      <c r="H98">
        <v>1548.58</v>
      </c>
      <c r="I98">
        <v>1544.15</v>
      </c>
      <c r="J98">
        <v>1539.53</v>
      </c>
      <c r="K98">
        <v>1534.71</v>
      </c>
      <c r="L98">
        <v>1529.71</v>
      </c>
    </row>
    <row r="99" spans="1:12" x14ac:dyDescent="0.15">
      <c r="A99">
        <v>470</v>
      </c>
      <c r="B99">
        <v>1574.22</v>
      </c>
      <c r="C99">
        <v>1571.06</v>
      </c>
      <c r="D99">
        <v>1567.71</v>
      </c>
      <c r="E99">
        <v>1564.17</v>
      </c>
      <c r="F99">
        <v>1560.44</v>
      </c>
      <c r="G99">
        <v>1556.51</v>
      </c>
      <c r="H99">
        <v>1552.4</v>
      </c>
      <c r="I99">
        <v>1548.1</v>
      </c>
      <c r="J99">
        <v>1543.61</v>
      </c>
      <c r="K99">
        <v>1538.93</v>
      </c>
      <c r="L99">
        <v>1534.05</v>
      </c>
    </row>
    <row r="100" spans="1:12" x14ac:dyDescent="0.15">
      <c r="A100">
        <v>475</v>
      </c>
      <c r="B100">
        <v>1577.13</v>
      </c>
      <c r="C100">
        <v>1574.1</v>
      </c>
      <c r="D100">
        <v>1570.88</v>
      </c>
      <c r="E100">
        <v>1567.47</v>
      </c>
      <c r="F100">
        <v>1563.87</v>
      </c>
      <c r="G100">
        <v>1560.08</v>
      </c>
      <c r="H100">
        <v>1556.1</v>
      </c>
      <c r="I100">
        <v>1551.93</v>
      </c>
      <c r="J100">
        <v>1547.57</v>
      </c>
      <c r="K100">
        <v>1543.02</v>
      </c>
      <c r="L100">
        <v>1538.28</v>
      </c>
    </row>
    <row r="101" spans="1:12" x14ac:dyDescent="0.15">
      <c r="A101">
        <v>480</v>
      </c>
      <c r="B101">
        <v>1579.92</v>
      </c>
      <c r="C101">
        <v>1577.02</v>
      </c>
      <c r="D101">
        <v>1573.93</v>
      </c>
      <c r="E101">
        <v>1570.65</v>
      </c>
      <c r="F101">
        <v>1567.18</v>
      </c>
      <c r="G101">
        <v>1563.52</v>
      </c>
      <c r="H101">
        <v>1559.67</v>
      </c>
      <c r="I101">
        <v>1555.63</v>
      </c>
      <c r="J101">
        <v>1551.4</v>
      </c>
      <c r="K101">
        <v>1546.98</v>
      </c>
      <c r="L101">
        <v>1542.37</v>
      </c>
    </row>
    <row r="102" spans="1:12" x14ac:dyDescent="0.15">
      <c r="A102">
        <v>485</v>
      </c>
      <c r="B102">
        <v>1582.58</v>
      </c>
      <c r="C102">
        <v>1579.82</v>
      </c>
      <c r="D102">
        <v>1576.86</v>
      </c>
      <c r="E102">
        <v>1573.71</v>
      </c>
      <c r="F102">
        <v>1570.37</v>
      </c>
      <c r="G102">
        <v>1566.84</v>
      </c>
      <c r="H102">
        <v>1563.12</v>
      </c>
      <c r="I102">
        <v>1559.22</v>
      </c>
      <c r="J102">
        <v>1555.12</v>
      </c>
      <c r="K102">
        <v>1550.83</v>
      </c>
      <c r="L102">
        <v>1546.35</v>
      </c>
    </row>
    <row r="103" spans="1:12" x14ac:dyDescent="0.15">
      <c r="A103">
        <v>490</v>
      </c>
      <c r="B103">
        <v>1585.13</v>
      </c>
      <c r="C103">
        <v>1582.49</v>
      </c>
      <c r="D103">
        <v>1579.66</v>
      </c>
      <c r="E103">
        <v>1576.65</v>
      </c>
      <c r="F103">
        <v>1573.44</v>
      </c>
      <c r="G103">
        <v>1570.04</v>
      </c>
      <c r="H103">
        <v>1566.45</v>
      </c>
      <c r="I103">
        <v>1562.68</v>
      </c>
      <c r="J103">
        <v>1558.71</v>
      </c>
      <c r="K103">
        <v>1554.55</v>
      </c>
      <c r="L103">
        <v>1550.2</v>
      </c>
    </row>
    <row r="104" spans="1:12" x14ac:dyDescent="0.15">
      <c r="A104">
        <v>495</v>
      </c>
      <c r="B104">
        <v>1587.55</v>
      </c>
      <c r="C104">
        <v>1585.04</v>
      </c>
      <c r="D104">
        <v>1582.35</v>
      </c>
      <c r="E104">
        <v>1579.46</v>
      </c>
      <c r="F104">
        <v>1576.38</v>
      </c>
      <c r="G104">
        <v>1573.12</v>
      </c>
      <c r="H104">
        <v>1569.66</v>
      </c>
      <c r="I104">
        <v>1566.01</v>
      </c>
      <c r="J104">
        <v>1562.17</v>
      </c>
      <c r="K104">
        <v>1558.15</v>
      </c>
      <c r="L104">
        <v>1553.93</v>
      </c>
    </row>
    <row r="105" spans="1:12" x14ac:dyDescent="0.15">
      <c r="A105">
        <v>500</v>
      </c>
      <c r="B105">
        <v>1589.85</v>
      </c>
      <c r="C105">
        <v>1587.47</v>
      </c>
      <c r="D105">
        <v>1584.9</v>
      </c>
      <c r="E105">
        <v>1582.15</v>
      </c>
      <c r="F105">
        <v>1579.2</v>
      </c>
      <c r="G105">
        <v>1576.07</v>
      </c>
      <c r="H105">
        <v>1572.74</v>
      </c>
      <c r="I105">
        <v>1569.23</v>
      </c>
      <c r="J105">
        <v>1565.52</v>
      </c>
      <c r="K105">
        <v>1561.62</v>
      </c>
      <c r="L105">
        <v>1557.54</v>
      </c>
    </row>
    <row r="106" spans="1:12" x14ac:dyDescent="0.15">
      <c r="A106">
        <v>505</v>
      </c>
      <c r="B106">
        <v>1592.03</v>
      </c>
      <c r="C106">
        <v>1589.77</v>
      </c>
      <c r="D106">
        <v>1587.34</v>
      </c>
      <c r="E106">
        <v>1584.72</v>
      </c>
      <c r="F106">
        <v>1581.9</v>
      </c>
      <c r="G106">
        <v>1578.9</v>
      </c>
      <c r="H106">
        <v>1575.7</v>
      </c>
      <c r="I106">
        <v>1572.32</v>
      </c>
      <c r="J106">
        <v>1568.74</v>
      </c>
      <c r="K106">
        <v>1564.98</v>
      </c>
      <c r="L106">
        <v>1561.02</v>
      </c>
    </row>
    <row r="107" spans="1:12" x14ac:dyDescent="0.15">
      <c r="A107">
        <v>510</v>
      </c>
      <c r="B107">
        <v>1594.09</v>
      </c>
      <c r="C107">
        <v>1591.96</v>
      </c>
      <c r="D107">
        <v>1589.65</v>
      </c>
      <c r="E107">
        <v>1587.16</v>
      </c>
      <c r="F107">
        <v>1584.48</v>
      </c>
      <c r="G107">
        <v>1581.6</v>
      </c>
      <c r="H107">
        <v>1578.54</v>
      </c>
      <c r="I107">
        <v>1575.28</v>
      </c>
      <c r="J107">
        <v>1571.84</v>
      </c>
      <c r="K107">
        <v>1568.2</v>
      </c>
      <c r="L107">
        <v>1564.38</v>
      </c>
    </row>
    <row r="108" spans="1:12" x14ac:dyDescent="0.15">
      <c r="A108">
        <v>515</v>
      </c>
      <c r="B108">
        <v>1596.02</v>
      </c>
      <c r="C108">
        <v>1594.02</v>
      </c>
      <c r="D108">
        <v>1591.84</v>
      </c>
      <c r="E108">
        <v>1589.48</v>
      </c>
      <c r="F108">
        <v>1586.93</v>
      </c>
      <c r="G108">
        <v>1584.19</v>
      </c>
      <c r="H108">
        <v>1581.25</v>
      </c>
      <c r="I108">
        <v>1578.13</v>
      </c>
      <c r="J108">
        <v>1574.82</v>
      </c>
      <c r="K108">
        <v>1571.31</v>
      </c>
      <c r="L108">
        <v>1567.62</v>
      </c>
    </row>
    <row r="109" spans="1:12" x14ac:dyDescent="0.15">
      <c r="A109">
        <v>520</v>
      </c>
      <c r="B109">
        <v>1597.84</v>
      </c>
      <c r="C109">
        <v>1595.97</v>
      </c>
      <c r="D109">
        <v>1593.92</v>
      </c>
      <c r="E109">
        <v>1591.68</v>
      </c>
      <c r="F109">
        <v>1589.26</v>
      </c>
      <c r="G109">
        <v>1586.65</v>
      </c>
      <c r="H109">
        <v>1583.85</v>
      </c>
      <c r="I109">
        <v>1580.85</v>
      </c>
      <c r="J109">
        <v>1577.67</v>
      </c>
      <c r="K109">
        <v>1574.3</v>
      </c>
      <c r="L109">
        <v>1570.73</v>
      </c>
    </row>
    <row r="110" spans="1:12" x14ac:dyDescent="0.15">
      <c r="A110">
        <v>525</v>
      </c>
      <c r="B110">
        <v>1599.55</v>
      </c>
      <c r="C110">
        <v>1597.8</v>
      </c>
      <c r="D110">
        <v>1595.87</v>
      </c>
      <c r="E110">
        <v>1593.77</v>
      </c>
      <c r="F110">
        <v>1591.47</v>
      </c>
      <c r="G110">
        <v>1588.99</v>
      </c>
      <c r="H110">
        <v>1586.32</v>
      </c>
      <c r="I110">
        <v>1583.45</v>
      </c>
      <c r="J110">
        <v>1580.4</v>
      </c>
      <c r="K110">
        <v>1577.16</v>
      </c>
      <c r="L110">
        <v>1573.73</v>
      </c>
    </row>
    <row r="111" spans="1:12" x14ac:dyDescent="0.15">
      <c r="A111">
        <v>530</v>
      </c>
      <c r="B111">
        <v>1601.13</v>
      </c>
      <c r="C111">
        <v>1599.51</v>
      </c>
      <c r="D111">
        <v>1597.7</v>
      </c>
      <c r="E111">
        <v>1595.73</v>
      </c>
      <c r="F111">
        <v>1593.56</v>
      </c>
      <c r="G111">
        <v>1591.21</v>
      </c>
      <c r="H111">
        <v>1588.67</v>
      </c>
      <c r="I111">
        <v>1585.94</v>
      </c>
      <c r="J111">
        <v>1583.02</v>
      </c>
      <c r="K111">
        <v>1579.9</v>
      </c>
      <c r="L111">
        <v>1576.6</v>
      </c>
    </row>
    <row r="112" spans="1:12" x14ac:dyDescent="0.15">
      <c r="A112">
        <v>535</v>
      </c>
      <c r="B112">
        <v>1602.59</v>
      </c>
      <c r="C112">
        <v>1601.1</v>
      </c>
      <c r="D112">
        <v>1599.42</v>
      </c>
      <c r="E112">
        <v>1597.57</v>
      </c>
      <c r="F112">
        <v>1595.53</v>
      </c>
      <c r="G112">
        <v>1593.31</v>
      </c>
      <c r="H112">
        <v>1590.9</v>
      </c>
      <c r="I112">
        <v>1588.3</v>
      </c>
      <c r="J112">
        <v>1585.51</v>
      </c>
      <c r="K112">
        <v>1582.53</v>
      </c>
      <c r="L112">
        <v>1579.36</v>
      </c>
    </row>
    <row r="113" spans="1:12" x14ac:dyDescent="0.15">
      <c r="A113">
        <v>540</v>
      </c>
      <c r="B113">
        <v>1603.94</v>
      </c>
      <c r="C113">
        <v>1602.57</v>
      </c>
      <c r="D113">
        <v>1601.02</v>
      </c>
      <c r="E113">
        <v>1599.29</v>
      </c>
      <c r="F113">
        <v>1597.38</v>
      </c>
      <c r="G113">
        <v>1595.29</v>
      </c>
      <c r="H113">
        <v>1593.01</v>
      </c>
      <c r="I113">
        <v>1590.54</v>
      </c>
      <c r="J113">
        <v>1587.88</v>
      </c>
      <c r="K113">
        <v>1585.03</v>
      </c>
      <c r="L113">
        <v>1581.99</v>
      </c>
    </row>
    <row r="114" spans="1:12" x14ac:dyDescent="0.15">
      <c r="A114">
        <v>545</v>
      </c>
      <c r="B114">
        <v>1605.16</v>
      </c>
      <c r="C114">
        <v>1603.92</v>
      </c>
      <c r="D114">
        <v>1602.5</v>
      </c>
      <c r="E114">
        <v>1600.9</v>
      </c>
      <c r="F114">
        <v>1599.11</v>
      </c>
      <c r="G114">
        <v>1597.15</v>
      </c>
      <c r="H114">
        <v>1595</v>
      </c>
      <c r="I114">
        <v>1592.66</v>
      </c>
      <c r="J114">
        <v>1590.13</v>
      </c>
      <c r="K114">
        <v>1587.41</v>
      </c>
      <c r="L114">
        <v>1584.5</v>
      </c>
    </row>
    <row r="115" spans="1:12" x14ac:dyDescent="0.15">
      <c r="A115">
        <v>550</v>
      </c>
      <c r="B115">
        <v>1606.27</v>
      </c>
      <c r="C115">
        <v>1605.15</v>
      </c>
      <c r="D115">
        <v>1603.86</v>
      </c>
      <c r="E115">
        <v>1602.38</v>
      </c>
      <c r="F115">
        <v>1600.72</v>
      </c>
      <c r="G115">
        <v>1598.88</v>
      </c>
      <c r="H115">
        <v>1596.86</v>
      </c>
      <c r="I115">
        <v>1594.66</v>
      </c>
      <c r="J115">
        <v>1592.26</v>
      </c>
      <c r="K115">
        <v>1589.67</v>
      </c>
      <c r="L115">
        <v>1586.89</v>
      </c>
    </row>
    <row r="116" spans="1:12" x14ac:dyDescent="0.15">
      <c r="A116">
        <v>555</v>
      </c>
      <c r="B116">
        <v>1607.26</v>
      </c>
      <c r="C116">
        <v>1606.27</v>
      </c>
      <c r="D116">
        <v>1605.1</v>
      </c>
      <c r="E116">
        <v>1603.75</v>
      </c>
      <c r="F116">
        <v>1602.22</v>
      </c>
      <c r="G116">
        <v>1600.5</v>
      </c>
      <c r="H116">
        <v>1598.61</v>
      </c>
      <c r="I116">
        <v>1596.53</v>
      </c>
      <c r="J116">
        <v>1594.27</v>
      </c>
      <c r="K116">
        <v>1591.81</v>
      </c>
      <c r="L116">
        <v>1589.16</v>
      </c>
    </row>
    <row r="117" spans="1:12" x14ac:dyDescent="0.15">
      <c r="A117">
        <v>560</v>
      </c>
      <c r="B117">
        <v>1608.13</v>
      </c>
      <c r="C117">
        <v>1607.27</v>
      </c>
      <c r="D117">
        <v>1606.22</v>
      </c>
      <c r="E117">
        <v>1604.99</v>
      </c>
      <c r="F117">
        <v>1603.59</v>
      </c>
      <c r="G117">
        <v>1602.01</v>
      </c>
      <c r="H117">
        <v>1600.24</v>
      </c>
      <c r="I117">
        <v>1598.29</v>
      </c>
      <c r="J117">
        <v>1596.15</v>
      </c>
      <c r="K117">
        <v>1593.83</v>
      </c>
      <c r="L117">
        <v>1591.31</v>
      </c>
    </row>
    <row r="118" spans="1:12" x14ac:dyDescent="0.15">
      <c r="A118">
        <v>565</v>
      </c>
      <c r="B118">
        <v>1608.88</v>
      </c>
      <c r="C118">
        <v>1608.14</v>
      </c>
      <c r="D118">
        <v>1607.23</v>
      </c>
      <c r="E118">
        <v>1606.12</v>
      </c>
      <c r="F118">
        <v>1604.85</v>
      </c>
      <c r="G118">
        <v>1603.39</v>
      </c>
      <c r="H118">
        <v>1601.75</v>
      </c>
      <c r="I118">
        <v>1599.93</v>
      </c>
      <c r="J118">
        <v>1597.92</v>
      </c>
      <c r="K118">
        <v>1595.73</v>
      </c>
      <c r="L118">
        <v>1593.34</v>
      </c>
    </row>
    <row r="119" spans="1:12" x14ac:dyDescent="0.15">
      <c r="A119">
        <v>570</v>
      </c>
      <c r="B119">
        <v>1609.52</v>
      </c>
      <c r="C119">
        <v>1608.9</v>
      </c>
      <c r="D119">
        <v>1608.11</v>
      </c>
      <c r="E119">
        <v>1607.13</v>
      </c>
      <c r="F119">
        <v>1605.99</v>
      </c>
      <c r="G119">
        <v>1604.65</v>
      </c>
      <c r="H119">
        <v>1603.14</v>
      </c>
      <c r="I119">
        <v>1601.44</v>
      </c>
      <c r="J119">
        <v>1599.57</v>
      </c>
      <c r="K119">
        <v>1597.5</v>
      </c>
      <c r="L119">
        <v>1595.25</v>
      </c>
    </row>
    <row r="120" spans="1:12" x14ac:dyDescent="0.15">
      <c r="A120">
        <v>575</v>
      </c>
      <c r="B120">
        <v>1610.03</v>
      </c>
      <c r="C120">
        <v>1609.54</v>
      </c>
      <c r="D120">
        <v>1608.88</v>
      </c>
      <c r="E120">
        <v>1608.03</v>
      </c>
      <c r="F120">
        <v>1607.01</v>
      </c>
      <c r="G120">
        <v>1605.8</v>
      </c>
      <c r="H120">
        <v>1604.41</v>
      </c>
      <c r="I120">
        <v>1602.84</v>
      </c>
      <c r="J120">
        <v>1601.09</v>
      </c>
      <c r="K120">
        <v>1599.16</v>
      </c>
      <c r="L120">
        <v>1597.03</v>
      </c>
    </row>
    <row r="121" spans="1:12" x14ac:dyDescent="0.15">
      <c r="A121">
        <v>580</v>
      </c>
      <c r="B121">
        <v>1610.43</v>
      </c>
      <c r="C121">
        <v>1610.07</v>
      </c>
      <c r="D121">
        <v>1609.53</v>
      </c>
      <c r="E121">
        <v>1608.81</v>
      </c>
      <c r="F121">
        <v>1607.91</v>
      </c>
      <c r="G121">
        <v>1606.83</v>
      </c>
      <c r="H121">
        <v>1605.56</v>
      </c>
      <c r="I121">
        <v>1604.12</v>
      </c>
      <c r="J121">
        <v>1602.5</v>
      </c>
      <c r="K121">
        <v>1600.69</v>
      </c>
      <c r="L121">
        <v>1598.7</v>
      </c>
    </row>
    <row r="122" spans="1:12" x14ac:dyDescent="0.15">
      <c r="A122">
        <v>585</v>
      </c>
      <c r="B122">
        <v>1610.71</v>
      </c>
      <c r="C122">
        <v>1610.47</v>
      </c>
      <c r="D122">
        <v>1610.05</v>
      </c>
      <c r="E122">
        <v>1609.46</v>
      </c>
      <c r="F122">
        <v>1608.69</v>
      </c>
      <c r="G122">
        <v>1607.73</v>
      </c>
      <c r="H122">
        <v>1606.6</v>
      </c>
      <c r="I122">
        <v>1605.28</v>
      </c>
      <c r="J122">
        <v>1603.78</v>
      </c>
      <c r="K122">
        <v>1602.11</v>
      </c>
      <c r="L122">
        <v>1600.25</v>
      </c>
    </row>
    <row r="123" spans="1:12" x14ac:dyDescent="0.15">
      <c r="A123">
        <v>590</v>
      </c>
      <c r="B123">
        <v>1610.9</v>
      </c>
      <c r="C123">
        <v>1610.75</v>
      </c>
      <c r="D123">
        <v>1610.47</v>
      </c>
      <c r="E123">
        <v>1610</v>
      </c>
      <c r="F123">
        <v>1609.34</v>
      </c>
      <c r="G123">
        <v>1608.52</v>
      </c>
      <c r="H123">
        <v>1607.51</v>
      </c>
      <c r="I123">
        <v>1606.32</v>
      </c>
      <c r="J123">
        <v>1604.95</v>
      </c>
      <c r="K123">
        <v>1603.4</v>
      </c>
      <c r="L123">
        <v>1601.67</v>
      </c>
    </row>
    <row r="124" spans="1:12" x14ac:dyDescent="0.15">
      <c r="A124">
        <v>595</v>
      </c>
      <c r="B124">
        <v>1611.02</v>
      </c>
      <c r="C124">
        <v>1610.92</v>
      </c>
      <c r="D124">
        <v>1610.76</v>
      </c>
      <c r="E124">
        <v>1610.42</v>
      </c>
      <c r="F124">
        <v>1609.89</v>
      </c>
      <c r="G124">
        <v>1609.19</v>
      </c>
      <c r="H124">
        <v>1608.31</v>
      </c>
      <c r="I124">
        <v>1607.25</v>
      </c>
      <c r="J124">
        <v>1606</v>
      </c>
      <c r="K124">
        <v>1604.58</v>
      </c>
      <c r="L124">
        <v>1602.97</v>
      </c>
    </row>
    <row r="125" spans="1:12" x14ac:dyDescent="0.15">
      <c r="A125">
        <v>600</v>
      </c>
      <c r="B125">
        <v>1611.11</v>
      </c>
      <c r="C125">
        <v>1611.02</v>
      </c>
      <c r="D125">
        <v>1610.93</v>
      </c>
      <c r="E125">
        <v>1610.72</v>
      </c>
      <c r="F125">
        <v>1610.32</v>
      </c>
      <c r="G125">
        <v>1609.74</v>
      </c>
      <c r="H125">
        <v>1608.99</v>
      </c>
      <c r="I125">
        <v>1608.05</v>
      </c>
      <c r="J125">
        <v>1606.93</v>
      </c>
      <c r="K125">
        <v>1605.64</v>
      </c>
      <c r="L125">
        <v>1604.16</v>
      </c>
    </row>
    <row r="126" spans="1:12" x14ac:dyDescent="0.15">
      <c r="A126">
        <v>605</v>
      </c>
      <c r="B126">
        <v>1611.18</v>
      </c>
      <c r="C126">
        <v>1611.1</v>
      </c>
      <c r="D126">
        <v>1611.01</v>
      </c>
      <c r="E126">
        <v>1610.9</v>
      </c>
      <c r="F126">
        <v>1610.62</v>
      </c>
      <c r="G126">
        <v>1610.18</v>
      </c>
      <c r="H126">
        <v>1609.55</v>
      </c>
      <c r="I126">
        <v>1608.74</v>
      </c>
      <c r="J126">
        <v>1607.74</v>
      </c>
      <c r="K126">
        <v>1606.57</v>
      </c>
      <c r="L126">
        <v>1605.22</v>
      </c>
    </row>
    <row r="127" spans="1:12" x14ac:dyDescent="0.15">
      <c r="A127">
        <v>610</v>
      </c>
      <c r="B127">
        <v>1611.26</v>
      </c>
      <c r="C127">
        <v>1611.18</v>
      </c>
      <c r="D127">
        <v>1611.09</v>
      </c>
      <c r="E127">
        <v>1611</v>
      </c>
      <c r="F127">
        <v>1610.84</v>
      </c>
      <c r="G127">
        <v>1610.5</v>
      </c>
      <c r="H127">
        <v>1610</v>
      </c>
      <c r="I127">
        <v>1609.31</v>
      </c>
      <c r="J127">
        <v>1608.44</v>
      </c>
      <c r="K127">
        <v>1607.4</v>
      </c>
      <c r="L127">
        <v>1606.17</v>
      </c>
    </row>
    <row r="128" spans="1:12" x14ac:dyDescent="0.15">
      <c r="A128">
        <v>615</v>
      </c>
      <c r="B128">
        <v>1611.34</v>
      </c>
      <c r="C128">
        <v>1611.25</v>
      </c>
      <c r="D128">
        <v>1611.17</v>
      </c>
      <c r="E128">
        <v>1611.08</v>
      </c>
      <c r="F128">
        <v>1610.97</v>
      </c>
      <c r="G128">
        <v>1610.75</v>
      </c>
      <c r="H128">
        <v>1610.36</v>
      </c>
      <c r="I128">
        <v>1609.79</v>
      </c>
      <c r="J128">
        <v>1609.05</v>
      </c>
      <c r="K128">
        <v>1608.12</v>
      </c>
      <c r="L128">
        <v>1607.01</v>
      </c>
    </row>
    <row r="129" spans="1:12" x14ac:dyDescent="0.15">
      <c r="A129">
        <v>620</v>
      </c>
      <c r="B129">
        <v>1611.41</v>
      </c>
      <c r="C129">
        <v>1611.33</v>
      </c>
      <c r="D129">
        <v>1611.24</v>
      </c>
      <c r="E129">
        <v>1611.16</v>
      </c>
      <c r="F129">
        <v>1611.07</v>
      </c>
      <c r="G129">
        <v>1610.92</v>
      </c>
      <c r="H129">
        <v>1610.64</v>
      </c>
      <c r="I129">
        <v>1610.17</v>
      </c>
      <c r="J129">
        <v>1609.55</v>
      </c>
      <c r="K129">
        <v>1608.75</v>
      </c>
      <c r="L129">
        <v>1607.77</v>
      </c>
    </row>
    <row r="130" spans="1:12" x14ac:dyDescent="0.15">
      <c r="A130">
        <v>625</v>
      </c>
      <c r="B130">
        <v>1611.49</v>
      </c>
      <c r="C130">
        <v>1611.4</v>
      </c>
      <c r="D130">
        <v>1611.32</v>
      </c>
      <c r="E130">
        <v>1611.23</v>
      </c>
      <c r="F130">
        <v>1611.15</v>
      </c>
      <c r="G130">
        <v>1611.05</v>
      </c>
      <c r="H130">
        <v>1610.84</v>
      </c>
      <c r="I130">
        <v>1610.49</v>
      </c>
      <c r="J130">
        <v>1609.97</v>
      </c>
      <c r="K130">
        <v>1609.28</v>
      </c>
      <c r="L130">
        <v>1608.42</v>
      </c>
    </row>
    <row r="131" spans="1:12" x14ac:dyDescent="0.15">
      <c r="A131">
        <v>630</v>
      </c>
      <c r="B131">
        <v>1611.57</v>
      </c>
      <c r="C131">
        <v>1611.48</v>
      </c>
      <c r="D131">
        <v>1611.39</v>
      </c>
      <c r="E131">
        <v>1611.31</v>
      </c>
      <c r="F131">
        <v>1611.22</v>
      </c>
      <c r="G131">
        <v>1611.13</v>
      </c>
      <c r="H131">
        <v>1610.99</v>
      </c>
      <c r="I131">
        <v>1610.73</v>
      </c>
      <c r="J131">
        <v>1610.32</v>
      </c>
      <c r="K131">
        <v>1609.73</v>
      </c>
      <c r="L131">
        <v>1608.99</v>
      </c>
    </row>
    <row r="132" spans="1:12" x14ac:dyDescent="0.15">
      <c r="A132">
        <v>635</v>
      </c>
      <c r="B132">
        <v>1611.64</v>
      </c>
      <c r="C132">
        <v>1611.56</v>
      </c>
      <c r="D132">
        <v>1611.47</v>
      </c>
      <c r="E132">
        <v>1611.39</v>
      </c>
      <c r="F132">
        <v>1611.3</v>
      </c>
      <c r="G132">
        <v>1611.21</v>
      </c>
      <c r="H132">
        <v>1611.11</v>
      </c>
      <c r="I132">
        <v>1610.92</v>
      </c>
      <c r="J132">
        <v>1610.6</v>
      </c>
      <c r="K132">
        <v>1610.12</v>
      </c>
      <c r="L132">
        <v>1609.47</v>
      </c>
    </row>
    <row r="133" spans="1:12" x14ac:dyDescent="0.15">
      <c r="A133">
        <v>640</v>
      </c>
      <c r="B133">
        <v>1611.72</v>
      </c>
      <c r="C133">
        <v>1611.63</v>
      </c>
      <c r="D133">
        <v>1611.55</v>
      </c>
      <c r="E133">
        <v>1611.46</v>
      </c>
      <c r="F133">
        <v>1611.38</v>
      </c>
      <c r="G133">
        <v>1611.29</v>
      </c>
      <c r="H133">
        <v>1611.2</v>
      </c>
      <c r="I133">
        <v>1611.07</v>
      </c>
      <c r="J133">
        <v>1610.82</v>
      </c>
      <c r="K133">
        <v>1610.44</v>
      </c>
      <c r="L133">
        <v>1609.9</v>
      </c>
    </row>
    <row r="134" spans="1:12" x14ac:dyDescent="0.15">
      <c r="A134">
        <v>645</v>
      </c>
      <c r="B134">
        <v>1611.79</v>
      </c>
      <c r="C134">
        <v>1611.71</v>
      </c>
      <c r="D134">
        <v>1611.62</v>
      </c>
      <c r="E134">
        <v>1611.54</v>
      </c>
      <c r="F134">
        <v>1611.45</v>
      </c>
      <c r="G134">
        <v>1611.37</v>
      </c>
      <c r="H134">
        <v>1611.28</v>
      </c>
      <c r="I134">
        <v>1611.18</v>
      </c>
      <c r="J134">
        <v>1611</v>
      </c>
      <c r="K134">
        <v>1610.69</v>
      </c>
      <c r="L134">
        <v>1610.25</v>
      </c>
    </row>
    <row r="135" spans="1:12" x14ac:dyDescent="0.15">
      <c r="A135">
        <v>650</v>
      </c>
      <c r="B135">
        <v>1611.87</v>
      </c>
      <c r="C135">
        <v>1611.79</v>
      </c>
      <c r="D135">
        <v>1611.7</v>
      </c>
      <c r="E135">
        <v>1611.61</v>
      </c>
      <c r="F135">
        <v>1611.53</v>
      </c>
      <c r="G135">
        <v>1611.44</v>
      </c>
      <c r="H135">
        <v>1611.36</v>
      </c>
      <c r="I135">
        <v>1611.27</v>
      </c>
      <c r="J135">
        <v>1611.13</v>
      </c>
      <c r="K135">
        <v>1610.9</v>
      </c>
      <c r="L135">
        <v>1610.54</v>
      </c>
    </row>
    <row r="136" spans="1:12" x14ac:dyDescent="0.15">
      <c r="A136">
        <v>655</v>
      </c>
      <c r="B136">
        <v>1611.95</v>
      </c>
      <c r="C136">
        <v>1611.86</v>
      </c>
      <c r="D136">
        <v>1611.78</v>
      </c>
      <c r="E136">
        <v>1611.69</v>
      </c>
      <c r="F136">
        <v>1611.61</v>
      </c>
      <c r="G136">
        <v>1611.52</v>
      </c>
      <c r="H136">
        <v>1611.43</v>
      </c>
      <c r="I136">
        <v>1611.35</v>
      </c>
      <c r="J136">
        <v>1611.24</v>
      </c>
      <c r="K136">
        <v>1611.07</v>
      </c>
      <c r="L136">
        <v>1610.78</v>
      </c>
    </row>
    <row r="137" spans="1:12" x14ac:dyDescent="0.15">
      <c r="A137">
        <v>660</v>
      </c>
      <c r="B137">
        <v>1612.02</v>
      </c>
      <c r="C137">
        <v>1611.94</v>
      </c>
      <c r="D137">
        <v>1611.85</v>
      </c>
      <c r="E137">
        <v>1611.77</v>
      </c>
      <c r="F137">
        <v>1611.68</v>
      </c>
      <c r="G137">
        <v>1611.6</v>
      </c>
      <c r="H137">
        <v>1611.51</v>
      </c>
      <c r="I137">
        <v>1611.42</v>
      </c>
      <c r="J137">
        <v>1611.33</v>
      </c>
      <c r="K137">
        <v>1611.2</v>
      </c>
      <c r="L137">
        <v>1610.98</v>
      </c>
    </row>
    <row r="138" spans="1:12" x14ac:dyDescent="0.15">
      <c r="A138">
        <v>665</v>
      </c>
      <c r="B138">
        <v>1612.1</v>
      </c>
      <c r="C138">
        <v>1612.01</v>
      </c>
      <c r="D138">
        <v>1611.93</v>
      </c>
      <c r="E138">
        <v>1611.84</v>
      </c>
      <c r="F138">
        <v>1611.76</v>
      </c>
      <c r="G138">
        <v>1611.67</v>
      </c>
      <c r="H138">
        <v>1611.59</v>
      </c>
      <c r="I138">
        <v>1611.5</v>
      </c>
      <c r="J138">
        <v>1611.41</v>
      </c>
      <c r="K138">
        <v>1611.31</v>
      </c>
      <c r="L138">
        <v>1611.14</v>
      </c>
    </row>
    <row r="139" spans="1:12" x14ac:dyDescent="0.15">
      <c r="A139">
        <v>670</v>
      </c>
      <c r="B139">
        <v>1612.18</v>
      </c>
      <c r="C139">
        <v>1612.09</v>
      </c>
      <c r="D139">
        <v>1612.01</v>
      </c>
      <c r="E139">
        <v>1611.92</v>
      </c>
      <c r="F139">
        <v>1611.83</v>
      </c>
      <c r="G139">
        <v>1611.75</v>
      </c>
      <c r="H139">
        <v>1611.66</v>
      </c>
      <c r="I139">
        <v>1611.58</v>
      </c>
      <c r="J139">
        <v>1611.49</v>
      </c>
      <c r="K139">
        <v>1611.4</v>
      </c>
      <c r="L139">
        <v>1611.27</v>
      </c>
    </row>
    <row r="140" spans="1:12" x14ac:dyDescent="0.15">
      <c r="A140">
        <v>675</v>
      </c>
      <c r="B140">
        <v>1612.25</v>
      </c>
      <c r="C140">
        <v>1612.17</v>
      </c>
      <c r="D140">
        <v>1612.08</v>
      </c>
      <c r="E140">
        <v>1612</v>
      </c>
      <c r="F140">
        <v>1611.91</v>
      </c>
      <c r="G140">
        <v>1611.82</v>
      </c>
      <c r="H140">
        <v>1611.74</v>
      </c>
      <c r="I140">
        <v>1611.65</v>
      </c>
      <c r="J140">
        <v>1611.57</v>
      </c>
      <c r="K140">
        <v>1611.48</v>
      </c>
      <c r="L140">
        <v>1611.37</v>
      </c>
    </row>
    <row r="141" spans="1:12" x14ac:dyDescent="0.15">
      <c r="A141">
        <v>680</v>
      </c>
      <c r="B141">
        <v>1612.33</v>
      </c>
      <c r="C141">
        <v>1612.24</v>
      </c>
      <c r="D141">
        <v>1612.16</v>
      </c>
      <c r="E141">
        <v>1612.07</v>
      </c>
      <c r="F141">
        <v>1611.99</v>
      </c>
      <c r="G141">
        <v>1611.9</v>
      </c>
      <c r="H141">
        <v>1611.82</v>
      </c>
      <c r="I141">
        <v>1611.73</v>
      </c>
      <c r="J141">
        <v>1611.64</v>
      </c>
      <c r="K141">
        <v>1611.56</v>
      </c>
      <c r="L141">
        <v>1611.47</v>
      </c>
    </row>
    <row r="142" spans="1:12" x14ac:dyDescent="0.15">
      <c r="A142">
        <v>685</v>
      </c>
      <c r="B142">
        <v>1612.41</v>
      </c>
      <c r="C142">
        <v>1612.32</v>
      </c>
      <c r="D142">
        <v>1612.23</v>
      </c>
      <c r="E142">
        <v>1612.15</v>
      </c>
      <c r="F142">
        <v>1612.06</v>
      </c>
      <c r="G142">
        <v>1611.98</v>
      </c>
      <c r="H142">
        <v>1611.89</v>
      </c>
      <c r="I142">
        <v>1611.81</v>
      </c>
      <c r="J142">
        <v>1611.72</v>
      </c>
      <c r="K142">
        <v>1611.63</v>
      </c>
      <c r="L142">
        <v>1611.55</v>
      </c>
    </row>
    <row r="143" spans="1:12" x14ac:dyDescent="0.15">
      <c r="A143">
        <v>690</v>
      </c>
      <c r="B143">
        <v>1612.48</v>
      </c>
      <c r="C143">
        <v>1612.4</v>
      </c>
      <c r="D143">
        <v>1612.31</v>
      </c>
      <c r="E143">
        <v>1612.22</v>
      </c>
      <c r="F143">
        <v>1612.14</v>
      </c>
      <c r="G143">
        <v>1612.05</v>
      </c>
      <c r="H143">
        <v>1611.97</v>
      </c>
      <c r="I143">
        <v>1611.88</v>
      </c>
      <c r="J143">
        <v>1611.8</v>
      </c>
      <c r="K143">
        <v>1611.71</v>
      </c>
      <c r="L143">
        <v>1611.62</v>
      </c>
    </row>
    <row r="144" spans="1:12" x14ac:dyDescent="0.15">
      <c r="A144">
        <v>695</v>
      </c>
      <c r="B144">
        <v>1612.56</v>
      </c>
      <c r="C144">
        <v>1612.47</v>
      </c>
      <c r="D144">
        <v>1612.39</v>
      </c>
      <c r="E144">
        <v>1612.3</v>
      </c>
      <c r="F144">
        <v>1612.22</v>
      </c>
      <c r="G144">
        <v>1612.13</v>
      </c>
      <c r="H144">
        <v>1612.04</v>
      </c>
      <c r="I144">
        <v>1611.96</v>
      </c>
      <c r="J144">
        <v>1611.87</v>
      </c>
      <c r="K144">
        <v>1611.79</v>
      </c>
      <c r="L144">
        <v>1611.7</v>
      </c>
    </row>
    <row r="145" spans="1:12" x14ac:dyDescent="0.15">
      <c r="A145">
        <v>700</v>
      </c>
      <c r="B145">
        <v>1612.63</v>
      </c>
      <c r="C145">
        <v>1612.55</v>
      </c>
      <c r="D145">
        <v>1612.46</v>
      </c>
      <c r="E145">
        <v>1612.38</v>
      </c>
      <c r="F145">
        <v>1612.29</v>
      </c>
      <c r="G145">
        <v>1612.21</v>
      </c>
      <c r="H145">
        <v>1612.12</v>
      </c>
      <c r="I145">
        <v>1612.03</v>
      </c>
      <c r="J145">
        <v>1611.95</v>
      </c>
      <c r="K145">
        <v>1611.86</v>
      </c>
      <c r="L145">
        <v>1611.78</v>
      </c>
    </row>
    <row r="146" spans="1:12" x14ac:dyDescent="0.15">
      <c r="A146">
        <v>705</v>
      </c>
      <c r="B146">
        <v>1612.71</v>
      </c>
      <c r="C146">
        <v>1612.62</v>
      </c>
      <c r="D146">
        <v>1612.54</v>
      </c>
      <c r="E146">
        <v>1612.45</v>
      </c>
      <c r="F146">
        <v>1612.37</v>
      </c>
      <c r="G146">
        <v>1612.28</v>
      </c>
      <c r="H146">
        <v>1612.2</v>
      </c>
      <c r="I146">
        <v>1612.11</v>
      </c>
      <c r="J146">
        <v>1612.03</v>
      </c>
      <c r="K146">
        <v>1611.94</v>
      </c>
      <c r="L146">
        <v>1611.85</v>
      </c>
    </row>
    <row r="147" spans="1:12" x14ac:dyDescent="0.15">
      <c r="A147">
        <v>710</v>
      </c>
      <c r="B147">
        <v>1612.79</v>
      </c>
      <c r="C147">
        <v>1612.7</v>
      </c>
      <c r="D147">
        <v>1612.62</v>
      </c>
      <c r="E147">
        <v>1612.53</v>
      </c>
      <c r="F147">
        <v>1612.44</v>
      </c>
      <c r="G147">
        <v>1612.36</v>
      </c>
      <c r="H147">
        <v>1612.27</v>
      </c>
      <c r="I147">
        <v>1612.19</v>
      </c>
      <c r="J147">
        <v>1612.1</v>
      </c>
      <c r="K147">
        <v>1612.02</v>
      </c>
      <c r="L147">
        <v>1611.93</v>
      </c>
    </row>
    <row r="148" spans="1:12" x14ac:dyDescent="0.15">
      <c r="A148">
        <v>715</v>
      </c>
      <c r="B148">
        <v>1612.86</v>
      </c>
      <c r="C148">
        <v>1612.78</v>
      </c>
      <c r="D148">
        <v>1612.69</v>
      </c>
      <c r="E148">
        <v>1612.61</v>
      </c>
      <c r="F148">
        <v>1612.52</v>
      </c>
      <c r="G148">
        <v>1612.44</v>
      </c>
      <c r="H148">
        <v>1612.35</v>
      </c>
      <c r="I148">
        <v>1612.26</v>
      </c>
      <c r="J148">
        <v>1612.18</v>
      </c>
      <c r="K148">
        <v>1612.09</v>
      </c>
      <c r="L148">
        <v>1612.01</v>
      </c>
    </row>
    <row r="149" spans="1:12" x14ac:dyDescent="0.15">
      <c r="A149">
        <v>720</v>
      </c>
      <c r="B149">
        <v>1612.94</v>
      </c>
      <c r="C149">
        <v>1612.85</v>
      </c>
      <c r="D149">
        <v>1612.77</v>
      </c>
      <c r="E149">
        <v>1612.68</v>
      </c>
      <c r="F149">
        <v>1612.6</v>
      </c>
      <c r="G149">
        <v>1612.51</v>
      </c>
      <c r="H149">
        <v>1612.43</v>
      </c>
      <c r="I149">
        <v>1612.34</v>
      </c>
      <c r="J149">
        <v>1612.25</v>
      </c>
      <c r="K149">
        <v>1612.17</v>
      </c>
      <c r="L149">
        <v>1612.08</v>
      </c>
    </row>
    <row r="150" spans="1:12" x14ac:dyDescent="0.15">
      <c r="A150">
        <v>725</v>
      </c>
      <c r="B150">
        <v>1613.02</v>
      </c>
      <c r="C150">
        <v>1612.93</v>
      </c>
      <c r="D150">
        <v>1612.84</v>
      </c>
      <c r="E150">
        <v>1612.76</v>
      </c>
      <c r="F150">
        <v>1612.67</v>
      </c>
      <c r="G150">
        <v>1612.59</v>
      </c>
      <c r="H150">
        <v>1612.5</v>
      </c>
      <c r="I150">
        <v>1612.42</v>
      </c>
      <c r="J150">
        <v>1612.33</v>
      </c>
      <c r="K150">
        <v>1612.24</v>
      </c>
      <c r="L150">
        <v>1612.16</v>
      </c>
    </row>
    <row r="151" spans="1:12" x14ac:dyDescent="0.15">
      <c r="A151">
        <v>730</v>
      </c>
      <c r="B151">
        <v>1613.09</v>
      </c>
      <c r="C151">
        <v>1613.01</v>
      </c>
      <c r="D151">
        <v>1612.92</v>
      </c>
      <c r="E151">
        <v>1612.84</v>
      </c>
      <c r="F151">
        <v>1612.75</v>
      </c>
      <c r="G151">
        <v>1612.66</v>
      </c>
      <c r="H151">
        <v>1612.58</v>
      </c>
      <c r="I151">
        <v>1612.49</v>
      </c>
      <c r="J151">
        <v>1612.41</v>
      </c>
      <c r="K151">
        <v>1612.32</v>
      </c>
      <c r="L151">
        <v>1612.24</v>
      </c>
    </row>
    <row r="152" spans="1:12" x14ac:dyDescent="0.15">
      <c r="A152">
        <v>735</v>
      </c>
      <c r="B152">
        <v>1613.17</v>
      </c>
      <c r="C152">
        <v>1613.08</v>
      </c>
      <c r="D152">
        <v>1613</v>
      </c>
      <c r="E152">
        <v>1612.91</v>
      </c>
      <c r="F152">
        <v>1612.83</v>
      </c>
      <c r="G152">
        <v>1612.74</v>
      </c>
      <c r="H152">
        <v>1612.65</v>
      </c>
      <c r="I152">
        <v>1612.57</v>
      </c>
      <c r="J152">
        <v>1612.48</v>
      </c>
      <c r="K152">
        <v>1612.4</v>
      </c>
      <c r="L152">
        <v>1612.31</v>
      </c>
    </row>
    <row r="153" spans="1:12" x14ac:dyDescent="0.15">
      <c r="A153">
        <v>740</v>
      </c>
      <c r="B153">
        <v>1613.24</v>
      </c>
      <c r="C153">
        <v>1613.16</v>
      </c>
      <c r="D153">
        <v>1613.07</v>
      </c>
      <c r="E153">
        <v>1612.99</v>
      </c>
      <c r="F153">
        <v>1612.9</v>
      </c>
      <c r="G153">
        <v>1612.82</v>
      </c>
      <c r="H153">
        <v>1612.73</v>
      </c>
      <c r="I153">
        <v>1612.64</v>
      </c>
      <c r="J153">
        <v>1612.56</v>
      </c>
      <c r="K153">
        <v>1612.47</v>
      </c>
      <c r="L153">
        <v>1612.39</v>
      </c>
    </row>
    <row r="154" spans="1:12" x14ac:dyDescent="0.15">
      <c r="A154">
        <v>745</v>
      </c>
      <c r="B154">
        <v>1613.32</v>
      </c>
      <c r="C154">
        <v>1613.24</v>
      </c>
      <c r="D154">
        <v>1613.15</v>
      </c>
      <c r="E154">
        <v>1613.06</v>
      </c>
      <c r="F154">
        <v>1612.98</v>
      </c>
      <c r="G154">
        <v>1612.89</v>
      </c>
      <c r="H154">
        <v>1612.81</v>
      </c>
      <c r="I154">
        <v>1612.72</v>
      </c>
      <c r="J154">
        <v>1612.64</v>
      </c>
      <c r="K154">
        <v>1612.55</v>
      </c>
      <c r="L154">
        <v>1612.46</v>
      </c>
    </row>
    <row r="155" spans="1:12" x14ac:dyDescent="0.15">
      <c r="A155">
        <v>750</v>
      </c>
      <c r="B155">
        <v>1613.4</v>
      </c>
      <c r="C155">
        <v>1613.31</v>
      </c>
      <c r="D155">
        <v>1613.23</v>
      </c>
      <c r="E155">
        <v>1613.14</v>
      </c>
      <c r="F155">
        <v>1613.05</v>
      </c>
      <c r="G155">
        <v>1612.97</v>
      </c>
      <c r="H155">
        <v>1612.88</v>
      </c>
      <c r="I155">
        <v>1612.8</v>
      </c>
      <c r="J155">
        <v>1612.71</v>
      </c>
      <c r="K155">
        <v>1612.63</v>
      </c>
      <c r="L155">
        <v>1612.54</v>
      </c>
    </row>
    <row r="156" spans="1:12" x14ac:dyDescent="0.15">
      <c r="A156">
        <v>755</v>
      </c>
      <c r="B156">
        <v>1613.47</v>
      </c>
      <c r="C156">
        <v>1613.39</v>
      </c>
      <c r="D156">
        <v>1613.3</v>
      </c>
      <c r="E156">
        <v>1613.22</v>
      </c>
      <c r="F156">
        <v>1613.13</v>
      </c>
      <c r="G156">
        <v>1613.05</v>
      </c>
      <c r="H156">
        <v>1612.96</v>
      </c>
      <c r="I156">
        <v>1612.87</v>
      </c>
      <c r="J156">
        <v>1612.79</v>
      </c>
      <c r="K156">
        <v>1612.7</v>
      </c>
      <c r="L156">
        <v>1612.62</v>
      </c>
    </row>
    <row r="157" spans="1:12" x14ac:dyDescent="0.15">
      <c r="A157">
        <v>760</v>
      </c>
      <c r="B157">
        <v>1613.55</v>
      </c>
      <c r="C157">
        <v>1613.46</v>
      </c>
      <c r="D157">
        <v>1613.38</v>
      </c>
      <c r="E157">
        <v>1613.29</v>
      </c>
      <c r="F157">
        <v>1613.21</v>
      </c>
      <c r="G157">
        <v>1613.12</v>
      </c>
      <c r="H157">
        <v>1613.04</v>
      </c>
      <c r="I157">
        <v>1612.95</v>
      </c>
      <c r="J157">
        <v>1612.86</v>
      </c>
      <c r="K157">
        <v>1612.78</v>
      </c>
      <c r="L157">
        <v>1612.69</v>
      </c>
    </row>
    <row r="158" spans="1:12" x14ac:dyDescent="0.15">
      <c r="A158">
        <v>765</v>
      </c>
      <c r="B158">
        <v>1613.63</v>
      </c>
      <c r="C158">
        <v>1613.54</v>
      </c>
      <c r="D158">
        <v>1613.45</v>
      </c>
      <c r="E158">
        <v>1613.37</v>
      </c>
      <c r="F158">
        <v>1613.28</v>
      </c>
      <c r="G158">
        <v>1613.2</v>
      </c>
      <c r="H158">
        <v>1613.11</v>
      </c>
      <c r="I158">
        <v>1613.03</v>
      </c>
      <c r="J158">
        <v>1612.94</v>
      </c>
      <c r="K158">
        <v>1612.85</v>
      </c>
      <c r="L158">
        <v>1612.77</v>
      </c>
    </row>
    <row r="159" spans="1:12" x14ac:dyDescent="0.15">
      <c r="A159">
        <v>770</v>
      </c>
      <c r="B159">
        <v>1613.7</v>
      </c>
      <c r="C159">
        <v>1613.62</v>
      </c>
      <c r="D159">
        <v>1613.53</v>
      </c>
      <c r="E159">
        <v>1613.45</v>
      </c>
      <c r="F159">
        <v>1613.36</v>
      </c>
      <c r="G159">
        <v>1613.27</v>
      </c>
      <c r="H159">
        <v>1613.19</v>
      </c>
      <c r="I159">
        <v>1613.1</v>
      </c>
      <c r="J159">
        <v>1613.02</v>
      </c>
      <c r="K159">
        <v>1612.93</v>
      </c>
      <c r="L159">
        <v>1612.85</v>
      </c>
    </row>
    <row r="160" spans="1:12" x14ac:dyDescent="0.15">
      <c r="A160">
        <v>775</v>
      </c>
      <c r="B160">
        <v>1613.78</v>
      </c>
      <c r="C160">
        <v>1613.69</v>
      </c>
      <c r="D160">
        <v>1613.61</v>
      </c>
      <c r="E160">
        <v>1613.52</v>
      </c>
      <c r="F160">
        <v>1613.44</v>
      </c>
      <c r="G160">
        <v>1613.35</v>
      </c>
      <c r="H160">
        <v>1613.27</v>
      </c>
      <c r="I160">
        <v>1613.18</v>
      </c>
      <c r="J160">
        <v>1613.09</v>
      </c>
      <c r="K160">
        <v>1613.01</v>
      </c>
      <c r="L160">
        <v>1612.92</v>
      </c>
    </row>
    <row r="161" spans="1:12" x14ac:dyDescent="0.15">
      <c r="A161">
        <v>780</v>
      </c>
      <c r="B161">
        <v>1613.85</v>
      </c>
      <c r="C161">
        <v>1613.77</v>
      </c>
      <c r="D161">
        <v>1613.68</v>
      </c>
      <c r="E161">
        <v>1613.6</v>
      </c>
      <c r="F161">
        <v>1613.51</v>
      </c>
      <c r="G161">
        <v>1613.43</v>
      </c>
      <c r="H161">
        <v>1613.34</v>
      </c>
      <c r="I161">
        <v>1613.26</v>
      </c>
      <c r="J161">
        <v>1613.17</v>
      </c>
      <c r="K161">
        <v>1613.08</v>
      </c>
      <c r="L161">
        <v>1613</v>
      </c>
    </row>
    <row r="162" spans="1:12" x14ac:dyDescent="0.15">
      <c r="A162">
        <v>785</v>
      </c>
      <c r="B162">
        <v>1613.93</v>
      </c>
      <c r="C162">
        <v>1613.85</v>
      </c>
      <c r="D162">
        <v>1613.76</v>
      </c>
      <c r="E162">
        <v>1613.67</v>
      </c>
      <c r="F162">
        <v>1613.59</v>
      </c>
      <c r="G162">
        <v>1613.5</v>
      </c>
      <c r="H162">
        <v>1613.42</v>
      </c>
      <c r="I162">
        <v>1613.33</v>
      </c>
      <c r="J162">
        <v>1613.25</v>
      </c>
      <c r="K162">
        <v>1613.16</v>
      </c>
      <c r="L162">
        <v>1613.07</v>
      </c>
    </row>
    <row r="163" spans="1:12" x14ac:dyDescent="0.15">
      <c r="A163">
        <v>790</v>
      </c>
      <c r="B163">
        <v>1614.01</v>
      </c>
      <c r="C163">
        <v>1613.92</v>
      </c>
      <c r="D163">
        <v>1613.84</v>
      </c>
      <c r="E163">
        <v>1613.75</v>
      </c>
      <c r="F163">
        <v>1613.67</v>
      </c>
      <c r="G163">
        <v>1613.58</v>
      </c>
      <c r="H163">
        <v>1613.49</v>
      </c>
      <c r="I163">
        <v>1613.41</v>
      </c>
      <c r="J163">
        <v>1613.32</v>
      </c>
      <c r="K163">
        <v>1613.24</v>
      </c>
      <c r="L163">
        <v>1613.15</v>
      </c>
    </row>
    <row r="164" spans="1:12" x14ac:dyDescent="0.15">
      <c r="A164">
        <v>795</v>
      </c>
      <c r="B164">
        <v>1614.08</v>
      </c>
      <c r="C164">
        <v>1614</v>
      </c>
      <c r="D164">
        <v>1613.91</v>
      </c>
      <c r="E164">
        <v>1613.83</v>
      </c>
      <c r="F164">
        <v>1613.74</v>
      </c>
      <c r="G164">
        <v>1613.66</v>
      </c>
      <c r="H164">
        <v>1613.57</v>
      </c>
      <c r="I164">
        <v>1613.48</v>
      </c>
      <c r="J164">
        <v>1613.4</v>
      </c>
      <c r="K164">
        <v>1613.31</v>
      </c>
      <c r="L164">
        <v>1613.23</v>
      </c>
    </row>
    <row r="165" spans="1:12" x14ac:dyDescent="0.15">
      <c r="A165">
        <v>800</v>
      </c>
      <c r="B165">
        <v>1614.16</v>
      </c>
      <c r="C165">
        <v>1614.07</v>
      </c>
      <c r="D165">
        <v>1613.99</v>
      </c>
      <c r="E165">
        <v>1613.9</v>
      </c>
      <c r="F165">
        <v>1613.82</v>
      </c>
      <c r="G165">
        <v>1613.73</v>
      </c>
      <c r="H165">
        <v>1613.65</v>
      </c>
      <c r="I165">
        <v>1613.56</v>
      </c>
      <c r="J165">
        <v>1613.47</v>
      </c>
      <c r="K165">
        <v>1613.39</v>
      </c>
      <c r="L165">
        <v>1613.3</v>
      </c>
    </row>
    <row r="166" spans="1:12" x14ac:dyDescent="0.15">
      <c r="A166">
        <v>805</v>
      </c>
      <c r="B166">
        <v>1614.24</v>
      </c>
      <c r="C166">
        <v>1614.15</v>
      </c>
      <c r="D166">
        <v>1614.06</v>
      </c>
      <c r="E166">
        <v>1613.98</v>
      </c>
      <c r="F166">
        <v>1613.89</v>
      </c>
      <c r="G166">
        <v>1613.81</v>
      </c>
      <c r="H166">
        <v>1613.72</v>
      </c>
      <c r="I166">
        <v>1613.64</v>
      </c>
      <c r="J166">
        <v>1613.55</v>
      </c>
      <c r="K166">
        <v>1613.47</v>
      </c>
      <c r="L166">
        <v>1613.38</v>
      </c>
    </row>
    <row r="167" spans="1:12" x14ac:dyDescent="0.15">
      <c r="A167">
        <v>810</v>
      </c>
      <c r="B167">
        <v>1614.31</v>
      </c>
      <c r="C167">
        <v>1614.23</v>
      </c>
      <c r="D167">
        <v>1614.14</v>
      </c>
      <c r="E167">
        <v>1614.06</v>
      </c>
      <c r="F167">
        <v>1613.97</v>
      </c>
      <c r="G167">
        <v>1613.88</v>
      </c>
      <c r="H167">
        <v>1613.8</v>
      </c>
      <c r="I167">
        <v>1613.71</v>
      </c>
      <c r="J167">
        <v>1613.63</v>
      </c>
      <c r="K167">
        <v>1613.54</v>
      </c>
      <c r="L167">
        <v>1613.46</v>
      </c>
    </row>
    <row r="168" spans="1:12" x14ac:dyDescent="0.15">
      <c r="A168">
        <v>815</v>
      </c>
      <c r="B168">
        <v>1614.39</v>
      </c>
      <c r="C168">
        <v>1614.3</v>
      </c>
      <c r="D168">
        <v>1614.22</v>
      </c>
      <c r="E168">
        <v>1614.13</v>
      </c>
      <c r="F168">
        <v>1614.05</v>
      </c>
      <c r="G168">
        <v>1613.96</v>
      </c>
      <c r="H168">
        <v>1613.88</v>
      </c>
      <c r="I168">
        <v>1613.79</v>
      </c>
      <c r="J168">
        <v>1613.7</v>
      </c>
      <c r="K168">
        <v>1613.62</v>
      </c>
      <c r="L168">
        <v>1613.53</v>
      </c>
    </row>
    <row r="169" spans="1:12" x14ac:dyDescent="0.15">
      <c r="A169">
        <v>820</v>
      </c>
      <c r="B169">
        <v>1614.46</v>
      </c>
      <c r="C169">
        <v>1614.38</v>
      </c>
      <c r="D169">
        <v>1614.29</v>
      </c>
      <c r="E169">
        <v>1614.21</v>
      </c>
      <c r="F169">
        <v>1614.12</v>
      </c>
      <c r="G169">
        <v>1614.04</v>
      </c>
      <c r="H169">
        <v>1613.95</v>
      </c>
      <c r="I169">
        <v>1613.87</v>
      </c>
      <c r="J169">
        <v>1613.78</v>
      </c>
      <c r="K169">
        <v>1613.69</v>
      </c>
      <c r="L169">
        <v>1613.61</v>
      </c>
    </row>
    <row r="170" spans="1:12" x14ac:dyDescent="0.15">
      <c r="A170">
        <v>825</v>
      </c>
      <c r="B170">
        <v>1614.54</v>
      </c>
      <c r="C170">
        <v>1614.46</v>
      </c>
      <c r="D170">
        <v>1614.37</v>
      </c>
      <c r="E170">
        <v>1614.28</v>
      </c>
      <c r="F170">
        <v>1614.2</v>
      </c>
      <c r="G170">
        <v>1614.11</v>
      </c>
      <c r="H170">
        <v>1614.03</v>
      </c>
      <c r="I170">
        <v>1613.94</v>
      </c>
      <c r="J170">
        <v>1613.86</v>
      </c>
      <c r="K170">
        <v>1613.77</v>
      </c>
      <c r="L170">
        <v>1613.68</v>
      </c>
    </row>
    <row r="171" spans="1:12" x14ac:dyDescent="0.15">
      <c r="A171">
        <v>830</v>
      </c>
      <c r="B171">
        <v>1614.62</v>
      </c>
      <c r="C171">
        <v>1614.53</v>
      </c>
      <c r="D171">
        <v>1614.45</v>
      </c>
      <c r="E171">
        <v>1614.36</v>
      </c>
      <c r="F171">
        <v>1614.28</v>
      </c>
      <c r="G171">
        <v>1614.19</v>
      </c>
      <c r="H171">
        <v>1614.1</v>
      </c>
      <c r="I171">
        <v>1614.02</v>
      </c>
      <c r="J171">
        <v>1613.93</v>
      </c>
      <c r="K171">
        <v>1613.85</v>
      </c>
      <c r="L171">
        <v>1613.76</v>
      </c>
    </row>
    <row r="172" spans="1:12" x14ac:dyDescent="0.15">
      <c r="A172">
        <v>835</v>
      </c>
      <c r="B172">
        <v>1614.69</v>
      </c>
      <c r="C172">
        <v>1614.61</v>
      </c>
      <c r="D172">
        <v>1614.52</v>
      </c>
      <c r="E172">
        <v>1614.44</v>
      </c>
      <c r="F172">
        <v>1614.35</v>
      </c>
      <c r="G172">
        <v>1614.27</v>
      </c>
      <c r="H172">
        <v>1614.18</v>
      </c>
      <c r="I172">
        <v>1614.09</v>
      </c>
      <c r="J172">
        <v>1614.01</v>
      </c>
      <c r="K172">
        <v>1613.92</v>
      </c>
      <c r="L172">
        <v>1613.84</v>
      </c>
    </row>
    <row r="173" spans="1:12" x14ac:dyDescent="0.15">
      <c r="A173">
        <v>840</v>
      </c>
      <c r="B173">
        <v>1614.77</v>
      </c>
      <c r="C173">
        <v>1614.68</v>
      </c>
      <c r="D173">
        <v>1614.6</v>
      </c>
      <c r="E173">
        <v>1614.51</v>
      </c>
      <c r="F173">
        <v>1614.43</v>
      </c>
      <c r="G173">
        <v>1614.34</v>
      </c>
      <c r="H173">
        <v>1614.26</v>
      </c>
      <c r="I173">
        <v>1614.17</v>
      </c>
      <c r="J173">
        <v>1614.08</v>
      </c>
      <c r="K173">
        <v>1614</v>
      </c>
      <c r="L173">
        <v>1613.91</v>
      </c>
    </row>
    <row r="174" spans="1:12" x14ac:dyDescent="0.15">
      <c r="A174">
        <v>845</v>
      </c>
      <c r="B174">
        <v>1614.85</v>
      </c>
      <c r="C174">
        <v>1614.76</v>
      </c>
      <c r="D174">
        <v>1614.68</v>
      </c>
      <c r="E174">
        <v>1614.59</v>
      </c>
      <c r="F174">
        <v>1614.5</v>
      </c>
      <c r="G174">
        <v>1614.42</v>
      </c>
      <c r="H174">
        <v>1614.33</v>
      </c>
      <c r="I174">
        <v>1614.25</v>
      </c>
      <c r="J174">
        <v>1614.16</v>
      </c>
      <c r="K174">
        <v>1614.08</v>
      </c>
      <c r="L174">
        <v>1613.99</v>
      </c>
    </row>
    <row r="175" spans="1:12" x14ac:dyDescent="0.15">
      <c r="A175">
        <v>850</v>
      </c>
      <c r="B175">
        <v>1614.92</v>
      </c>
      <c r="C175">
        <v>1614.84</v>
      </c>
      <c r="D175">
        <v>1614.75</v>
      </c>
      <c r="E175">
        <v>1614.67</v>
      </c>
      <c r="F175">
        <v>1614.58</v>
      </c>
      <c r="G175">
        <v>1614.49</v>
      </c>
      <c r="H175">
        <v>1614.41</v>
      </c>
      <c r="I175">
        <v>1614.32</v>
      </c>
      <c r="J175">
        <v>1614.24</v>
      </c>
      <c r="K175">
        <v>1614.15</v>
      </c>
      <c r="L175">
        <v>1614.07</v>
      </c>
    </row>
    <row r="176" spans="1:12" x14ac:dyDescent="0.15">
      <c r="A176">
        <v>855</v>
      </c>
      <c r="B176">
        <v>1615</v>
      </c>
      <c r="C176">
        <v>1614.91</v>
      </c>
      <c r="D176">
        <v>1614.83</v>
      </c>
      <c r="E176">
        <v>1614.74</v>
      </c>
      <c r="F176">
        <v>1614.66</v>
      </c>
      <c r="G176">
        <v>1614.57</v>
      </c>
      <c r="H176">
        <v>1614.49</v>
      </c>
      <c r="I176">
        <v>1614.4</v>
      </c>
      <c r="J176">
        <v>1614.31</v>
      </c>
      <c r="K176">
        <v>1614.23</v>
      </c>
      <c r="L176">
        <v>1614.14</v>
      </c>
    </row>
    <row r="177" spans="1:12" x14ac:dyDescent="0.15">
      <c r="A177">
        <v>860</v>
      </c>
      <c r="B177">
        <v>1615.08</v>
      </c>
      <c r="C177">
        <v>1614.99</v>
      </c>
      <c r="D177">
        <v>1614.9</v>
      </c>
      <c r="E177">
        <v>1614.82</v>
      </c>
      <c r="F177">
        <v>1614.73</v>
      </c>
      <c r="G177">
        <v>1614.65</v>
      </c>
      <c r="H177">
        <v>1614.56</v>
      </c>
      <c r="I177">
        <v>1614.48</v>
      </c>
      <c r="J177">
        <v>1614.39</v>
      </c>
      <c r="K177">
        <v>1614.3</v>
      </c>
      <c r="L177">
        <v>1614.22</v>
      </c>
    </row>
    <row r="178" spans="1:12" x14ac:dyDescent="0.15">
      <c r="A178">
        <v>865</v>
      </c>
      <c r="B178">
        <v>1615.15</v>
      </c>
      <c r="C178">
        <v>1615.07</v>
      </c>
      <c r="D178">
        <v>1614.98</v>
      </c>
      <c r="E178">
        <v>1614.89</v>
      </c>
      <c r="F178">
        <v>1614.81</v>
      </c>
      <c r="G178">
        <v>1614.72</v>
      </c>
      <c r="H178">
        <v>1614.64</v>
      </c>
      <c r="I178">
        <v>1614.55</v>
      </c>
      <c r="J178">
        <v>1614.47</v>
      </c>
      <c r="K178">
        <v>1614.38</v>
      </c>
      <c r="L178">
        <v>1614.29</v>
      </c>
    </row>
    <row r="179" spans="1:12" x14ac:dyDescent="0.15">
      <c r="A179">
        <v>870</v>
      </c>
      <c r="B179">
        <v>1615.23</v>
      </c>
      <c r="C179">
        <v>1615.14</v>
      </c>
      <c r="D179">
        <v>1615.06</v>
      </c>
      <c r="E179">
        <v>1614.97</v>
      </c>
      <c r="F179">
        <v>1614.89</v>
      </c>
      <c r="G179">
        <v>1614.8</v>
      </c>
      <c r="H179">
        <v>1614.71</v>
      </c>
      <c r="I179">
        <v>1614.63</v>
      </c>
      <c r="J179">
        <v>1614.54</v>
      </c>
      <c r="K179">
        <v>1614.46</v>
      </c>
      <c r="L179">
        <v>1614.37</v>
      </c>
    </row>
    <row r="180" spans="1:12" x14ac:dyDescent="0.15">
      <c r="A180">
        <v>875</v>
      </c>
      <c r="B180">
        <v>1615.3</v>
      </c>
      <c r="C180">
        <v>1615.22</v>
      </c>
      <c r="D180">
        <v>1615.13</v>
      </c>
      <c r="E180">
        <v>1615.05</v>
      </c>
      <c r="F180">
        <v>1614.96</v>
      </c>
      <c r="G180">
        <v>1614.88</v>
      </c>
      <c r="H180">
        <v>1614.79</v>
      </c>
      <c r="I180">
        <v>1614.7</v>
      </c>
      <c r="J180">
        <v>1614.62</v>
      </c>
      <c r="K180">
        <v>1614.53</v>
      </c>
      <c r="L180">
        <v>1614.45</v>
      </c>
    </row>
    <row r="181" spans="1:12" x14ac:dyDescent="0.15">
      <c r="A181">
        <v>880</v>
      </c>
      <c r="B181">
        <v>1615.38</v>
      </c>
      <c r="C181">
        <v>1615.29</v>
      </c>
      <c r="D181">
        <v>1615.21</v>
      </c>
      <c r="E181">
        <v>1615.12</v>
      </c>
      <c r="F181">
        <v>1615.04</v>
      </c>
      <c r="G181">
        <v>1614.95</v>
      </c>
      <c r="H181">
        <v>1614.87</v>
      </c>
      <c r="I181">
        <v>1614.78</v>
      </c>
      <c r="J181">
        <v>1614.7</v>
      </c>
      <c r="K181">
        <v>1614.61</v>
      </c>
      <c r="L181">
        <v>1614.52</v>
      </c>
    </row>
    <row r="182" spans="1:12" x14ac:dyDescent="0.15">
      <c r="A182">
        <v>885</v>
      </c>
      <c r="B182">
        <v>1615.46</v>
      </c>
      <c r="C182">
        <v>1615.37</v>
      </c>
      <c r="D182">
        <v>1615.29</v>
      </c>
      <c r="E182">
        <v>1615.2</v>
      </c>
      <c r="F182">
        <v>1615.11</v>
      </c>
      <c r="G182">
        <v>1615.03</v>
      </c>
      <c r="H182">
        <v>1614.94</v>
      </c>
      <c r="I182">
        <v>1614.86</v>
      </c>
      <c r="J182">
        <v>1614.77</v>
      </c>
      <c r="K182">
        <v>1614.69</v>
      </c>
      <c r="L182">
        <v>1614.6</v>
      </c>
    </row>
    <row r="183" spans="1:12" x14ac:dyDescent="0.15">
      <c r="A183">
        <v>890</v>
      </c>
      <c r="B183">
        <v>1615.53</v>
      </c>
      <c r="C183">
        <v>1615.45</v>
      </c>
      <c r="D183">
        <v>1615.36</v>
      </c>
      <c r="E183">
        <v>1615.28</v>
      </c>
      <c r="F183">
        <v>1615.19</v>
      </c>
      <c r="G183">
        <v>1615.11</v>
      </c>
      <c r="H183">
        <v>1615.02</v>
      </c>
      <c r="I183">
        <v>1614.93</v>
      </c>
      <c r="J183">
        <v>1614.85</v>
      </c>
      <c r="K183">
        <v>1614.76</v>
      </c>
      <c r="L183">
        <v>1614.68</v>
      </c>
    </row>
    <row r="184" spans="1:12" x14ac:dyDescent="0.15">
      <c r="A184">
        <v>895</v>
      </c>
      <c r="B184">
        <v>1615.61</v>
      </c>
      <c r="C184">
        <v>1615.52</v>
      </c>
      <c r="D184">
        <v>1615.44</v>
      </c>
      <c r="E184">
        <v>1615.35</v>
      </c>
      <c r="F184">
        <v>1615.27</v>
      </c>
      <c r="G184">
        <v>1615.18</v>
      </c>
      <c r="H184">
        <v>1615.1</v>
      </c>
      <c r="I184">
        <v>1615.01</v>
      </c>
      <c r="J184">
        <v>1614.92</v>
      </c>
      <c r="K184">
        <v>1614.84</v>
      </c>
      <c r="L184">
        <v>1614.75</v>
      </c>
    </row>
    <row r="185" spans="1:12" x14ac:dyDescent="0.15">
      <c r="A185">
        <v>900</v>
      </c>
      <c r="B185">
        <v>1615.69</v>
      </c>
      <c r="C185">
        <v>1615.6</v>
      </c>
      <c r="D185">
        <v>1615.51</v>
      </c>
      <c r="E185">
        <v>1615.43</v>
      </c>
      <c r="F185">
        <v>1615.34</v>
      </c>
      <c r="G185">
        <v>1615.26</v>
      </c>
      <c r="H185">
        <v>1615.17</v>
      </c>
      <c r="I185">
        <v>1615.09</v>
      </c>
      <c r="J185">
        <v>1615</v>
      </c>
      <c r="K185">
        <v>1614.91</v>
      </c>
      <c r="L185">
        <v>1614.83</v>
      </c>
    </row>
    <row r="186" spans="1:12" x14ac:dyDescent="0.15">
      <c r="A186">
        <v>905</v>
      </c>
      <c r="B186">
        <v>1615.76</v>
      </c>
      <c r="C186">
        <v>1615.68</v>
      </c>
      <c r="D186">
        <v>1615.59</v>
      </c>
      <c r="E186">
        <v>1615.51</v>
      </c>
      <c r="F186">
        <v>1615.42</v>
      </c>
      <c r="G186">
        <v>1615.33</v>
      </c>
      <c r="H186">
        <v>1615.25</v>
      </c>
      <c r="I186">
        <v>1615.16</v>
      </c>
      <c r="J186">
        <v>1615.08</v>
      </c>
      <c r="K186">
        <v>1614.99</v>
      </c>
      <c r="L186">
        <v>1614.91</v>
      </c>
    </row>
    <row r="187" spans="1:12" x14ac:dyDescent="0.15">
      <c r="A187">
        <v>910</v>
      </c>
      <c r="B187">
        <v>1615.84</v>
      </c>
      <c r="C187">
        <v>1615.75</v>
      </c>
      <c r="D187">
        <v>1615.67</v>
      </c>
      <c r="E187">
        <v>1615.58</v>
      </c>
      <c r="F187">
        <v>1615.5</v>
      </c>
      <c r="G187">
        <v>1615.41</v>
      </c>
      <c r="H187">
        <v>1615.32</v>
      </c>
      <c r="I187">
        <v>1615.24</v>
      </c>
      <c r="J187">
        <v>1615.15</v>
      </c>
      <c r="K187">
        <v>1615.07</v>
      </c>
      <c r="L187">
        <v>1614.98</v>
      </c>
    </row>
    <row r="188" spans="1:12" x14ac:dyDescent="0.15">
      <c r="A188">
        <v>915</v>
      </c>
      <c r="B188">
        <v>1615.91</v>
      </c>
      <c r="C188">
        <v>1615.83</v>
      </c>
      <c r="D188">
        <v>1615.74</v>
      </c>
      <c r="E188">
        <v>1615.66</v>
      </c>
      <c r="F188">
        <v>1615.57</v>
      </c>
      <c r="G188">
        <v>1615.49</v>
      </c>
      <c r="H188">
        <v>1615.4</v>
      </c>
      <c r="I188">
        <v>1615.31</v>
      </c>
      <c r="J188">
        <v>1615.23</v>
      </c>
      <c r="K188">
        <v>1615.14</v>
      </c>
      <c r="L188">
        <v>1615.06</v>
      </c>
    </row>
    <row r="189" spans="1:12" x14ac:dyDescent="0.15">
      <c r="A189">
        <v>920</v>
      </c>
      <c r="B189">
        <v>1615.99</v>
      </c>
      <c r="C189">
        <v>1615.91</v>
      </c>
      <c r="D189">
        <v>1615.82</v>
      </c>
      <c r="E189">
        <v>1615.73</v>
      </c>
      <c r="F189">
        <v>1615.65</v>
      </c>
      <c r="G189">
        <v>1615.56</v>
      </c>
      <c r="H189">
        <v>1615.48</v>
      </c>
      <c r="I189">
        <v>1615.39</v>
      </c>
      <c r="J189">
        <v>1615.31</v>
      </c>
      <c r="K189">
        <v>1615.22</v>
      </c>
      <c r="L189">
        <v>1615.13</v>
      </c>
    </row>
    <row r="190" spans="1:12" x14ac:dyDescent="0.15">
      <c r="A190">
        <v>925</v>
      </c>
      <c r="B190">
        <v>1616.07</v>
      </c>
      <c r="C190">
        <v>1615.98</v>
      </c>
      <c r="D190">
        <v>1615.9</v>
      </c>
      <c r="E190">
        <v>1615.81</v>
      </c>
      <c r="F190">
        <v>1615.72</v>
      </c>
      <c r="G190">
        <v>1615.64</v>
      </c>
      <c r="H190">
        <v>1615.55</v>
      </c>
      <c r="I190">
        <v>1615.47</v>
      </c>
      <c r="J190">
        <v>1615.38</v>
      </c>
      <c r="K190">
        <v>1615.3</v>
      </c>
      <c r="L190">
        <v>1615.21</v>
      </c>
    </row>
    <row r="191" spans="1:12" x14ac:dyDescent="0.15">
      <c r="A191">
        <v>930</v>
      </c>
      <c r="B191">
        <v>1616.14</v>
      </c>
      <c r="C191">
        <v>1616.06</v>
      </c>
      <c r="D191">
        <v>1615.97</v>
      </c>
      <c r="E191">
        <v>1615.89</v>
      </c>
      <c r="F191">
        <v>1615.8</v>
      </c>
      <c r="G191">
        <v>1615.72</v>
      </c>
      <c r="H191">
        <v>1615.63</v>
      </c>
      <c r="I191">
        <v>1615.54</v>
      </c>
      <c r="J191">
        <v>1615.46</v>
      </c>
      <c r="K191">
        <v>1615.37</v>
      </c>
      <c r="L191">
        <v>1615.29</v>
      </c>
    </row>
    <row r="192" spans="1:12" x14ac:dyDescent="0.15">
      <c r="A192">
        <v>935</v>
      </c>
      <c r="B192">
        <v>1616.22</v>
      </c>
      <c r="C192">
        <v>1616.13</v>
      </c>
      <c r="D192">
        <v>1616.05</v>
      </c>
      <c r="E192">
        <v>1615.96</v>
      </c>
      <c r="F192">
        <v>1615.88</v>
      </c>
      <c r="G192">
        <v>1615.79</v>
      </c>
      <c r="H192">
        <v>1615.71</v>
      </c>
      <c r="I192">
        <v>1615.62</v>
      </c>
      <c r="J192">
        <v>1615.53</v>
      </c>
      <c r="K192">
        <v>1615.45</v>
      </c>
      <c r="L192">
        <v>1615.36</v>
      </c>
    </row>
    <row r="193" spans="1:12" x14ac:dyDescent="0.15">
      <c r="A193">
        <v>940</v>
      </c>
      <c r="B193">
        <v>1616.3</v>
      </c>
      <c r="C193">
        <v>1616.21</v>
      </c>
      <c r="D193">
        <v>1616.12</v>
      </c>
      <c r="E193">
        <v>1616.04</v>
      </c>
      <c r="F193">
        <v>1615.95</v>
      </c>
      <c r="G193">
        <v>1615.87</v>
      </c>
      <c r="H193">
        <v>1615.78</v>
      </c>
      <c r="I193">
        <v>1615.7</v>
      </c>
      <c r="J193">
        <v>1615.61</v>
      </c>
      <c r="K193">
        <v>1615.53</v>
      </c>
      <c r="L193">
        <v>1615.44</v>
      </c>
    </row>
    <row r="194" spans="1:12" x14ac:dyDescent="0.15">
      <c r="A194">
        <v>945</v>
      </c>
      <c r="B194">
        <v>1616.37</v>
      </c>
      <c r="C194">
        <v>1616.29</v>
      </c>
      <c r="D194">
        <v>1616.2</v>
      </c>
      <c r="E194">
        <v>1616.12</v>
      </c>
      <c r="F194">
        <v>1616.03</v>
      </c>
      <c r="G194">
        <v>1615.94</v>
      </c>
      <c r="H194">
        <v>1615.86</v>
      </c>
      <c r="I194">
        <v>1615.77</v>
      </c>
      <c r="J194">
        <v>1615.69</v>
      </c>
      <c r="K194">
        <v>1615.6</v>
      </c>
      <c r="L194">
        <v>1615.52</v>
      </c>
    </row>
    <row r="195" spans="1:12" x14ac:dyDescent="0.15">
      <c r="A195">
        <v>950</v>
      </c>
      <c r="B195">
        <v>1616.45</v>
      </c>
      <c r="C195">
        <v>1616.36</v>
      </c>
      <c r="D195">
        <v>1616.28</v>
      </c>
      <c r="E195">
        <v>1616.19</v>
      </c>
      <c r="F195">
        <v>1616.11</v>
      </c>
      <c r="G195">
        <v>1616.02</v>
      </c>
      <c r="H195">
        <v>1615.94</v>
      </c>
      <c r="I195">
        <v>1615.85</v>
      </c>
      <c r="J195">
        <v>1615.76</v>
      </c>
      <c r="K195">
        <v>1615.68</v>
      </c>
      <c r="L195">
        <v>1615.59</v>
      </c>
    </row>
    <row r="196" spans="1:12" x14ac:dyDescent="0.15">
      <c r="A196">
        <v>955</v>
      </c>
      <c r="B196">
        <v>1616.52</v>
      </c>
      <c r="C196">
        <v>1616.44</v>
      </c>
      <c r="D196">
        <v>1616.35</v>
      </c>
      <c r="E196">
        <v>1616.27</v>
      </c>
      <c r="F196">
        <v>1616.18</v>
      </c>
      <c r="G196">
        <v>1616.1</v>
      </c>
      <c r="H196">
        <v>1616.01</v>
      </c>
      <c r="I196">
        <v>1615.93</v>
      </c>
      <c r="J196">
        <v>1615.84</v>
      </c>
      <c r="K196">
        <v>1615.75</v>
      </c>
      <c r="L196">
        <v>1615.67</v>
      </c>
    </row>
    <row r="197" spans="1:12" x14ac:dyDescent="0.15">
      <c r="A197">
        <v>960</v>
      </c>
      <c r="B197">
        <v>1616.6</v>
      </c>
      <c r="C197">
        <v>1616.52</v>
      </c>
      <c r="D197">
        <v>1616.43</v>
      </c>
      <c r="E197">
        <v>1616.34</v>
      </c>
      <c r="F197">
        <v>1616.26</v>
      </c>
      <c r="G197">
        <v>1616.17</v>
      </c>
      <c r="H197">
        <v>1616.09</v>
      </c>
      <c r="I197">
        <v>1616</v>
      </c>
      <c r="J197">
        <v>1615.92</v>
      </c>
      <c r="K197">
        <v>1615.83</v>
      </c>
      <c r="L197">
        <v>1615.74</v>
      </c>
    </row>
    <row r="198" spans="1:12" x14ac:dyDescent="0.15">
      <c r="A198">
        <v>965</v>
      </c>
      <c r="B198">
        <v>1616.68</v>
      </c>
      <c r="C198">
        <v>1616.59</v>
      </c>
      <c r="D198">
        <v>1616.51</v>
      </c>
      <c r="E198">
        <v>1616.42</v>
      </c>
      <c r="F198">
        <v>1616.34</v>
      </c>
      <c r="G198">
        <v>1616.25</v>
      </c>
      <c r="H198">
        <v>1616.16</v>
      </c>
      <c r="I198">
        <v>1616.08</v>
      </c>
      <c r="J198">
        <v>1615.99</v>
      </c>
      <c r="K198">
        <v>1615.91</v>
      </c>
      <c r="L198">
        <v>1615.82</v>
      </c>
    </row>
    <row r="199" spans="1:12" x14ac:dyDescent="0.15">
      <c r="A199">
        <v>970</v>
      </c>
      <c r="B199">
        <v>1616.75</v>
      </c>
      <c r="C199">
        <v>1616.67</v>
      </c>
      <c r="D199">
        <v>1616.58</v>
      </c>
      <c r="E199">
        <v>1616.5</v>
      </c>
      <c r="F199">
        <v>1616.41</v>
      </c>
      <c r="G199">
        <v>1616.33</v>
      </c>
      <c r="H199">
        <v>1616.24</v>
      </c>
      <c r="I199">
        <v>1616.15</v>
      </c>
      <c r="J199">
        <v>1616.07</v>
      </c>
      <c r="K199">
        <v>1615.98</v>
      </c>
      <c r="L199">
        <v>1615.9</v>
      </c>
    </row>
    <row r="200" spans="1:12" x14ac:dyDescent="0.15">
      <c r="A200">
        <v>975</v>
      </c>
      <c r="B200">
        <v>1616.83</v>
      </c>
      <c r="C200">
        <v>1616.74</v>
      </c>
      <c r="D200">
        <v>1616.66</v>
      </c>
      <c r="E200">
        <v>1616.57</v>
      </c>
      <c r="F200">
        <v>1616.49</v>
      </c>
      <c r="G200">
        <v>1616.4</v>
      </c>
      <c r="H200">
        <v>1616.32</v>
      </c>
      <c r="I200">
        <v>1616.23</v>
      </c>
      <c r="J200">
        <v>1616.14</v>
      </c>
      <c r="K200">
        <v>1616.06</v>
      </c>
      <c r="L200">
        <v>1615.97</v>
      </c>
    </row>
    <row r="201" spans="1:12" x14ac:dyDescent="0.15">
      <c r="A201">
        <v>980</v>
      </c>
      <c r="B201">
        <v>1616.91</v>
      </c>
      <c r="C201">
        <v>1616.82</v>
      </c>
      <c r="D201">
        <v>1616.74</v>
      </c>
      <c r="E201">
        <v>1616.65</v>
      </c>
      <c r="F201">
        <v>1616.56</v>
      </c>
      <c r="G201">
        <v>1616.48</v>
      </c>
      <c r="H201">
        <v>1616.39</v>
      </c>
      <c r="I201">
        <v>1616.31</v>
      </c>
      <c r="J201">
        <v>1616.22</v>
      </c>
      <c r="K201">
        <v>1616.14</v>
      </c>
      <c r="L201">
        <v>1616.05</v>
      </c>
    </row>
    <row r="202" spans="1:12" x14ac:dyDescent="0.15">
      <c r="A202">
        <v>985</v>
      </c>
      <c r="B202">
        <v>1616.98</v>
      </c>
      <c r="C202">
        <v>1616.9</v>
      </c>
      <c r="D202">
        <v>1616.81</v>
      </c>
      <c r="E202">
        <v>1616.73</v>
      </c>
      <c r="F202">
        <v>1616.64</v>
      </c>
      <c r="G202">
        <v>1616.55</v>
      </c>
      <c r="H202">
        <v>1616.47</v>
      </c>
      <c r="I202">
        <v>1616.38</v>
      </c>
      <c r="J202">
        <v>1616.3</v>
      </c>
      <c r="K202">
        <v>1616.21</v>
      </c>
      <c r="L202">
        <v>1616.13</v>
      </c>
    </row>
    <row r="203" spans="1:12" x14ac:dyDescent="0.15">
      <c r="A203">
        <v>990</v>
      </c>
      <c r="B203">
        <v>1617.06</v>
      </c>
      <c r="C203">
        <v>1616.97</v>
      </c>
      <c r="D203">
        <v>1616.89</v>
      </c>
      <c r="E203">
        <v>1616.8</v>
      </c>
      <c r="F203">
        <v>1616.72</v>
      </c>
      <c r="G203">
        <v>1616.63</v>
      </c>
      <c r="H203">
        <v>1616.55</v>
      </c>
      <c r="I203">
        <v>1616.46</v>
      </c>
      <c r="J203">
        <v>1616.37</v>
      </c>
      <c r="K203">
        <v>1616.29</v>
      </c>
      <c r="L203">
        <v>1616.2</v>
      </c>
    </row>
    <row r="204" spans="1:12" x14ac:dyDescent="0.15">
      <c r="A204">
        <v>995</v>
      </c>
      <c r="B204">
        <v>1617.14</v>
      </c>
      <c r="C204">
        <v>1617.05</v>
      </c>
      <c r="D204">
        <v>1616.96</v>
      </c>
      <c r="E204">
        <v>1616.88</v>
      </c>
      <c r="F204">
        <v>1616.79</v>
      </c>
      <c r="G204">
        <v>1616.71</v>
      </c>
      <c r="H204">
        <v>1616.62</v>
      </c>
      <c r="I204">
        <v>1616.54</v>
      </c>
      <c r="J204">
        <v>1616.45</v>
      </c>
      <c r="K204">
        <v>1616.36</v>
      </c>
      <c r="L204">
        <v>1616.28</v>
      </c>
    </row>
    <row r="205" spans="1:12" x14ac:dyDescent="0.15">
      <c r="A205">
        <v>1000</v>
      </c>
      <c r="B205">
        <v>1617.21</v>
      </c>
      <c r="C205">
        <v>1617.13</v>
      </c>
      <c r="D205">
        <v>1617.04</v>
      </c>
      <c r="E205">
        <v>1616.95</v>
      </c>
      <c r="F205">
        <v>1616.87</v>
      </c>
      <c r="G205">
        <v>1616.78</v>
      </c>
      <c r="H205">
        <v>1616.7</v>
      </c>
      <c r="I205">
        <v>1616.61</v>
      </c>
      <c r="J205">
        <v>1616.53</v>
      </c>
      <c r="K205">
        <v>1616.44</v>
      </c>
      <c r="L205">
        <v>1616.35</v>
      </c>
    </row>
    <row r="206" spans="1:12" x14ac:dyDescent="0.15">
      <c r="A206">
        <v>1005</v>
      </c>
      <c r="B206">
        <v>1617.29</v>
      </c>
      <c r="C206">
        <v>1617.2</v>
      </c>
      <c r="D206">
        <v>1617.12</v>
      </c>
      <c r="E206">
        <v>1617.03</v>
      </c>
      <c r="F206">
        <v>1616.95</v>
      </c>
      <c r="G206">
        <v>1616.86</v>
      </c>
      <c r="H206">
        <v>1616.77</v>
      </c>
      <c r="I206">
        <v>1616.69</v>
      </c>
      <c r="J206">
        <v>1616.6</v>
      </c>
      <c r="K206">
        <v>1616.52</v>
      </c>
      <c r="L206">
        <v>1616.43</v>
      </c>
    </row>
    <row r="207" spans="1:12" x14ac:dyDescent="0.15">
      <c r="A207">
        <v>1010</v>
      </c>
      <c r="B207">
        <v>1617.36</v>
      </c>
      <c r="C207">
        <v>1617.28</v>
      </c>
      <c r="D207">
        <v>1617.19</v>
      </c>
      <c r="E207">
        <v>1617.11</v>
      </c>
      <c r="F207">
        <v>1617.02</v>
      </c>
      <c r="G207">
        <v>1616.94</v>
      </c>
      <c r="H207">
        <v>1616.85</v>
      </c>
      <c r="I207">
        <v>1616.76</v>
      </c>
      <c r="J207">
        <v>1616.68</v>
      </c>
      <c r="K207">
        <v>1616.59</v>
      </c>
      <c r="L207">
        <v>1616.51</v>
      </c>
    </row>
    <row r="208" spans="1:12" x14ac:dyDescent="0.15">
      <c r="A208">
        <v>1015</v>
      </c>
      <c r="B208">
        <v>1617.44</v>
      </c>
      <c r="C208">
        <v>1617.35</v>
      </c>
      <c r="D208">
        <v>1617.27</v>
      </c>
      <c r="E208">
        <v>1617.18</v>
      </c>
      <c r="F208">
        <v>1617.1</v>
      </c>
      <c r="G208">
        <v>1617.01</v>
      </c>
      <c r="H208">
        <v>1616.93</v>
      </c>
      <c r="I208">
        <v>1616.84</v>
      </c>
      <c r="J208">
        <v>1616.76</v>
      </c>
      <c r="K208">
        <v>1616.67</v>
      </c>
      <c r="L208">
        <v>1616.58</v>
      </c>
    </row>
    <row r="209" spans="1:12" x14ac:dyDescent="0.15">
      <c r="A209">
        <v>1020</v>
      </c>
      <c r="B209">
        <v>1617.52</v>
      </c>
      <c r="C209">
        <v>1617.43</v>
      </c>
      <c r="D209">
        <v>1617.35</v>
      </c>
      <c r="E209">
        <v>1617.26</v>
      </c>
      <c r="F209">
        <v>1617.17</v>
      </c>
      <c r="G209">
        <v>1617.09</v>
      </c>
      <c r="H209">
        <v>1617</v>
      </c>
      <c r="I209">
        <v>1616.92</v>
      </c>
      <c r="J209">
        <v>1616.83</v>
      </c>
      <c r="K209">
        <v>1616.75</v>
      </c>
      <c r="L209">
        <v>1616.66</v>
      </c>
    </row>
    <row r="210" spans="1:12" x14ac:dyDescent="0.15">
      <c r="A210">
        <v>1025</v>
      </c>
      <c r="B210">
        <v>1617.59</v>
      </c>
      <c r="C210">
        <v>1617.51</v>
      </c>
      <c r="D210">
        <v>1617.42</v>
      </c>
      <c r="E210">
        <v>1617.34</v>
      </c>
      <c r="F210">
        <v>1617.25</v>
      </c>
      <c r="G210">
        <v>1617.17</v>
      </c>
      <c r="H210">
        <v>1617.08</v>
      </c>
      <c r="I210">
        <v>1616.99</v>
      </c>
      <c r="J210">
        <v>1616.91</v>
      </c>
      <c r="K210">
        <v>1616.82</v>
      </c>
      <c r="L210">
        <v>1616.74</v>
      </c>
    </row>
    <row r="211" spans="1:12" x14ac:dyDescent="0.15">
      <c r="A211">
        <v>1030</v>
      </c>
      <c r="B211">
        <v>1617.67</v>
      </c>
      <c r="C211">
        <v>1617.58</v>
      </c>
      <c r="D211">
        <v>1617.5</v>
      </c>
      <c r="E211">
        <v>1617.41</v>
      </c>
      <c r="F211">
        <v>1617.33</v>
      </c>
      <c r="G211">
        <v>1617.24</v>
      </c>
      <c r="H211">
        <v>1617.16</v>
      </c>
      <c r="I211">
        <v>1617.07</v>
      </c>
      <c r="J211">
        <v>1616.98</v>
      </c>
      <c r="K211">
        <v>1616.9</v>
      </c>
      <c r="L211">
        <v>1616.81</v>
      </c>
    </row>
    <row r="212" spans="1:12" x14ac:dyDescent="0.15">
      <c r="A212">
        <v>1035</v>
      </c>
      <c r="B212">
        <v>1617.75</v>
      </c>
      <c r="C212">
        <v>1617.66</v>
      </c>
      <c r="D212">
        <v>1617.57</v>
      </c>
      <c r="E212">
        <v>1617.49</v>
      </c>
      <c r="F212">
        <v>1617.4</v>
      </c>
      <c r="G212">
        <v>1617.32</v>
      </c>
      <c r="H212">
        <v>1617.23</v>
      </c>
      <c r="I212">
        <v>1617.15</v>
      </c>
      <c r="J212">
        <v>1617.06</v>
      </c>
      <c r="K212">
        <v>1616.97</v>
      </c>
      <c r="L212">
        <v>1616.89</v>
      </c>
    </row>
    <row r="213" spans="1:12" x14ac:dyDescent="0.15">
      <c r="A213">
        <v>1040</v>
      </c>
      <c r="B213">
        <v>1617.82</v>
      </c>
      <c r="C213">
        <v>1617.74</v>
      </c>
      <c r="D213">
        <v>1617.65</v>
      </c>
      <c r="E213">
        <v>1617.57</v>
      </c>
      <c r="F213">
        <v>1617.48</v>
      </c>
      <c r="G213">
        <v>1617.39</v>
      </c>
      <c r="H213">
        <v>1617.31</v>
      </c>
      <c r="I213">
        <v>1617.22</v>
      </c>
      <c r="J213">
        <v>1617.14</v>
      </c>
      <c r="K213">
        <v>1617.05</v>
      </c>
      <c r="L213">
        <v>1616.97</v>
      </c>
    </row>
    <row r="214" spans="1:12" x14ac:dyDescent="0.15">
      <c r="A214">
        <v>1045</v>
      </c>
      <c r="B214">
        <v>1617.9</v>
      </c>
      <c r="C214">
        <v>1617.81</v>
      </c>
      <c r="D214">
        <v>1617.73</v>
      </c>
      <c r="E214">
        <v>1617.64</v>
      </c>
      <c r="F214">
        <v>1617.56</v>
      </c>
      <c r="G214">
        <v>1617.47</v>
      </c>
      <c r="H214">
        <v>1617.38</v>
      </c>
      <c r="I214">
        <v>1617.3</v>
      </c>
      <c r="J214">
        <v>1617.21</v>
      </c>
      <c r="K214">
        <v>1617.13</v>
      </c>
      <c r="L214">
        <v>1617.04</v>
      </c>
    </row>
    <row r="215" spans="1:12" x14ac:dyDescent="0.15">
      <c r="A215">
        <v>1050</v>
      </c>
      <c r="B215">
        <v>1617.97</v>
      </c>
      <c r="C215">
        <v>1617.89</v>
      </c>
      <c r="D215">
        <v>1617.8</v>
      </c>
      <c r="E215">
        <v>1617.72</v>
      </c>
      <c r="F215">
        <v>1617.63</v>
      </c>
      <c r="G215">
        <v>1617.55</v>
      </c>
      <c r="H215">
        <v>1617.46</v>
      </c>
      <c r="I215">
        <v>1617.37</v>
      </c>
      <c r="J215">
        <v>1617.29</v>
      </c>
      <c r="K215">
        <v>1617.2</v>
      </c>
      <c r="L215">
        <v>1617.12</v>
      </c>
    </row>
    <row r="216" spans="1:12" x14ac:dyDescent="0.15">
      <c r="A216">
        <v>1055</v>
      </c>
      <c r="B216">
        <v>1618.05</v>
      </c>
      <c r="C216">
        <v>1617.97</v>
      </c>
      <c r="D216">
        <v>1617.88</v>
      </c>
      <c r="E216">
        <v>1617.79</v>
      </c>
      <c r="F216">
        <v>1617.71</v>
      </c>
      <c r="G216">
        <v>1617.62</v>
      </c>
      <c r="H216">
        <v>1617.54</v>
      </c>
      <c r="I216">
        <v>1617.45</v>
      </c>
      <c r="J216">
        <v>1617.37</v>
      </c>
      <c r="K216">
        <v>1617.28</v>
      </c>
      <c r="L216">
        <v>1617.19</v>
      </c>
    </row>
    <row r="217" spans="1:12" x14ac:dyDescent="0.15">
      <c r="A217">
        <v>1060</v>
      </c>
      <c r="B217">
        <v>1618.13</v>
      </c>
      <c r="C217">
        <v>1618.04</v>
      </c>
      <c r="D217">
        <v>1617.96</v>
      </c>
      <c r="E217">
        <v>1617.87</v>
      </c>
      <c r="F217">
        <v>1617.78</v>
      </c>
      <c r="G217">
        <v>1617.7</v>
      </c>
      <c r="H217">
        <v>1617.61</v>
      </c>
      <c r="I217">
        <v>1617.53</v>
      </c>
      <c r="J217">
        <v>1617.44</v>
      </c>
      <c r="K217">
        <v>1617.36</v>
      </c>
      <c r="L217">
        <v>1617.27</v>
      </c>
    </row>
    <row r="218" spans="1:12" x14ac:dyDescent="0.15">
      <c r="A218">
        <v>1065</v>
      </c>
      <c r="B218">
        <v>1618.2</v>
      </c>
      <c r="C218">
        <v>1618.12</v>
      </c>
      <c r="D218">
        <v>1618.03</v>
      </c>
      <c r="E218">
        <v>1617.95</v>
      </c>
      <c r="F218">
        <v>1617.86</v>
      </c>
      <c r="G218">
        <v>1617.78</v>
      </c>
      <c r="H218">
        <v>1617.69</v>
      </c>
      <c r="I218">
        <v>1617.6</v>
      </c>
      <c r="J218">
        <v>1617.52</v>
      </c>
      <c r="K218">
        <v>1617.43</v>
      </c>
      <c r="L218">
        <v>1617.35</v>
      </c>
    </row>
    <row r="219" spans="1:12" x14ac:dyDescent="0.15">
      <c r="A219">
        <v>1070</v>
      </c>
      <c r="B219">
        <v>1618.28</v>
      </c>
      <c r="C219">
        <v>1618.19</v>
      </c>
      <c r="D219">
        <v>1618.11</v>
      </c>
      <c r="E219">
        <v>1618.02</v>
      </c>
      <c r="F219">
        <v>1617.94</v>
      </c>
      <c r="G219">
        <v>1617.85</v>
      </c>
      <c r="H219">
        <v>1617.77</v>
      </c>
      <c r="I219">
        <v>1617.68</v>
      </c>
      <c r="J219">
        <v>1617.59</v>
      </c>
      <c r="K219">
        <v>1617.51</v>
      </c>
      <c r="L219">
        <v>1617.42</v>
      </c>
    </row>
    <row r="220" spans="1:12" x14ac:dyDescent="0.15">
      <c r="A220">
        <v>1075</v>
      </c>
      <c r="B220">
        <v>1618.36</v>
      </c>
      <c r="C220">
        <v>1618.27</v>
      </c>
      <c r="D220">
        <v>1618.18</v>
      </c>
      <c r="E220">
        <v>1618.1</v>
      </c>
      <c r="F220">
        <v>1618.01</v>
      </c>
      <c r="G220">
        <v>1617.93</v>
      </c>
      <c r="H220">
        <v>1617.84</v>
      </c>
      <c r="I220">
        <v>1617.76</v>
      </c>
      <c r="J220">
        <v>1617.67</v>
      </c>
      <c r="K220">
        <v>1617.58</v>
      </c>
      <c r="L220">
        <v>1617.5</v>
      </c>
    </row>
    <row r="221" spans="1:12" x14ac:dyDescent="0.15">
      <c r="A221">
        <v>1080</v>
      </c>
      <c r="B221">
        <v>1618.43</v>
      </c>
      <c r="C221">
        <v>1618.35</v>
      </c>
      <c r="D221">
        <v>1618.26</v>
      </c>
      <c r="E221">
        <v>1618.18</v>
      </c>
      <c r="F221">
        <v>1618.09</v>
      </c>
      <c r="G221">
        <v>1618</v>
      </c>
      <c r="H221">
        <v>1617.92</v>
      </c>
      <c r="I221">
        <v>1617.83</v>
      </c>
      <c r="J221">
        <v>1617.75</v>
      </c>
      <c r="K221">
        <v>1617.66</v>
      </c>
      <c r="L221">
        <v>1617.58</v>
      </c>
    </row>
    <row r="222" spans="1:12" x14ac:dyDescent="0.15">
      <c r="A222">
        <v>1085</v>
      </c>
      <c r="B222">
        <v>1618.51</v>
      </c>
      <c r="C222">
        <v>1618.42</v>
      </c>
      <c r="D222">
        <v>1618.34</v>
      </c>
      <c r="E222">
        <v>1618.25</v>
      </c>
      <c r="F222">
        <v>1618.17</v>
      </c>
      <c r="G222">
        <v>1618.08</v>
      </c>
      <c r="H222">
        <v>1618</v>
      </c>
      <c r="I222">
        <v>1617.91</v>
      </c>
      <c r="J222">
        <v>1617.82</v>
      </c>
      <c r="K222">
        <v>1617.74</v>
      </c>
      <c r="L222">
        <v>1617.65</v>
      </c>
    </row>
    <row r="223" spans="1:12" x14ac:dyDescent="0.15">
      <c r="A223">
        <v>1090</v>
      </c>
      <c r="B223">
        <v>1618.58</v>
      </c>
      <c r="C223">
        <v>1618.5</v>
      </c>
      <c r="D223">
        <v>1618.41</v>
      </c>
      <c r="E223">
        <v>1618.33</v>
      </c>
      <c r="F223">
        <v>1618.24</v>
      </c>
      <c r="G223">
        <v>1618.16</v>
      </c>
      <c r="H223">
        <v>1618.07</v>
      </c>
      <c r="I223">
        <v>1617.99</v>
      </c>
      <c r="J223">
        <v>1617.9</v>
      </c>
      <c r="K223">
        <v>1617.81</v>
      </c>
      <c r="L223">
        <v>1617.73</v>
      </c>
    </row>
    <row r="224" spans="1:12" x14ac:dyDescent="0.15">
      <c r="A224">
        <v>1095</v>
      </c>
      <c r="B224">
        <v>1618.66</v>
      </c>
      <c r="C224">
        <v>1618.58</v>
      </c>
      <c r="D224">
        <v>1618.49</v>
      </c>
      <c r="E224">
        <v>1618.4</v>
      </c>
      <c r="F224">
        <v>1618.32</v>
      </c>
      <c r="G224">
        <v>1618.23</v>
      </c>
      <c r="H224">
        <v>1618.15</v>
      </c>
      <c r="I224">
        <v>1618.06</v>
      </c>
      <c r="J224">
        <v>1617.98</v>
      </c>
      <c r="K224">
        <v>1617.89</v>
      </c>
      <c r="L224">
        <v>1617.8</v>
      </c>
    </row>
    <row r="225" spans="1:12" x14ac:dyDescent="0.15">
      <c r="A225">
        <v>1100</v>
      </c>
      <c r="B225">
        <v>1618.74</v>
      </c>
      <c r="C225">
        <v>1618.65</v>
      </c>
      <c r="D225">
        <v>1618.57</v>
      </c>
      <c r="E225">
        <v>1618.48</v>
      </c>
      <c r="F225">
        <v>1618.4</v>
      </c>
      <c r="G225">
        <v>1618.31</v>
      </c>
      <c r="H225">
        <v>1618.22</v>
      </c>
      <c r="I225">
        <v>1618.14</v>
      </c>
      <c r="J225">
        <v>1618.05</v>
      </c>
      <c r="K225">
        <v>1617.97</v>
      </c>
      <c r="L225">
        <v>1617.88</v>
      </c>
    </row>
    <row r="226" spans="1:12" x14ac:dyDescent="0.15">
      <c r="A226">
        <v>1105</v>
      </c>
      <c r="B226">
        <v>1618.81</v>
      </c>
      <c r="C226">
        <v>1618.73</v>
      </c>
      <c r="D226">
        <v>1618.64</v>
      </c>
      <c r="E226">
        <v>1618.56</v>
      </c>
      <c r="F226">
        <v>1618.47</v>
      </c>
      <c r="G226">
        <v>1618.39</v>
      </c>
      <c r="H226">
        <v>1618.3</v>
      </c>
      <c r="I226">
        <v>1618.21</v>
      </c>
      <c r="J226">
        <v>1618.13</v>
      </c>
      <c r="K226">
        <v>1618.04</v>
      </c>
      <c r="L226">
        <v>1617.96</v>
      </c>
    </row>
    <row r="227" spans="1:12" x14ac:dyDescent="0.15">
      <c r="A227">
        <v>1110</v>
      </c>
      <c r="B227">
        <v>1618.89</v>
      </c>
      <c r="C227">
        <v>1618.8</v>
      </c>
      <c r="D227">
        <v>1618.72</v>
      </c>
      <c r="E227">
        <v>1618.63</v>
      </c>
      <c r="F227">
        <v>1618.55</v>
      </c>
      <c r="G227">
        <v>1618.46</v>
      </c>
      <c r="H227">
        <v>1618.38</v>
      </c>
      <c r="I227">
        <v>1618.29</v>
      </c>
      <c r="J227">
        <v>1618.2</v>
      </c>
      <c r="K227">
        <v>1618.12</v>
      </c>
      <c r="L227">
        <v>1618.03</v>
      </c>
    </row>
    <row r="228" spans="1:12" x14ac:dyDescent="0.15">
      <c r="A228">
        <v>1115</v>
      </c>
      <c r="B228">
        <v>1618.97</v>
      </c>
      <c r="C228">
        <v>1618.88</v>
      </c>
      <c r="D228">
        <v>1618.79</v>
      </c>
      <c r="E228">
        <v>1618.71</v>
      </c>
      <c r="F228">
        <v>1618.62</v>
      </c>
      <c r="G228">
        <v>1618.54</v>
      </c>
      <c r="H228">
        <v>1618.45</v>
      </c>
      <c r="I228">
        <v>1618.37</v>
      </c>
      <c r="J228">
        <v>1618.28</v>
      </c>
      <c r="K228">
        <v>1618.2</v>
      </c>
      <c r="L228">
        <v>1618.11</v>
      </c>
    </row>
    <row r="229" spans="1:12" x14ac:dyDescent="0.15">
      <c r="A229">
        <v>1120</v>
      </c>
      <c r="B229">
        <v>1619.04</v>
      </c>
      <c r="C229">
        <v>1618.96</v>
      </c>
      <c r="D229">
        <v>1618.87</v>
      </c>
      <c r="E229">
        <v>1618.79</v>
      </c>
      <c r="F229">
        <v>1618.7</v>
      </c>
      <c r="G229">
        <v>1618.61</v>
      </c>
      <c r="H229">
        <v>1618.53</v>
      </c>
      <c r="I229">
        <v>1618.44</v>
      </c>
      <c r="J229">
        <v>1618.36</v>
      </c>
      <c r="K229">
        <v>1618.27</v>
      </c>
      <c r="L229">
        <v>1618.19</v>
      </c>
    </row>
    <row r="230" spans="1:12" x14ac:dyDescent="0.15">
      <c r="A230">
        <v>1125</v>
      </c>
      <c r="B230">
        <v>1619.12</v>
      </c>
      <c r="C230">
        <v>1619.03</v>
      </c>
      <c r="D230">
        <v>1618.95</v>
      </c>
      <c r="E230">
        <v>1618.86</v>
      </c>
      <c r="F230">
        <v>1618.78</v>
      </c>
      <c r="G230">
        <v>1618.69</v>
      </c>
      <c r="H230">
        <v>1618.61</v>
      </c>
      <c r="I230">
        <v>1618.52</v>
      </c>
      <c r="J230">
        <v>1618.43</v>
      </c>
      <c r="K230">
        <v>1618.35</v>
      </c>
      <c r="L230">
        <v>1618.26</v>
      </c>
    </row>
    <row r="231" spans="1:12" x14ac:dyDescent="0.15">
      <c r="A231">
        <v>1130</v>
      </c>
      <c r="B231">
        <v>1619.19</v>
      </c>
      <c r="C231">
        <v>1619.11</v>
      </c>
      <c r="D231">
        <v>1619.02</v>
      </c>
      <c r="E231">
        <v>1618.94</v>
      </c>
      <c r="F231">
        <v>1618.85</v>
      </c>
      <c r="G231">
        <v>1618.77</v>
      </c>
      <c r="H231">
        <v>1618.68</v>
      </c>
      <c r="I231">
        <v>1618.6</v>
      </c>
      <c r="J231">
        <v>1618.51</v>
      </c>
      <c r="K231">
        <v>1618.42</v>
      </c>
      <c r="L231">
        <v>1618.34</v>
      </c>
    </row>
    <row r="232" spans="1:12" x14ac:dyDescent="0.15">
      <c r="A232">
        <v>1135</v>
      </c>
      <c r="B232">
        <v>1619.27</v>
      </c>
      <c r="C232">
        <v>1619.19</v>
      </c>
      <c r="D232">
        <v>1619.1</v>
      </c>
      <c r="E232">
        <v>1619.01</v>
      </c>
      <c r="F232">
        <v>1618.93</v>
      </c>
      <c r="G232">
        <v>1618.84</v>
      </c>
      <c r="H232">
        <v>1618.76</v>
      </c>
      <c r="I232">
        <v>1618.67</v>
      </c>
      <c r="J232">
        <v>1618.59</v>
      </c>
      <c r="K232">
        <v>1618.5</v>
      </c>
      <c r="L232">
        <v>1618.41</v>
      </c>
    </row>
    <row r="233" spans="1:12" x14ac:dyDescent="0.15">
      <c r="A233">
        <v>1140</v>
      </c>
      <c r="B233">
        <v>1619.35</v>
      </c>
      <c r="C233">
        <v>1619.26</v>
      </c>
      <c r="D233">
        <v>1619.18</v>
      </c>
      <c r="E233">
        <v>1619.09</v>
      </c>
      <c r="F233">
        <v>1619.01</v>
      </c>
      <c r="G233">
        <v>1618.92</v>
      </c>
      <c r="H233">
        <v>1618.83</v>
      </c>
      <c r="I233">
        <v>1618.75</v>
      </c>
      <c r="J233">
        <v>1618.66</v>
      </c>
      <c r="K233">
        <v>1618.58</v>
      </c>
      <c r="L233">
        <v>1618.49</v>
      </c>
    </row>
    <row r="234" spans="1:12" x14ac:dyDescent="0.15">
      <c r="A234">
        <v>1145</v>
      </c>
      <c r="B234">
        <v>1619.42</v>
      </c>
      <c r="C234">
        <v>1619.34</v>
      </c>
      <c r="D234">
        <v>1619.25</v>
      </c>
      <c r="E234">
        <v>1619.17</v>
      </c>
      <c r="F234">
        <v>1619.08</v>
      </c>
      <c r="G234">
        <v>1619</v>
      </c>
      <c r="H234">
        <v>1618.91</v>
      </c>
      <c r="I234">
        <v>1618.82</v>
      </c>
      <c r="J234">
        <v>1618.74</v>
      </c>
      <c r="K234">
        <v>1618.65</v>
      </c>
      <c r="L234">
        <v>1618.57</v>
      </c>
    </row>
    <row r="235" spans="1:12" x14ac:dyDescent="0.15">
      <c r="A235">
        <v>1150</v>
      </c>
      <c r="B235">
        <v>1619.5</v>
      </c>
      <c r="C235">
        <v>1619.41</v>
      </c>
      <c r="D235">
        <v>1619.33</v>
      </c>
      <c r="E235">
        <v>1619.24</v>
      </c>
      <c r="F235">
        <v>1619.16</v>
      </c>
      <c r="G235">
        <v>1619.07</v>
      </c>
      <c r="H235">
        <v>1618.99</v>
      </c>
      <c r="I235">
        <v>1618.9</v>
      </c>
      <c r="J235">
        <v>1618.81</v>
      </c>
      <c r="K235">
        <v>1618.73</v>
      </c>
      <c r="L235">
        <v>1618.64</v>
      </c>
    </row>
    <row r="236" spans="1:12" x14ac:dyDescent="0.15">
      <c r="A236">
        <v>1155</v>
      </c>
      <c r="B236">
        <v>1619.58</v>
      </c>
      <c r="C236">
        <v>1619.49</v>
      </c>
      <c r="D236">
        <v>1619.41</v>
      </c>
      <c r="E236">
        <v>1619.32</v>
      </c>
      <c r="F236">
        <v>1619.23</v>
      </c>
      <c r="G236">
        <v>1619.15</v>
      </c>
      <c r="H236">
        <v>1619.06</v>
      </c>
      <c r="I236">
        <v>1618.98</v>
      </c>
      <c r="J236">
        <v>1618.89</v>
      </c>
      <c r="K236">
        <v>1618.81</v>
      </c>
      <c r="L236">
        <v>1618.72</v>
      </c>
    </row>
    <row r="237" spans="1:12" x14ac:dyDescent="0.15">
      <c r="A237">
        <v>1160</v>
      </c>
      <c r="B237">
        <v>1619.65</v>
      </c>
      <c r="C237">
        <v>1619.57</v>
      </c>
      <c r="D237">
        <v>1619.48</v>
      </c>
      <c r="E237">
        <v>1619.4</v>
      </c>
      <c r="F237">
        <v>1619.31</v>
      </c>
      <c r="G237">
        <v>1619.22</v>
      </c>
      <c r="H237">
        <v>1619.14</v>
      </c>
      <c r="I237">
        <v>1619.05</v>
      </c>
      <c r="J237">
        <v>1618.97</v>
      </c>
      <c r="K237">
        <v>1618.88</v>
      </c>
      <c r="L237">
        <v>1618.8</v>
      </c>
    </row>
    <row r="238" spans="1:12" x14ac:dyDescent="0.15">
      <c r="A238">
        <v>1165</v>
      </c>
      <c r="B238">
        <v>1619.73</v>
      </c>
      <c r="C238">
        <v>1619.64</v>
      </c>
      <c r="D238">
        <v>1619.56</v>
      </c>
      <c r="E238">
        <v>1619.47</v>
      </c>
      <c r="F238">
        <v>1619.39</v>
      </c>
      <c r="G238">
        <v>1619.3</v>
      </c>
      <c r="H238">
        <v>1619.22</v>
      </c>
      <c r="I238">
        <v>1619.13</v>
      </c>
      <c r="J238">
        <v>1619.04</v>
      </c>
      <c r="K238">
        <v>1618.96</v>
      </c>
      <c r="L238">
        <v>1618.87</v>
      </c>
    </row>
    <row r="239" spans="1:12" x14ac:dyDescent="0.15">
      <c r="A239">
        <v>1170</v>
      </c>
      <c r="B239">
        <v>1619.81</v>
      </c>
      <c r="C239">
        <v>1619.72</v>
      </c>
      <c r="D239">
        <v>1619.63</v>
      </c>
      <c r="E239">
        <v>1619.55</v>
      </c>
      <c r="F239">
        <v>1619.46</v>
      </c>
      <c r="G239">
        <v>1619.38</v>
      </c>
      <c r="H239">
        <v>1619.29</v>
      </c>
      <c r="I239">
        <v>1619.21</v>
      </c>
      <c r="J239">
        <v>1619.12</v>
      </c>
      <c r="K239">
        <v>1619.03</v>
      </c>
      <c r="L239">
        <v>1618.95</v>
      </c>
    </row>
    <row r="240" spans="1:12" x14ac:dyDescent="0.15">
      <c r="A240">
        <v>1175</v>
      </c>
      <c r="B240">
        <v>1619.88</v>
      </c>
      <c r="C240">
        <v>1619.8</v>
      </c>
      <c r="D240">
        <v>1619.71</v>
      </c>
      <c r="E240">
        <v>1619.62</v>
      </c>
      <c r="F240">
        <v>1619.54</v>
      </c>
      <c r="G240">
        <v>1619.45</v>
      </c>
      <c r="H240">
        <v>1619.37</v>
      </c>
      <c r="I240">
        <v>1619.28</v>
      </c>
      <c r="J240">
        <v>1619.2</v>
      </c>
      <c r="K240">
        <v>1619.11</v>
      </c>
      <c r="L240">
        <v>1619.03</v>
      </c>
    </row>
    <row r="241" spans="1:12" x14ac:dyDescent="0.15">
      <c r="A241">
        <v>1180</v>
      </c>
      <c r="B241">
        <v>1619.96</v>
      </c>
      <c r="C241">
        <v>1619.87</v>
      </c>
      <c r="D241">
        <v>1619.79</v>
      </c>
      <c r="E241">
        <v>1619.7</v>
      </c>
      <c r="F241">
        <v>1619.62</v>
      </c>
      <c r="G241">
        <v>1619.53</v>
      </c>
      <c r="H241">
        <v>1619.44</v>
      </c>
      <c r="I241">
        <v>1619.36</v>
      </c>
      <c r="J241">
        <v>1619.27</v>
      </c>
      <c r="K241">
        <v>1619.19</v>
      </c>
      <c r="L241">
        <v>1619.1</v>
      </c>
    </row>
    <row r="242" spans="1:12" x14ac:dyDescent="0.15">
      <c r="A242">
        <v>1185</v>
      </c>
      <c r="B242">
        <v>1620.03</v>
      </c>
      <c r="C242">
        <v>1619.95</v>
      </c>
      <c r="D242">
        <v>1619.86</v>
      </c>
      <c r="E242">
        <v>1619.78</v>
      </c>
      <c r="F242">
        <v>1619.69</v>
      </c>
      <c r="G242">
        <v>1619.61</v>
      </c>
      <c r="H242">
        <v>1619.52</v>
      </c>
      <c r="I242">
        <v>1619.44</v>
      </c>
      <c r="J242">
        <v>1619.35</v>
      </c>
      <c r="K242">
        <v>1619.26</v>
      </c>
      <c r="L242">
        <v>1619.18</v>
      </c>
    </row>
    <row r="243" spans="1:12" x14ac:dyDescent="0.15">
      <c r="A243">
        <v>1190</v>
      </c>
      <c r="B243">
        <v>1620.11</v>
      </c>
      <c r="C243">
        <v>1620.02</v>
      </c>
      <c r="D243">
        <v>1619.94</v>
      </c>
      <c r="E243">
        <v>1619.85</v>
      </c>
      <c r="F243">
        <v>1619.77</v>
      </c>
      <c r="G243">
        <v>1619.68</v>
      </c>
      <c r="H243">
        <v>1619.6</v>
      </c>
      <c r="I243">
        <v>1619.51</v>
      </c>
      <c r="J243">
        <v>1619.43</v>
      </c>
      <c r="K243">
        <v>1619.34</v>
      </c>
      <c r="L243">
        <v>1619.25</v>
      </c>
    </row>
    <row r="244" spans="1:12" x14ac:dyDescent="0.15">
      <c r="A244">
        <v>1195</v>
      </c>
      <c r="B244">
        <v>1620.19</v>
      </c>
      <c r="C244">
        <v>1620.1</v>
      </c>
      <c r="D244">
        <v>1620.02</v>
      </c>
      <c r="E244">
        <v>1619.93</v>
      </c>
      <c r="F244">
        <v>1619.84</v>
      </c>
      <c r="G244">
        <v>1619.76</v>
      </c>
      <c r="H244">
        <v>1619.67</v>
      </c>
      <c r="I244">
        <v>1619.59</v>
      </c>
      <c r="J244">
        <v>1619.5</v>
      </c>
      <c r="K244">
        <v>1619.42</v>
      </c>
      <c r="L244">
        <v>1619.33</v>
      </c>
    </row>
    <row r="245" spans="1:12" x14ac:dyDescent="0.15">
      <c r="A245">
        <v>1200</v>
      </c>
      <c r="B245">
        <v>1620.26</v>
      </c>
      <c r="C245">
        <v>1620.18</v>
      </c>
      <c r="D245">
        <v>1620.09</v>
      </c>
      <c r="E245">
        <v>1620.01</v>
      </c>
      <c r="F245">
        <v>1619.92</v>
      </c>
      <c r="G245">
        <v>1619.84</v>
      </c>
      <c r="H245">
        <v>1619.75</v>
      </c>
      <c r="I245">
        <v>1619.66</v>
      </c>
      <c r="J245">
        <v>1619.58</v>
      </c>
      <c r="K245">
        <v>1619.49</v>
      </c>
      <c r="L245">
        <v>1619.41</v>
      </c>
    </row>
    <row r="246" spans="1:12" x14ac:dyDescent="0.15">
      <c r="A246">
        <v>1205</v>
      </c>
      <c r="B246">
        <v>1620.34</v>
      </c>
      <c r="C246">
        <v>1620.25</v>
      </c>
      <c r="D246">
        <v>1620.17</v>
      </c>
      <c r="E246">
        <v>1620.08</v>
      </c>
      <c r="F246">
        <v>1620</v>
      </c>
      <c r="G246">
        <v>1619.91</v>
      </c>
      <c r="H246">
        <v>1619.83</v>
      </c>
      <c r="I246">
        <v>1619.74</v>
      </c>
      <c r="J246">
        <v>1619.65</v>
      </c>
      <c r="K246">
        <v>1619.57</v>
      </c>
      <c r="L246">
        <v>1619.48</v>
      </c>
    </row>
    <row r="247" spans="1:12" x14ac:dyDescent="0.15">
      <c r="A247">
        <v>1210</v>
      </c>
      <c r="B247">
        <v>1620.42</v>
      </c>
      <c r="C247">
        <v>1620.33</v>
      </c>
      <c r="D247">
        <v>1620.24</v>
      </c>
      <c r="E247">
        <v>1620.16</v>
      </c>
      <c r="F247">
        <v>1620.07</v>
      </c>
      <c r="G247">
        <v>1619.99</v>
      </c>
      <c r="H247">
        <v>1619.9</v>
      </c>
      <c r="I247">
        <v>1619.82</v>
      </c>
      <c r="J247">
        <v>1619.73</v>
      </c>
      <c r="K247">
        <v>1619.64</v>
      </c>
      <c r="L247">
        <v>1619.56</v>
      </c>
    </row>
    <row r="248" spans="1:12" x14ac:dyDescent="0.15">
      <c r="A248">
        <v>1215</v>
      </c>
      <c r="B248">
        <v>1620.49</v>
      </c>
      <c r="C248">
        <v>1620.41</v>
      </c>
      <c r="D248">
        <v>1620.32</v>
      </c>
      <c r="E248">
        <v>1620.24</v>
      </c>
      <c r="F248">
        <v>1620.15</v>
      </c>
      <c r="G248">
        <v>1620.06</v>
      </c>
      <c r="H248">
        <v>1619.98</v>
      </c>
      <c r="I248">
        <v>1619.89</v>
      </c>
      <c r="J248">
        <v>1619.81</v>
      </c>
      <c r="K248">
        <v>1619.72</v>
      </c>
      <c r="L248">
        <v>1619.64</v>
      </c>
    </row>
    <row r="249" spans="1:12" x14ac:dyDescent="0.15">
      <c r="A249">
        <v>1220</v>
      </c>
      <c r="B249">
        <v>1620.57</v>
      </c>
      <c r="C249">
        <v>1620.48</v>
      </c>
      <c r="D249">
        <v>1620.4</v>
      </c>
      <c r="E249">
        <v>1620.31</v>
      </c>
      <c r="F249">
        <v>1620.23</v>
      </c>
      <c r="G249">
        <v>1620.14</v>
      </c>
      <c r="H249">
        <v>1620.05</v>
      </c>
      <c r="I249">
        <v>1619.97</v>
      </c>
      <c r="J249">
        <v>1619.88</v>
      </c>
      <c r="K249">
        <v>1619.8</v>
      </c>
      <c r="L249">
        <v>1619.71</v>
      </c>
    </row>
    <row r="250" spans="1:12" x14ac:dyDescent="0.15">
      <c r="A250">
        <v>1225</v>
      </c>
      <c r="B250">
        <v>1620.64</v>
      </c>
      <c r="C250">
        <v>1620.56</v>
      </c>
      <c r="D250">
        <v>1620.47</v>
      </c>
      <c r="E250">
        <v>1620.39</v>
      </c>
      <c r="F250">
        <v>1620.3</v>
      </c>
      <c r="G250">
        <v>1620.22</v>
      </c>
      <c r="H250">
        <v>1620.13</v>
      </c>
      <c r="I250">
        <v>1620.05</v>
      </c>
      <c r="J250">
        <v>1619.96</v>
      </c>
      <c r="K250">
        <v>1619.87</v>
      </c>
      <c r="L250">
        <v>1619.79</v>
      </c>
    </row>
    <row r="251" spans="1:12" x14ac:dyDescent="0.15">
      <c r="A251">
        <v>1230</v>
      </c>
      <c r="B251">
        <v>1620.72</v>
      </c>
      <c r="C251">
        <v>1620.64</v>
      </c>
      <c r="D251">
        <v>1620.55</v>
      </c>
      <c r="E251">
        <v>1620.46</v>
      </c>
      <c r="F251">
        <v>1620.38</v>
      </c>
      <c r="G251">
        <v>1620.29</v>
      </c>
      <c r="H251">
        <v>1620.21</v>
      </c>
      <c r="I251">
        <v>1620.12</v>
      </c>
      <c r="J251">
        <v>1620.04</v>
      </c>
      <c r="K251">
        <v>1619.95</v>
      </c>
      <c r="L251">
        <v>1619.86</v>
      </c>
    </row>
    <row r="252" spans="1:12" x14ac:dyDescent="0.15">
      <c r="A252">
        <v>1235</v>
      </c>
      <c r="B252">
        <v>1620.8</v>
      </c>
      <c r="C252">
        <v>1620.71</v>
      </c>
      <c r="D252">
        <v>1620.63</v>
      </c>
      <c r="E252">
        <v>1620.54</v>
      </c>
      <c r="F252">
        <v>1620.45</v>
      </c>
      <c r="G252">
        <v>1620.37</v>
      </c>
      <c r="H252">
        <v>1620.28</v>
      </c>
      <c r="I252">
        <v>1620.2</v>
      </c>
      <c r="J252">
        <v>1620.11</v>
      </c>
      <c r="K252">
        <v>1620.03</v>
      </c>
      <c r="L252">
        <v>1619.94</v>
      </c>
    </row>
    <row r="253" spans="1:12" x14ac:dyDescent="0.15">
      <c r="A253">
        <v>1240</v>
      </c>
      <c r="B253">
        <v>1620.87</v>
      </c>
      <c r="C253">
        <v>1620.79</v>
      </c>
      <c r="D253">
        <v>1620.7</v>
      </c>
      <c r="E253">
        <v>1620.62</v>
      </c>
      <c r="F253">
        <v>1620.53</v>
      </c>
      <c r="G253">
        <v>1620.45</v>
      </c>
      <c r="H253">
        <v>1620.36</v>
      </c>
      <c r="I253">
        <v>1620.27</v>
      </c>
      <c r="J253">
        <v>1620.19</v>
      </c>
      <c r="K253">
        <v>1620.1</v>
      </c>
      <c r="L253">
        <v>1620.02</v>
      </c>
    </row>
    <row r="254" spans="1:12" x14ac:dyDescent="0.15">
      <c r="A254">
        <v>1245</v>
      </c>
      <c r="B254">
        <v>1620.95</v>
      </c>
      <c r="C254">
        <v>1620.86</v>
      </c>
      <c r="D254">
        <v>1620.78</v>
      </c>
      <c r="E254">
        <v>1620.69</v>
      </c>
      <c r="F254">
        <v>1620.61</v>
      </c>
      <c r="G254">
        <v>1620.52</v>
      </c>
      <c r="H254">
        <v>1620.44</v>
      </c>
      <c r="I254">
        <v>1620.35</v>
      </c>
      <c r="J254">
        <v>1620.26</v>
      </c>
      <c r="K254">
        <v>1620.18</v>
      </c>
      <c r="L254">
        <v>1620.09</v>
      </c>
    </row>
    <row r="255" spans="1:12" x14ac:dyDescent="0.15">
      <c r="A255">
        <v>1250</v>
      </c>
      <c r="B255">
        <v>1621.03</v>
      </c>
      <c r="C255">
        <v>1620.94</v>
      </c>
      <c r="D255">
        <v>1620.85</v>
      </c>
      <c r="E255">
        <v>1620.77</v>
      </c>
      <c r="F255">
        <v>1620.68</v>
      </c>
      <c r="G255">
        <v>1620.6</v>
      </c>
      <c r="H255">
        <v>1620.51</v>
      </c>
      <c r="I255">
        <v>1620.43</v>
      </c>
      <c r="J255">
        <v>1620.34</v>
      </c>
      <c r="K255">
        <v>1620.26</v>
      </c>
      <c r="L255">
        <v>1620.17</v>
      </c>
    </row>
    <row r="256" spans="1:12" x14ac:dyDescent="0.15">
      <c r="A256">
        <v>1255</v>
      </c>
      <c r="B256">
        <v>1621.1</v>
      </c>
      <c r="C256">
        <v>1621.02</v>
      </c>
      <c r="D256">
        <v>1620.93</v>
      </c>
      <c r="E256">
        <v>1620.85</v>
      </c>
      <c r="F256">
        <v>1620.76</v>
      </c>
      <c r="G256">
        <v>1620.67</v>
      </c>
      <c r="H256">
        <v>1620.59</v>
      </c>
      <c r="I256">
        <v>1620.5</v>
      </c>
      <c r="J256">
        <v>1620.42</v>
      </c>
      <c r="K256">
        <v>1620.33</v>
      </c>
      <c r="L256">
        <v>1620.25</v>
      </c>
    </row>
    <row r="257" spans="1:12" x14ac:dyDescent="0.15">
      <c r="A257">
        <v>1260</v>
      </c>
      <c r="B257">
        <v>1621.18</v>
      </c>
      <c r="C257">
        <v>1621.09</v>
      </c>
      <c r="D257">
        <v>1621.01</v>
      </c>
      <c r="E257">
        <v>1620.92</v>
      </c>
      <c r="F257">
        <v>1620.84</v>
      </c>
      <c r="G257">
        <v>1620.75</v>
      </c>
      <c r="H257">
        <v>1620.67</v>
      </c>
      <c r="I257">
        <v>1620.58</v>
      </c>
      <c r="J257">
        <v>1620.49</v>
      </c>
      <c r="K257">
        <v>1620.41</v>
      </c>
      <c r="L257">
        <v>1620.32</v>
      </c>
    </row>
    <row r="258" spans="1:12" x14ac:dyDescent="0.15">
      <c r="A258">
        <v>1265</v>
      </c>
      <c r="B258">
        <v>1621.25</v>
      </c>
      <c r="C258">
        <v>1621.17</v>
      </c>
      <c r="D258">
        <v>1621.08</v>
      </c>
      <c r="E258">
        <v>1621</v>
      </c>
      <c r="F258">
        <v>1620.91</v>
      </c>
      <c r="G258">
        <v>1620.83</v>
      </c>
      <c r="H258">
        <v>1620.74</v>
      </c>
      <c r="I258">
        <v>1620.66</v>
      </c>
      <c r="J258">
        <v>1620.57</v>
      </c>
      <c r="K258">
        <v>1620.48</v>
      </c>
      <c r="L258">
        <v>1620.4</v>
      </c>
    </row>
    <row r="259" spans="1:12" x14ac:dyDescent="0.15">
      <c r="A259">
        <v>1270</v>
      </c>
      <c r="B259">
        <v>1621.33</v>
      </c>
      <c r="C259">
        <v>1621.25</v>
      </c>
      <c r="D259">
        <v>1621.16</v>
      </c>
      <c r="E259">
        <v>1621.07</v>
      </c>
      <c r="F259">
        <v>1620.99</v>
      </c>
      <c r="G259">
        <v>1620.9</v>
      </c>
      <c r="H259">
        <v>1620.82</v>
      </c>
      <c r="I259">
        <v>1620.73</v>
      </c>
      <c r="J259">
        <v>1620.65</v>
      </c>
      <c r="K259">
        <v>1620.56</v>
      </c>
      <c r="L259">
        <v>1620.47</v>
      </c>
    </row>
    <row r="260" spans="1:12" x14ac:dyDescent="0.15">
      <c r="A260">
        <v>1275</v>
      </c>
      <c r="B260">
        <v>1621.41</v>
      </c>
      <c r="C260">
        <v>1621.32</v>
      </c>
      <c r="D260">
        <v>1621.24</v>
      </c>
      <c r="E260">
        <v>1621.15</v>
      </c>
      <c r="F260">
        <v>1621.07</v>
      </c>
      <c r="G260">
        <v>1620.98</v>
      </c>
      <c r="H260">
        <v>1620.89</v>
      </c>
      <c r="I260">
        <v>1620.81</v>
      </c>
      <c r="J260">
        <v>1620.72</v>
      </c>
      <c r="K260">
        <v>1620.64</v>
      </c>
      <c r="L260">
        <v>1620.55</v>
      </c>
    </row>
    <row r="261" spans="1:12" x14ac:dyDescent="0.15">
      <c r="A261">
        <v>1280</v>
      </c>
      <c r="B261">
        <v>1621.48</v>
      </c>
      <c r="C261">
        <v>1621.4</v>
      </c>
      <c r="D261">
        <v>1621.31</v>
      </c>
      <c r="E261">
        <v>1621.23</v>
      </c>
      <c r="F261">
        <v>1621.14</v>
      </c>
      <c r="G261">
        <v>1621.06</v>
      </c>
      <c r="H261">
        <v>1620.97</v>
      </c>
      <c r="I261">
        <v>1620.88</v>
      </c>
      <c r="J261">
        <v>1620.8</v>
      </c>
      <c r="K261">
        <v>1620.71</v>
      </c>
      <c r="L261">
        <v>1620.63</v>
      </c>
    </row>
    <row r="262" spans="1:12" x14ac:dyDescent="0.15">
      <c r="A262">
        <v>1285</v>
      </c>
      <c r="B262">
        <v>1621.56</v>
      </c>
      <c r="C262">
        <v>1621.47</v>
      </c>
      <c r="D262">
        <v>1621.39</v>
      </c>
      <c r="E262">
        <v>1621.3</v>
      </c>
      <c r="F262">
        <v>1621.22</v>
      </c>
      <c r="G262">
        <v>1621.13</v>
      </c>
      <c r="H262">
        <v>1621.05</v>
      </c>
      <c r="I262">
        <v>1620.96</v>
      </c>
      <c r="J262">
        <v>1620.87</v>
      </c>
      <c r="K262">
        <v>1620.79</v>
      </c>
      <c r="L262">
        <v>1620.7</v>
      </c>
    </row>
    <row r="263" spans="1:12" x14ac:dyDescent="0.15">
      <c r="A263">
        <v>1290</v>
      </c>
      <c r="B263">
        <v>1621.64</v>
      </c>
      <c r="C263">
        <v>1621.55</v>
      </c>
      <c r="D263">
        <v>1621.47</v>
      </c>
      <c r="E263">
        <v>1621.38</v>
      </c>
      <c r="F263">
        <v>1621.29</v>
      </c>
      <c r="G263">
        <v>1621.21</v>
      </c>
      <c r="H263">
        <v>1621.12</v>
      </c>
      <c r="I263">
        <v>1621.04</v>
      </c>
      <c r="J263">
        <v>1620.95</v>
      </c>
      <c r="K263">
        <v>1620.87</v>
      </c>
      <c r="L263">
        <v>1620.78</v>
      </c>
    </row>
    <row r="264" spans="1:12" x14ac:dyDescent="0.15">
      <c r="A264">
        <v>1295</v>
      </c>
      <c r="B264">
        <v>1621.71</v>
      </c>
      <c r="C264">
        <v>1621.63</v>
      </c>
      <c r="D264">
        <v>1621.54</v>
      </c>
      <c r="E264">
        <v>1621.46</v>
      </c>
      <c r="F264">
        <v>1621.37</v>
      </c>
      <c r="G264">
        <v>1621.28</v>
      </c>
      <c r="H264">
        <v>1621.2</v>
      </c>
      <c r="I264">
        <v>1621.11</v>
      </c>
      <c r="J264">
        <v>1621.03</v>
      </c>
      <c r="K264">
        <v>1620.94</v>
      </c>
      <c r="L264">
        <v>1620.86</v>
      </c>
    </row>
    <row r="265" spans="1:12" x14ac:dyDescent="0.15">
      <c r="A265">
        <v>1300</v>
      </c>
      <c r="B265">
        <v>1621.79</v>
      </c>
      <c r="C265">
        <v>1621.7</v>
      </c>
      <c r="D265">
        <v>1621.62</v>
      </c>
      <c r="E265">
        <v>1621.53</v>
      </c>
      <c r="F265">
        <v>1621.45</v>
      </c>
      <c r="G265">
        <v>1621.36</v>
      </c>
      <c r="H265">
        <v>1621.28</v>
      </c>
      <c r="I265">
        <v>1621.19</v>
      </c>
      <c r="J265">
        <v>1621.1</v>
      </c>
      <c r="K265">
        <v>1621.02</v>
      </c>
      <c r="L265">
        <v>1620.93</v>
      </c>
    </row>
    <row r="266" spans="1:12" x14ac:dyDescent="0.15">
      <c r="A266">
        <v>1305</v>
      </c>
      <c r="B266">
        <v>1621.87</v>
      </c>
      <c r="C266">
        <v>1621.78</v>
      </c>
      <c r="D266">
        <v>1621.69</v>
      </c>
      <c r="E266">
        <v>1621.61</v>
      </c>
      <c r="F266">
        <v>1621.52</v>
      </c>
      <c r="G266">
        <v>1621.44</v>
      </c>
      <c r="H266">
        <v>1621.35</v>
      </c>
      <c r="I266">
        <v>1621.27</v>
      </c>
      <c r="J266">
        <v>1621.18</v>
      </c>
      <c r="K266">
        <v>1621.09</v>
      </c>
      <c r="L266">
        <v>1621.01</v>
      </c>
    </row>
    <row r="267" spans="1:12" x14ac:dyDescent="0.15">
      <c r="A267">
        <v>1310</v>
      </c>
      <c r="B267">
        <v>1621.94</v>
      </c>
      <c r="C267">
        <v>1621.86</v>
      </c>
      <c r="D267">
        <v>1621.77</v>
      </c>
      <c r="E267">
        <v>1621.68</v>
      </c>
      <c r="F267">
        <v>1621.6</v>
      </c>
      <c r="G267">
        <v>1621.51</v>
      </c>
      <c r="H267">
        <v>1621.43</v>
      </c>
      <c r="I267">
        <v>1621.34</v>
      </c>
      <c r="J267">
        <v>1621.26</v>
      </c>
      <c r="K267">
        <v>1621.17</v>
      </c>
      <c r="L267">
        <v>1621.08</v>
      </c>
    </row>
    <row r="268" spans="1:12" x14ac:dyDescent="0.15">
      <c r="A268">
        <v>1315</v>
      </c>
      <c r="B268">
        <v>1622.02</v>
      </c>
      <c r="C268">
        <v>1621.93</v>
      </c>
      <c r="D268">
        <v>1621.85</v>
      </c>
      <c r="E268">
        <v>1621.76</v>
      </c>
      <c r="F268">
        <v>1621.68</v>
      </c>
      <c r="G268">
        <v>1621.59</v>
      </c>
      <c r="H268">
        <v>1621.5</v>
      </c>
      <c r="I268">
        <v>1621.42</v>
      </c>
      <c r="J268">
        <v>1621.33</v>
      </c>
      <c r="K268">
        <v>1621.25</v>
      </c>
      <c r="L268">
        <v>1621.16</v>
      </c>
    </row>
    <row r="269" spans="1:12" x14ac:dyDescent="0.15">
      <c r="A269">
        <v>1320</v>
      </c>
      <c r="B269">
        <v>1622.09</v>
      </c>
      <c r="C269">
        <v>1622.01</v>
      </c>
      <c r="D269">
        <v>1621.92</v>
      </c>
      <c r="E269">
        <v>1621.84</v>
      </c>
      <c r="F269">
        <v>1621.75</v>
      </c>
      <c r="G269">
        <v>1621.67</v>
      </c>
      <c r="H269">
        <v>1621.58</v>
      </c>
      <c r="I269">
        <v>1621.49</v>
      </c>
      <c r="J269">
        <v>1621.41</v>
      </c>
      <c r="K269">
        <v>1621.32</v>
      </c>
      <c r="L269">
        <v>1621.24</v>
      </c>
    </row>
    <row r="270" spans="1:12" x14ac:dyDescent="0.15">
      <c r="A270">
        <v>1325</v>
      </c>
      <c r="B270">
        <v>1622.17</v>
      </c>
      <c r="C270">
        <v>1622.08</v>
      </c>
      <c r="D270">
        <v>1622</v>
      </c>
      <c r="E270">
        <v>1621.91</v>
      </c>
      <c r="F270">
        <v>1621.83</v>
      </c>
      <c r="G270">
        <v>1621.74</v>
      </c>
      <c r="H270">
        <v>1621.66</v>
      </c>
      <c r="I270">
        <v>1621.57</v>
      </c>
      <c r="J270">
        <v>1621.48</v>
      </c>
      <c r="K270">
        <v>1621.4</v>
      </c>
      <c r="L270">
        <v>1621.31</v>
      </c>
    </row>
    <row r="271" spans="1:12" x14ac:dyDescent="0.15">
      <c r="A271">
        <v>1330</v>
      </c>
      <c r="B271">
        <v>1622.25</v>
      </c>
      <c r="C271">
        <v>1622.16</v>
      </c>
      <c r="D271">
        <v>1622.08</v>
      </c>
      <c r="E271">
        <v>1621.99</v>
      </c>
      <c r="F271">
        <v>1621.9</v>
      </c>
      <c r="G271">
        <v>1621.82</v>
      </c>
      <c r="H271">
        <v>1621.73</v>
      </c>
      <c r="I271">
        <v>1621.65</v>
      </c>
      <c r="J271">
        <v>1621.56</v>
      </c>
      <c r="K271">
        <v>1621.48</v>
      </c>
      <c r="L271">
        <v>1621.39</v>
      </c>
    </row>
    <row r="272" spans="1:12" x14ac:dyDescent="0.15">
      <c r="A272">
        <v>1335</v>
      </c>
      <c r="B272">
        <v>1622.32</v>
      </c>
      <c r="C272">
        <v>1622.24</v>
      </c>
      <c r="D272">
        <v>1622.15</v>
      </c>
      <c r="E272">
        <v>1622.07</v>
      </c>
      <c r="F272">
        <v>1621.98</v>
      </c>
      <c r="G272">
        <v>1621.9</v>
      </c>
      <c r="H272">
        <v>1621.81</v>
      </c>
      <c r="I272">
        <v>1621.72</v>
      </c>
      <c r="J272">
        <v>1621.64</v>
      </c>
      <c r="K272">
        <v>1621.55</v>
      </c>
      <c r="L272">
        <v>1621.47</v>
      </c>
    </row>
    <row r="273" spans="1:12" x14ac:dyDescent="0.15">
      <c r="A273">
        <v>1340</v>
      </c>
      <c r="B273">
        <v>1622.4</v>
      </c>
      <c r="C273">
        <v>1622.31</v>
      </c>
      <c r="D273">
        <v>1622.23</v>
      </c>
      <c r="E273">
        <v>1622.14</v>
      </c>
      <c r="F273">
        <v>1622.06</v>
      </c>
      <c r="G273">
        <v>1621.97</v>
      </c>
      <c r="H273">
        <v>1621.89</v>
      </c>
      <c r="I273">
        <v>1621.8</v>
      </c>
      <c r="J273">
        <v>1621.71</v>
      </c>
      <c r="K273">
        <v>1621.63</v>
      </c>
      <c r="L273">
        <v>1621.54</v>
      </c>
    </row>
    <row r="274" spans="1:12" x14ac:dyDescent="0.15">
      <c r="A274">
        <v>1345</v>
      </c>
      <c r="B274">
        <v>1622.48</v>
      </c>
      <c r="C274">
        <v>1622.39</v>
      </c>
      <c r="D274">
        <v>1622.3</v>
      </c>
      <c r="E274">
        <v>1622.22</v>
      </c>
      <c r="F274">
        <v>1622.13</v>
      </c>
      <c r="G274">
        <v>1622.05</v>
      </c>
      <c r="H274">
        <v>1621.96</v>
      </c>
      <c r="I274">
        <v>1621.88</v>
      </c>
      <c r="J274">
        <v>1621.79</v>
      </c>
      <c r="K274">
        <v>1621.7</v>
      </c>
      <c r="L274">
        <v>1621.62</v>
      </c>
    </row>
    <row r="275" spans="1:12" x14ac:dyDescent="0.15">
      <c r="A275">
        <v>1350</v>
      </c>
      <c r="B275">
        <v>1622.55</v>
      </c>
      <c r="C275">
        <v>1622.47</v>
      </c>
      <c r="D275">
        <v>1622.38</v>
      </c>
      <c r="E275">
        <v>1622.3</v>
      </c>
      <c r="F275">
        <v>1622.21</v>
      </c>
      <c r="G275">
        <v>1622.12</v>
      </c>
      <c r="H275">
        <v>1622.04</v>
      </c>
      <c r="I275">
        <v>1621.95</v>
      </c>
      <c r="J275">
        <v>1621.87</v>
      </c>
      <c r="K275">
        <v>1621.78</v>
      </c>
      <c r="L275">
        <v>1621.7</v>
      </c>
    </row>
    <row r="276" spans="1:12" x14ac:dyDescent="0.15">
      <c r="A276">
        <v>1355</v>
      </c>
      <c r="B276">
        <v>1622.63</v>
      </c>
      <c r="C276">
        <v>1622.54</v>
      </c>
      <c r="D276">
        <v>1622.46</v>
      </c>
      <c r="E276">
        <v>1622.37</v>
      </c>
      <c r="F276">
        <v>1622.29</v>
      </c>
      <c r="G276">
        <v>1622.2</v>
      </c>
      <c r="H276">
        <v>1622.11</v>
      </c>
      <c r="I276">
        <v>1622.03</v>
      </c>
      <c r="J276">
        <v>1621.94</v>
      </c>
      <c r="K276">
        <v>1621.86</v>
      </c>
      <c r="L276">
        <v>1621.77</v>
      </c>
    </row>
    <row r="277" spans="1:12" x14ac:dyDescent="0.15">
      <c r="A277">
        <v>1360</v>
      </c>
      <c r="B277">
        <v>1622.7</v>
      </c>
      <c r="C277">
        <v>1622.62</v>
      </c>
      <c r="D277">
        <v>1622.53</v>
      </c>
      <c r="E277">
        <v>1622.45</v>
      </c>
      <c r="F277">
        <v>1622.36</v>
      </c>
      <c r="G277">
        <v>1622.28</v>
      </c>
      <c r="H277">
        <v>1622.19</v>
      </c>
      <c r="I277">
        <v>1622.11</v>
      </c>
      <c r="J277">
        <v>1622.02</v>
      </c>
      <c r="K277">
        <v>1621.93</v>
      </c>
      <c r="L277">
        <v>1621.85</v>
      </c>
    </row>
    <row r="278" spans="1:12" x14ac:dyDescent="0.15">
      <c r="A278">
        <v>1365</v>
      </c>
      <c r="B278">
        <v>1622.78</v>
      </c>
      <c r="C278">
        <v>1622.69</v>
      </c>
      <c r="D278">
        <v>1622.61</v>
      </c>
      <c r="E278">
        <v>1622.52</v>
      </c>
      <c r="F278">
        <v>1622.44</v>
      </c>
      <c r="G278">
        <v>1622.35</v>
      </c>
      <c r="H278">
        <v>1622.27</v>
      </c>
      <c r="I278">
        <v>1622.18</v>
      </c>
      <c r="J278">
        <v>1622.1</v>
      </c>
      <c r="K278">
        <v>1622.01</v>
      </c>
      <c r="L278">
        <v>1621.92</v>
      </c>
    </row>
    <row r="279" spans="1:12" x14ac:dyDescent="0.15">
      <c r="A279">
        <v>1370</v>
      </c>
      <c r="B279">
        <v>1622.86</v>
      </c>
      <c r="C279">
        <v>1622.77</v>
      </c>
      <c r="D279">
        <v>1622.69</v>
      </c>
      <c r="E279">
        <v>1622.6</v>
      </c>
      <c r="F279">
        <v>1622.51</v>
      </c>
      <c r="G279">
        <v>1622.43</v>
      </c>
      <c r="H279">
        <v>1622.34</v>
      </c>
      <c r="I279">
        <v>1622.26</v>
      </c>
      <c r="J279">
        <v>1622.17</v>
      </c>
      <c r="K279">
        <v>1622.09</v>
      </c>
      <c r="L279">
        <v>1622</v>
      </c>
    </row>
    <row r="280" spans="1:12" x14ac:dyDescent="0.15">
      <c r="A280">
        <v>1375</v>
      </c>
      <c r="B280">
        <v>1622.93</v>
      </c>
      <c r="C280">
        <v>1622.85</v>
      </c>
      <c r="D280">
        <v>1622.76</v>
      </c>
      <c r="E280">
        <v>1622.68</v>
      </c>
      <c r="F280">
        <v>1622.59</v>
      </c>
      <c r="G280">
        <v>1622.51</v>
      </c>
      <c r="H280">
        <v>1622.42</v>
      </c>
      <c r="I280">
        <v>1622.33</v>
      </c>
      <c r="J280">
        <v>1622.25</v>
      </c>
      <c r="K280">
        <v>1622.16</v>
      </c>
      <c r="L280">
        <v>1622.08</v>
      </c>
    </row>
    <row r="281" spans="1:12" x14ac:dyDescent="0.15">
      <c r="A281">
        <v>1380</v>
      </c>
      <c r="B281">
        <v>1623.01</v>
      </c>
      <c r="C281">
        <v>1622.92</v>
      </c>
      <c r="D281">
        <v>1622.84</v>
      </c>
      <c r="E281">
        <v>1622.75</v>
      </c>
      <c r="F281">
        <v>1622.67</v>
      </c>
      <c r="G281">
        <v>1622.58</v>
      </c>
      <c r="H281">
        <v>1622.5</v>
      </c>
      <c r="I281">
        <v>1622.41</v>
      </c>
      <c r="J281">
        <v>1622.32</v>
      </c>
      <c r="K281">
        <v>1622.24</v>
      </c>
      <c r="L281">
        <v>1622.15</v>
      </c>
    </row>
    <row r="282" spans="1:12" x14ac:dyDescent="0.15">
      <c r="A282">
        <v>1385</v>
      </c>
      <c r="B282">
        <v>1623.09</v>
      </c>
      <c r="C282">
        <v>1623</v>
      </c>
      <c r="D282">
        <v>1622.91</v>
      </c>
      <c r="E282">
        <v>1622.83</v>
      </c>
      <c r="F282">
        <v>1622.74</v>
      </c>
      <c r="G282">
        <v>1622.66</v>
      </c>
      <c r="H282">
        <v>1622.57</v>
      </c>
      <c r="I282">
        <v>1622.49</v>
      </c>
      <c r="J282">
        <v>1622.4</v>
      </c>
      <c r="K282">
        <v>1622.31</v>
      </c>
      <c r="L282">
        <v>1622.23</v>
      </c>
    </row>
    <row r="283" spans="1:12" x14ac:dyDescent="0.15">
      <c r="A283">
        <v>1390</v>
      </c>
      <c r="B283">
        <v>1623.16</v>
      </c>
      <c r="C283">
        <v>1623.08</v>
      </c>
      <c r="D283">
        <v>1622.99</v>
      </c>
      <c r="E283">
        <v>1622.91</v>
      </c>
      <c r="F283">
        <v>1622.82</v>
      </c>
      <c r="G283">
        <v>1622.73</v>
      </c>
      <c r="H283">
        <v>1622.65</v>
      </c>
      <c r="I283">
        <v>1622.56</v>
      </c>
      <c r="J283">
        <v>1622.48</v>
      </c>
      <c r="K283">
        <v>1622.39</v>
      </c>
      <c r="L283">
        <v>1622.31</v>
      </c>
    </row>
    <row r="284" spans="1:12" x14ac:dyDescent="0.15">
      <c r="A284">
        <v>1395</v>
      </c>
      <c r="B284">
        <v>1623.24</v>
      </c>
      <c r="C284">
        <v>1623.15</v>
      </c>
      <c r="D284">
        <v>1623.07</v>
      </c>
      <c r="E284">
        <v>1622.98</v>
      </c>
      <c r="F284">
        <v>1622.9</v>
      </c>
      <c r="G284">
        <v>1622.81</v>
      </c>
      <c r="H284">
        <v>1622.73</v>
      </c>
      <c r="I284">
        <v>1622.64</v>
      </c>
      <c r="J284">
        <v>1622.55</v>
      </c>
      <c r="K284">
        <v>1622.47</v>
      </c>
      <c r="L284">
        <v>1622.38</v>
      </c>
    </row>
    <row r="285" spans="1:12" x14ac:dyDescent="0.15">
      <c r="A285">
        <v>1400</v>
      </c>
      <c r="B285">
        <v>1623.31</v>
      </c>
      <c r="C285">
        <v>1623.23</v>
      </c>
      <c r="D285">
        <v>1623.14</v>
      </c>
      <c r="E285">
        <v>1623.06</v>
      </c>
      <c r="F285">
        <v>1622.97</v>
      </c>
      <c r="G285">
        <v>1622.89</v>
      </c>
      <c r="H285">
        <v>1622.8</v>
      </c>
      <c r="I285">
        <v>1622.72</v>
      </c>
      <c r="J285">
        <v>1622.63</v>
      </c>
      <c r="K285">
        <v>1622.54</v>
      </c>
      <c r="L285">
        <v>1622.46</v>
      </c>
    </row>
    <row r="286" spans="1:12" x14ac:dyDescent="0.15">
      <c r="A286">
        <v>1405</v>
      </c>
      <c r="B286">
        <v>1623.39</v>
      </c>
      <c r="C286">
        <v>1623.31</v>
      </c>
      <c r="D286">
        <v>1623.22</v>
      </c>
      <c r="E286">
        <v>1623.13</v>
      </c>
      <c r="F286">
        <v>1623.05</v>
      </c>
      <c r="G286">
        <v>1622.96</v>
      </c>
      <c r="H286">
        <v>1622.88</v>
      </c>
      <c r="I286">
        <v>1622.79</v>
      </c>
      <c r="J286">
        <v>1622.71</v>
      </c>
      <c r="K286">
        <v>1622.62</v>
      </c>
      <c r="L286">
        <v>1622.53</v>
      </c>
    </row>
    <row r="287" spans="1:12" x14ac:dyDescent="0.15">
      <c r="A287">
        <v>1410</v>
      </c>
      <c r="B287">
        <v>1623.47</v>
      </c>
      <c r="C287">
        <v>1623.38</v>
      </c>
      <c r="D287">
        <v>1623.3</v>
      </c>
      <c r="E287">
        <v>1623.21</v>
      </c>
      <c r="F287">
        <v>1623.13</v>
      </c>
      <c r="G287">
        <v>1623.04</v>
      </c>
      <c r="H287">
        <v>1622.95</v>
      </c>
      <c r="I287">
        <v>1622.87</v>
      </c>
      <c r="J287">
        <v>1622.78</v>
      </c>
      <c r="K287">
        <v>1622.7</v>
      </c>
      <c r="L287">
        <v>1622.61</v>
      </c>
    </row>
    <row r="288" spans="1:12" x14ac:dyDescent="0.15">
      <c r="A288">
        <v>1415</v>
      </c>
      <c r="B288">
        <v>1623.54</v>
      </c>
      <c r="C288">
        <v>1623.46</v>
      </c>
      <c r="D288">
        <v>1623.37</v>
      </c>
      <c r="E288">
        <v>1623.29</v>
      </c>
      <c r="F288">
        <v>1623.2</v>
      </c>
      <c r="G288">
        <v>1623.12</v>
      </c>
      <c r="H288">
        <v>1623.03</v>
      </c>
      <c r="I288">
        <v>1622.94</v>
      </c>
      <c r="J288">
        <v>1622.86</v>
      </c>
      <c r="K288">
        <v>1622.77</v>
      </c>
      <c r="L288">
        <v>1622.69</v>
      </c>
    </row>
    <row r="289" spans="1:12" x14ac:dyDescent="0.15">
      <c r="A289">
        <v>1420</v>
      </c>
      <c r="B289">
        <v>1623.62</v>
      </c>
      <c r="C289">
        <v>1623.53</v>
      </c>
      <c r="D289">
        <v>1623.45</v>
      </c>
      <c r="E289">
        <v>1623.36</v>
      </c>
      <c r="F289">
        <v>1623.28</v>
      </c>
      <c r="G289">
        <v>1623.19</v>
      </c>
      <c r="H289">
        <v>1623.11</v>
      </c>
      <c r="I289">
        <v>1623.02</v>
      </c>
      <c r="J289">
        <v>1622.93</v>
      </c>
      <c r="K289">
        <v>1622.85</v>
      </c>
      <c r="L289">
        <v>1622.76</v>
      </c>
    </row>
    <row r="290" spans="1:12" x14ac:dyDescent="0.15">
      <c r="A290">
        <v>1425</v>
      </c>
      <c r="B290">
        <v>1623.7</v>
      </c>
      <c r="C290">
        <v>1623.61</v>
      </c>
      <c r="D290">
        <v>1623.52</v>
      </c>
      <c r="E290">
        <v>1623.44</v>
      </c>
      <c r="F290">
        <v>1623.35</v>
      </c>
      <c r="G290">
        <v>1623.27</v>
      </c>
      <c r="H290">
        <v>1623.18</v>
      </c>
      <c r="I290">
        <v>1623.1</v>
      </c>
      <c r="J290">
        <v>1623.01</v>
      </c>
      <c r="K290">
        <v>1622.93</v>
      </c>
      <c r="L290">
        <v>1622.84</v>
      </c>
    </row>
    <row r="291" spans="1:12" x14ac:dyDescent="0.15">
      <c r="A291">
        <v>1430</v>
      </c>
      <c r="B291">
        <v>1623.77</v>
      </c>
      <c r="C291">
        <v>1623.69</v>
      </c>
      <c r="D291">
        <v>1623.6</v>
      </c>
      <c r="E291">
        <v>1623.52</v>
      </c>
      <c r="F291">
        <v>1623.43</v>
      </c>
      <c r="G291">
        <v>1623.34</v>
      </c>
      <c r="H291">
        <v>1623.26</v>
      </c>
      <c r="I291">
        <v>1623.17</v>
      </c>
      <c r="J291">
        <v>1623.09</v>
      </c>
      <c r="K291">
        <v>1623</v>
      </c>
      <c r="L291">
        <v>1622.92</v>
      </c>
    </row>
    <row r="292" spans="1:12" x14ac:dyDescent="0.15">
      <c r="A292">
        <v>1435</v>
      </c>
      <c r="B292">
        <v>1623.85</v>
      </c>
      <c r="C292">
        <v>1623.76</v>
      </c>
      <c r="D292">
        <v>1623.68</v>
      </c>
      <c r="E292">
        <v>1623.59</v>
      </c>
      <c r="F292">
        <v>1623.51</v>
      </c>
      <c r="G292">
        <v>1623.42</v>
      </c>
      <c r="H292">
        <v>1623.34</v>
      </c>
      <c r="I292">
        <v>1623.25</v>
      </c>
      <c r="J292">
        <v>1623.16</v>
      </c>
      <c r="K292">
        <v>1623.08</v>
      </c>
      <c r="L292">
        <v>1622.99</v>
      </c>
    </row>
    <row r="293" spans="1:12" x14ac:dyDescent="0.15">
      <c r="A293">
        <v>1440</v>
      </c>
      <c r="B293">
        <v>1623.93</v>
      </c>
      <c r="C293">
        <v>1623.84</v>
      </c>
      <c r="D293">
        <v>1623.75</v>
      </c>
      <c r="E293">
        <v>1623.67</v>
      </c>
      <c r="F293">
        <v>1623.58</v>
      </c>
      <c r="G293">
        <v>1623.5</v>
      </c>
      <c r="H293">
        <v>1623.41</v>
      </c>
      <c r="I293">
        <v>1623.33</v>
      </c>
      <c r="J293">
        <v>1623.24</v>
      </c>
      <c r="K293">
        <v>1623.15</v>
      </c>
      <c r="L293">
        <v>1623.07</v>
      </c>
    </row>
    <row r="294" spans="1:12" x14ac:dyDescent="0.15">
      <c r="A294">
        <v>1445</v>
      </c>
      <c r="B294">
        <v>1624</v>
      </c>
      <c r="C294">
        <v>1623.92</v>
      </c>
      <c r="D294">
        <v>1623.83</v>
      </c>
      <c r="E294">
        <v>1623.74</v>
      </c>
      <c r="F294">
        <v>1623.66</v>
      </c>
      <c r="G294">
        <v>1623.57</v>
      </c>
      <c r="H294">
        <v>1623.49</v>
      </c>
      <c r="I294">
        <v>1623.4</v>
      </c>
      <c r="J294">
        <v>1623.32</v>
      </c>
      <c r="K294">
        <v>1623.23</v>
      </c>
      <c r="L294">
        <v>1623.14</v>
      </c>
    </row>
    <row r="295" spans="1:12" x14ac:dyDescent="0.15">
      <c r="A295">
        <v>1450</v>
      </c>
      <c r="B295">
        <v>1624.08</v>
      </c>
      <c r="C295">
        <v>1623.99</v>
      </c>
      <c r="D295">
        <v>1623.91</v>
      </c>
      <c r="E295">
        <v>1623.82</v>
      </c>
      <c r="F295">
        <v>1623.74</v>
      </c>
      <c r="G295">
        <v>1623.65</v>
      </c>
      <c r="H295">
        <v>1623.56</v>
      </c>
      <c r="I295">
        <v>1623.48</v>
      </c>
      <c r="J295">
        <v>1623.39</v>
      </c>
      <c r="K295">
        <v>1623.31</v>
      </c>
      <c r="L295">
        <v>1623.22</v>
      </c>
    </row>
    <row r="296" spans="1:12" x14ac:dyDescent="0.15">
      <c r="A296">
        <v>1455</v>
      </c>
      <c r="B296">
        <v>1624.15</v>
      </c>
      <c r="C296">
        <v>1624.07</v>
      </c>
      <c r="D296">
        <v>1623.98</v>
      </c>
      <c r="E296">
        <v>1623.9</v>
      </c>
      <c r="F296">
        <v>1623.81</v>
      </c>
      <c r="G296">
        <v>1623.73</v>
      </c>
      <c r="H296">
        <v>1623.64</v>
      </c>
      <c r="I296">
        <v>1623.55</v>
      </c>
      <c r="J296">
        <v>1623.47</v>
      </c>
      <c r="K296">
        <v>1623.38</v>
      </c>
      <c r="L296">
        <v>1623.3</v>
      </c>
    </row>
    <row r="297" spans="1:12" x14ac:dyDescent="0.15">
      <c r="A297">
        <v>1460</v>
      </c>
      <c r="B297">
        <v>1624.23</v>
      </c>
      <c r="C297">
        <v>1624.14</v>
      </c>
      <c r="D297">
        <v>1624.06</v>
      </c>
      <c r="E297">
        <v>1623.97</v>
      </c>
      <c r="F297">
        <v>1623.89</v>
      </c>
      <c r="G297">
        <v>1623.8</v>
      </c>
      <c r="H297">
        <v>1623.72</v>
      </c>
      <c r="I297">
        <v>1623.63</v>
      </c>
      <c r="J297">
        <v>1623.54</v>
      </c>
      <c r="K297">
        <v>1623.46</v>
      </c>
      <c r="L297">
        <v>1623.37</v>
      </c>
    </row>
    <row r="298" spans="1:12" x14ac:dyDescent="0.15">
      <c r="A298">
        <v>1465</v>
      </c>
      <c r="B298">
        <v>1624.31</v>
      </c>
      <c r="C298">
        <v>1624.22</v>
      </c>
      <c r="D298">
        <v>1624.14</v>
      </c>
      <c r="E298">
        <v>1624.05</v>
      </c>
      <c r="F298">
        <v>1623.96</v>
      </c>
      <c r="G298">
        <v>1623.88</v>
      </c>
      <c r="H298">
        <v>1623.79</v>
      </c>
      <c r="I298">
        <v>1623.71</v>
      </c>
      <c r="J298">
        <v>1623.62</v>
      </c>
      <c r="K298">
        <v>1623.54</v>
      </c>
      <c r="L298">
        <v>1623.45</v>
      </c>
    </row>
    <row r="299" spans="1:12" x14ac:dyDescent="0.15">
      <c r="A299">
        <v>1470</v>
      </c>
      <c r="B299">
        <v>1624.38</v>
      </c>
      <c r="C299">
        <v>1624.3</v>
      </c>
      <c r="D299">
        <v>1624.21</v>
      </c>
      <c r="E299">
        <v>1624.13</v>
      </c>
      <c r="F299">
        <v>1624.04</v>
      </c>
      <c r="G299">
        <v>1623.95</v>
      </c>
      <c r="H299">
        <v>1623.87</v>
      </c>
      <c r="I299">
        <v>1623.78</v>
      </c>
      <c r="J299">
        <v>1623.7</v>
      </c>
      <c r="K299">
        <v>1623.61</v>
      </c>
      <c r="L299">
        <v>1623.53</v>
      </c>
    </row>
    <row r="300" spans="1:12" x14ac:dyDescent="0.15">
      <c r="A300">
        <v>1475</v>
      </c>
      <c r="B300">
        <v>1624.46</v>
      </c>
      <c r="C300">
        <v>1624.37</v>
      </c>
      <c r="D300">
        <v>1624.29</v>
      </c>
      <c r="E300">
        <v>1624.2</v>
      </c>
      <c r="F300">
        <v>1624.12</v>
      </c>
      <c r="G300">
        <v>1624.03</v>
      </c>
      <c r="H300">
        <v>1623.95</v>
      </c>
      <c r="I300">
        <v>1623.86</v>
      </c>
      <c r="J300">
        <v>1623.77</v>
      </c>
      <c r="K300">
        <v>1623.69</v>
      </c>
      <c r="L300">
        <v>1623.6</v>
      </c>
    </row>
    <row r="301" spans="1:12" x14ac:dyDescent="0.15">
      <c r="A301">
        <v>1480</v>
      </c>
      <c r="B301">
        <v>1624.54</v>
      </c>
      <c r="C301">
        <v>1624.45</v>
      </c>
      <c r="D301">
        <v>1624.36</v>
      </c>
      <c r="E301">
        <v>1624.28</v>
      </c>
      <c r="F301">
        <v>1624.19</v>
      </c>
      <c r="G301">
        <v>1624.11</v>
      </c>
      <c r="H301">
        <v>1624.02</v>
      </c>
      <c r="I301">
        <v>1623.94</v>
      </c>
      <c r="J301">
        <v>1623.85</v>
      </c>
      <c r="K301">
        <v>1623.76</v>
      </c>
      <c r="L301">
        <v>1623.68</v>
      </c>
    </row>
    <row r="302" spans="1:12" x14ac:dyDescent="0.15">
      <c r="A302">
        <v>1485</v>
      </c>
      <c r="B302">
        <v>1624.68</v>
      </c>
      <c r="C302">
        <v>1624.53</v>
      </c>
      <c r="D302">
        <v>1624.44</v>
      </c>
      <c r="E302">
        <v>1624.36</v>
      </c>
      <c r="F302">
        <v>1624.27</v>
      </c>
      <c r="G302">
        <v>1624.18</v>
      </c>
      <c r="H302">
        <v>1624.1</v>
      </c>
      <c r="I302">
        <v>1624.01</v>
      </c>
      <c r="J302">
        <v>1623.93</v>
      </c>
      <c r="K302">
        <v>1623.84</v>
      </c>
      <c r="L302">
        <v>1623.76</v>
      </c>
    </row>
    <row r="303" spans="1:12" x14ac:dyDescent="0.15">
      <c r="A303">
        <v>1490</v>
      </c>
      <c r="B303">
        <v>1624.91</v>
      </c>
      <c r="C303">
        <v>1624.61</v>
      </c>
      <c r="D303">
        <v>1624.52</v>
      </c>
      <c r="E303">
        <v>1624.43</v>
      </c>
      <c r="F303">
        <v>1624.35</v>
      </c>
      <c r="G303">
        <v>1624.26</v>
      </c>
      <c r="H303">
        <v>1624.17</v>
      </c>
      <c r="I303">
        <v>1624.09</v>
      </c>
      <c r="J303">
        <v>1624</v>
      </c>
      <c r="K303">
        <v>1623.92</v>
      </c>
      <c r="L303">
        <v>1623.83</v>
      </c>
    </row>
    <row r="304" spans="1:12" x14ac:dyDescent="0.15">
      <c r="A304">
        <v>1495</v>
      </c>
      <c r="B304">
        <v>1625.29</v>
      </c>
      <c r="C304">
        <v>1624.77</v>
      </c>
      <c r="D304">
        <v>1624.59</v>
      </c>
      <c r="E304">
        <v>1624.51</v>
      </c>
      <c r="F304">
        <v>1624.42</v>
      </c>
      <c r="G304">
        <v>1624.34</v>
      </c>
      <c r="H304">
        <v>1624.25</v>
      </c>
      <c r="I304">
        <v>1624.17</v>
      </c>
      <c r="J304">
        <v>1624.08</v>
      </c>
      <c r="K304">
        <v>1623.99</v>
      </c>
      <c r="L304">
        <v>1623.91</v>
      </c>
    </row>
    <row r="305" spans="1:12" x14ac:dyDescent="0.15">
      <c r="A305">
        <v>1500</v>
      </c>
      <c r="B305">
        <v>1625.86</v>
      </c>
      <c r="C305">
        <v>1625.11</v>
      </c>
      <c r="D305">
        <v>1624.71</v>
      </c>
      <c r="E305">
        <v>1624.59</v>
      </c>
      <c r="F305">
        <v>1624.5</v>
      </c>
      <c r="G305">
        <v>1624.41</v>
      </c>
      <c r="H305">
        <v>1624.33</v>
      </c>
      <c r="I305">
        <v>1624.24</v>
      </c>
      <c r="J305">
        <v>1624.16</v>
      </c>
      <c r="K305">
        <v>1624.07</v>
      </c>
      <c r="L305">
        <v>1623.98</v>
      </c>
    </row>
    <row r="306" spans="1:12" x14ac:dyDescent="0.15">
      <c r="A306">
        <v>1505</v>
      </c>
      <c r="B306">
        <v>1626.63</v>
      </c>
      <c r="C306">
        <v>1625.65</v>
      </c>
      <c r="D306">
        <v>1625.01</v>
      </c>
      <c r="E306">
        <v>1624.72</v>
      </c>
      <c r="F306">
        <v>1624.6</v>
      </c>
      <c r="G306">
        <v>1624.51</v>
      </c>
      <c r="H306">
        <v>1624.42</v>
      </c>
      <c r="I306">
        <v>1624.33</v>
      </c>
      <c r="J306">
        <v>1624.24</v>
      </c>
      <c r="K306">
        <v>1624.16</v>
      </c>
      <c r="L306">
        <v>1624.07</v>
      </c>
    </row>
    <row r="307" spans="1:12" x14ac:dyDescent="0.15">
      <c r="A307">
        <v>1510</v>
      </c>
      <c r="B307">
        <v>1627.62</v>
      </c>
      <c r="C307">
        <v>1626.4</v>
      </c>
      <c r="D307">
        <v>1625.53</v>
      </c>
      <c r="E307">
        <v>1625.01</v>
      </c>
      <c r="F307">
        <v>1624.78</v>
      </c>
      <c r="G307">
        <v>1624.65</v>
      </c>
      <c r="H307">
        <v>1624.54</v>
      </c>
      <c r="I307">
        <v>1624.45</v>
      </c>
      <c r="J307">
        <v>1624.35</v>
      </c>
      <c r="K307">
        <v>1624.27</v>
      </c>
      <c r="L307">
        <v>1624.17</v>
      </c>
    </row>
    <row r="308" spans="1:12" x14ac:dyDescent="0.15">
      <c r="A308">
        <v>1515</v>
      </c>
      <c r="B308">
        <v>1628.81</v>
      </c>
      <c r="C308">
        <v>1627.36</v>
      </c>
      <c r="D308">
        <v>1626.26</v>
      </c>
      <c r="E308">
        <v>1625.49</v>
      </c>
      <c r="F308">
        <v>1625.08</v>
      </c>
      <c r="G308">
        <v>1624.88</v>
      </c>
      <c r="H308">
        <v>1624.73</v>
      </c>
      <c r="I308">
        <v>1624.61</v>
      </c>
      <c r="J308">
        <v>1624.5</v>
      </c>
      <c r="K308">
        <v>1624.39</v>
      </c>
      <c r="L308">
        <v>1624.3</v>
      </c>
    </row>
    <row r="309" spans="1:12" x14ac:dyDescent="0.15">
      <c r="A309">
        <v>1520</v>
      </c>
      <c r="B309">
        <v>1630.22</v>
      </c>
      <c r="C309">
        <v>1628.53</v>
      </c>
      <c r="D309">
        <v>1627.19</v>
      </c>
      <c r="E309">
        <v>1626.19</v>
      </c>
      <c r="F309">
        <v>1625.55</v>
      </c>
      <c r="G309">
        <v>1625.21</v>
      </c>
      <c r="H309">
        <v>1625</v>
      </c>
      <c r="I309">
        <v>1624.84</v>
      </c>
      <c r="J309">
        <v>1624.69</v>
      </c>
      <c r="K309">
        <v>1624.57</v>
      </c>
      <c r="L309">
        <v>1624.46</v>
      </c>
    </row>
    <row r="310" spans="1:12" x14ac:dyDescent="0.15">
      <c r="A310">
        <v>1525</v>
      </c>
      <c r="B310">
        <v>1631.83</v>
      </c>
      <c r="C310">
        <v>1629.91</v>
      </c>
      <c r="D310">
        <v>1628.33</v>
      </c>
      <c r="E310">
        <v>1627.1</v>
      </c>
      <c r="F310">
        <v>1626.22</v>
      </c>
      <c r="G310">
        <v>1625.69</v>
      </c>
      <c r="H310">
        <v>1625.37</v>
      </c>
      <c r="I310">
        <v>1625.15</v>
      </c>
      <c r="J310">
        <v>1624.97</v>
      </c>
      <c r="K310">
        <v>1624.82</v>
      </c>
      <c r="L310">
        <v>1624.69</v>
      </c>
    </row>
    <row r="311" spans="1:12" x14ac:dyDescent="0.15">
      <c r="A311">
        <v>1530</v>
      </c>
      <c r="B311">
        <v>1633.65</v>
      </c>
      <c r="C311">
        <v>1631.5</v>
      </c>
      <c r="D311">
        <v>1629.69</v>
      </c>
      <c r="E311">
        <v>1628.22</v>
      </c>
      <c r="F311">
        <v>1627.11</v>
      </c>
      <c r="G311">
        <v>1626.35</v>
      </c>
      <c r="H311">
        <v>1625.88</v>
      </c>
      <c r="I311">
        <v>1625.56</v>
      </c>
      <c r="J311">
        <v>1625.33</v>
      </c>
      <c r="K311">
        <v>1625.14</v>
      </c>
      <c r="L311">
        <v>1624.97</v>
      </c>
    </row>
    <row r="312" spans="1:12" x14ac:dyDescent="0.15">
      <c r="A312">
        <v>1535</v>
      </c>
      <c r="B312">
        <v>1635.69</v>
      </c>
      <c r="C312">
        <v>1633.29</v>
      </c>
      <c r="D312">
        <v>1631.25</v>
      </c>
      <c r="E312">
        <v>1629.55</v>
      </c>
      <c r="F312">
        <v>1628.2</v>
      </c>
      <c r="G312">
        <v>1627.2</v>
      </c>
      <c r="H312">
        <v>1626.54</v>
      </c>
      <c r="I312">
        <v>1626.11</v>
      </c>
      <c r="J312">
        <v>1625.79</v>
      </c>
      <c r="K312">
        <v>1625.54</v>
      </c>
      <c r="L312">
        <v>1625.34</v>
      </c>
    </row>
    <row r="313" spans="1:12" x14ac:dyDescent="0.15">
      <c r="A313">
        <v>1540</v>
      </c>
      <c r="B313">
        <v>1637.94</v>
      </c>
      <c r="C313">
        <v>1635.3</v>
      </c>
      <c r="D313">
        <v>1633.02</v>
      </c>
      <c r="E313">
        <v>1631.09</v>
      </c>
      <c r="F313">
        <v>1629.5</v>
      </c>
      <c r="G313">
        <v>1628.27</v>
      </c>
      <c r="H313">
        <v>1627.38</v>
      </c>
      <c r="I313">
        <v>1626.79</v>
      </c>
      <c r="J313">
        <v>1626.37</v>
      </c>
      <c r="K313">
        <v>1626.04</v>
      </c>
      <c r="L313">
        <v>1625.78</v>
      </c>
    </row>
    <row r="314" spans="1:12" x14ac:dyDescent="0.15">
      <c r="A314">
        <v>1545</v>
      </c>
      <c r="B314">
        <v>1640.4</v>
      </c>
      <c r="C314">
        <v>1637.52</v>
      </c>
      <c r="D314">
        <v>1635</v>
      </c>
      <c r="E314">
        <v>1632.84</v>
      </c>
      <c r="F314">
        <v>1631.01</v>
      </c>
      <c r="G314">
        <v>1629.54</v>
      </c>
      <c r="H314">
        <v>1628.42</v>
      </c>
      <c r="I314">
        <v>1627.64</v>
      </c>
      <c r="J314">
        <v>1627.08</v>
      </c>
      <c r="K314">
        <v>1626.67</v>
      </c>
      <c r="L314">
        <v>1626.33</v>
      </c>
    </row>
    <row r="315" spans="1:12" x14ac:dyDescent="0.15">
      <c r="A315">
        <v>1550</v>
      </c>
      <c r="B315">
        <v>1643.07</v>
      </c>
      <c r="C315">
        <v>1639.95</v>
      </c>
      <c r="D315">
        <v>1637.19</v>
      </c>
      <c r="E315">
        <v>1634.79</v>
      </c>
      <c r="F315">
        <v>1632.73</v>
      </c>
      <c r="G315">
        <v>1631.03</v>
      </c>
      <c r="H315">
        <v>1629.67</v>
      </c>
      <c r="I315">
        <v>1628.66</v>
      </c>
      <c r="J315">
        <v>1627.94</v>
      </c>
      <c r="K315">
        <v>1627.41</v>
      </c>
      <c r="L315">
        <v>1626.99</v>
      </c>
    </row>
    <row r="316" spans="1:12" x14ac:dyDescent="0.15">
      <c r="A316">
        <v>1555</v>
      </c>
      <c r="B316">
        <v>1645.96</v>
      </c>
      <c r="C316">
        <v>1642.59</v>
      </c>
      <c r="D316">
        <v>1639.59</v>
      </c>
      <c r="E316">
        <v>1636.95</v>
      </c>
      <c r="F316">
        <v>1634.67</v>
      </c>
      <c r="G316">
        <v>1632.72</v>
      </c>
      <c r="H316">
        <v>1631.13</v>
      </c>
      <c r="I316">
        <v>1629.89</v>
      </c>
      <c r="J316">
        <v>1628.98</v>
      </c>
      <c r="K316">
        <v>1628.3</v>
      </c>
      <c r="L316">
        <v>1627.78</v>
      </c>
    </row>
    <row r="317" spans="1:12" x14ac:dyDescent="0.15">
      <c r="A317">
        <v>1560</v>
      </c>
      <c r="B317">
        <v>1649.07</v>
      </c>
      <c r="C317">
        <v>1645.46</v>
      </c>
      <c r="D317">
        <v>1642.21</v>
      </c>
      <c r="E317">
        <v>1639.33</v>
      </c>
      <c r="F317">
        <v>1636.81</v>
      </c>
      <c r="G317">
        <v>1634.63</v>
      </c>
      <c r="H317">
        <v>1632.81</v>
      </c>
      <c r="I317">
        <v>1631.33</v>
      </c>
      <c r="J317">
        <v>1630.19</v>
      </c>
      <c r="K317">
        <v>1629.35</v>
      </c>
      <c r="L317">
        <v>1628.7</v>
      </c>
    </row>
    <row r="318" spans="1:12" x14ac:dyDescent="0.15">
      <c r="A318">
        <v>1565</v>
      </c>
      <c r="B318">
        <v>1652.39</v>
      </c>
      <c r="C318">
        <v>1648.54</v>
      </c>
      <c r="D318">
        <v>1645.05</v>
      </c>
      <c r="E318">
        <v>1641.93</v>
      </c>
      <c r="F318">
        <v>1639.16</v>
      </c>
      <c r="G318">
        <v>1636.75</v>
      </c>
      <c r="H318">
        <v>1634.69</v>
      </c>
      <c r="I318">
        <v>1632.98</v>
      </c>
      <c r="J318">
        <v>1631.61</v>
      </c>
      <c r="K318">
        <v>1630.58</v>
      </c>
      <c r="L318">
        <v>1629.78</v>
      </c>
    </row>
    <row r="319" spans="1:12" x14ac:dyDescent="0.15">
      <c r="A319">
        <v>1570</v>
      </c>
      <c r="B319">
        <v>1655.93</v>
      </c>
      <c r="C319">
        <v>1651.83</v>
      </c>
      <c r="D319">
        <v>1648.1</v>
      </c>
      <c r="E319">
        <v>1644.74</v>
      </c>
      <c r="F319">
        <v>1641.73</v>
      </c>
      <c r="G319">
        <v>1639.09</v>
      </c>
      <c r="H319">
        <v>1636.79</v>
      </c>
      <c r="I319">
        <v>1634.84</v>
      </c>
      <c r="J319">
        <v>1633.24</v>
      </c>
      <c r="K319">
        <v>1631.98</v>
      </c>
      <c r="L319">
        <v>1631.02</v>
      </c>
    </row>
    <row r="320" spans="1:12" x14ac:dyDescent="0.15">
      <c r="A320">
        <v>1575</v>
      </c>
      <c r="B320">
        <v>1659.69</v>
      </c>
      <c r="C320">
        <v>1655.35</v>
      </c>
      <c r="D320">
        <v>1651.37</v>
      </c>
      <c r="E320">
        <v>1647.76</v>
      </c>
      <c r="F320">
        <v>1644.52</v>
      </c>
      <c r="G320">
        <v>1641.64</v>
      </c>
      <c r="H320">
        <v>1639.1</v>
      </c>
      <c r="I320">
        <v>1636.92</v>
      </c>
      <c r="J320">
        <v>1635.08</v>
      </c>
      <c r="K320">
        <v>1633.59</v>
      </c>
      <c r="L320">
        <v>1632.44</v>
      </c>
    </row>
    <row r="321" spans="1:12" x14ac:dyDescent="0.15">
      <c r="A321">
        <v>1580</v>
      </c>
      <c r="B321">
        <v>1663.66</v>
      </c>
      <c r="C321">
        <v>1659.08</v>
      </c>
      <c r="D321">
        <v>1654.86</v>
      </c>
      <c r="E321">
        <v>1651.01</v>
      </c>
      <c r="F321">
        <v>1647.52</v>
      </c>
      <c r="G321">
        <v>1644.4</v>
      </c>
      <c r="H321">
        <v>1641.63</v>
      </c>
      <c r="I321">
        <v>1639.21</v>
      </c>
      <c r="J321">
        <v>1637.14</v>
      </c>
      <c r="K321">
        <v>1635.41</v>
      </c>
      <c r="L321">
        <v>1634.03</v>
      </c>
    </row>
    <row r="322" spans="1:12" x14ac:dyDescent="0.15">
      <c r="A322">
        <v>1585</v>
      </c>
      <c r="B322">
        <v>1667.85</v>
      </c>
      <c r="C322">
        <v>1663.02</v>
      </c>
      <c r="D322">
        <v>1658.56</v>
      </c>
      <c r="E322">
        <v>1654.47</v>
      </c>
      <c r="F322">
        <v>1650.73</v>
      </c>
      <c r="G322">
        <v>1647.37</v>
      </c>
      <c r="H322">
        <v>1644.36</v>
      </c>
      <c r="I322">
        <v>1641.71</v>
      </c>
      <c r="J322">
        <v>1639.4</v>
      </c>
      <c r="K322">
        <v>1637.45</v>
      </c>
      <c r="L322">
        <v>1635.84</v>
      </c>
    </row>
    <row r="323" spans="1:12" x14ac:dyDescent="0.15">
      <c r="A323">
        <v>1590</v>
      </c>
      <c r="B323">
        <v>1672.25</v>
      </c>
      <c r="C323">
        <v>1667.18</v>
      </c>
      <c r="D323">
        <v>1662.48</v>
      </c>
      <c r="E323">
        <v>1658.14</v>
      </c>
      <c r="F323">
        <v>1654.17</v>
      </c>
      <c r="G323">
        <v>1650.56</v>
      </c>
      <c r="H323">
        <v>1647.32</v>
      </c>
      <c r="I323">
        <v>1644.43</v>
      </c>
      <c r="J323">
        <v>1641.88</v>
      </c>
      <c r="K323">
        <v>1639.69</v>
      </c>
      <c r="L323">
        <v>1637.85</v>
      </c>
    </row>
    <row r="324" spans="1:12" x14ac:dyDescent="0.15">
      <c r="A324">
        <v>1595</v>
      </c>
      <c r="B324">
        <v>1676.88</v>
      </c>
      <c r="C324">
        <v>1671.56</v>
      </c>
      <c r="D324">
        <v>1666.62</v>
      </c>
      <c r="E324">
        <v>1662.03</v>
      </c>
      <c r="F324">
        <v>1657.82</v>
      </c>
      <c r="G324">
        <v>1653.96</v>
      </c>
      <c r="H324">
        <v>1650.48</v>
      </c>
      <c r="I324">
        <v>1647.35</v>
      </c>
      <c r="J324">
        <v>1644.58</v>
      </c>
      <c r="K324">
        <v>1642.15</v>
      </c>
      <c r="L324">
        <v>1640.07</v>
      </c>
    </row>
    <row r="325" spans="1:12" x14ac:dyDescent="0.15">
      <c r="A325">
        <v>1600</v>
      </c>
      <c r="B325">
        <v>1681.71</v>
      </c>
      <c r="C325">
        <v>1676.16</v>
      </c>
      <c r="D325">
        <v>1670.97</v>
      </c>
      <c r="E325">
        <v>1666.14</v>
      </c>
      <c r="F325">
        <v>1661.68</v>
      </c>
      <c r="G325">
        <v>1657.59</v>
      </c>
      <c r="H325">
        <v>1653.86</v>
      </c>
      <c r="I325">
        <v>1650.49</v>
      </c>
      <c r="J325">
        <v>1647.48</v>
      </c>
      <c r="K325">
        <v>1644.82</v>
      </c>
      <c r="L325">
        <v>1642.5</v>
      </c>
    </row>
    <row r="326" spans="1:12" x14ac:dyDescent="0.15">
      <c r="A326">
        <v>1605</v>
      </c>
      <c r="B326">
        <v>1686.77</v>
      </c>
      <c r="C326">
        <v>1680.97</v>
      </c>
      <c r="D326">
        <v>1675.54</v>
      </c>
      <c r="E326">
        <v>1670.47</v>
      </c>
      <c r="F326">
        <v>1665.77</v>
      </c>
      <c r="G326">
        <v>1661.43</v>
      </c>
      <c r="H326">
        <v>1657.46</v>
      </c>
      <c r="I326">
        <v>1653.85</v>
      </c>
      <c r="J326">
        <v>1650.6</v>
      </c>
      <c r="K326">
        <v>1647.7</v>
      </c>
      <c r="L326">
        <v>1645.15</v>
      </c>
    </row>
    <row r="327" spans="1:12" x14ac:dyDescent="0.15">
      <c r="A327">
        <v>1610</v>
      </c>
      <c r="B327">
        <v>1692.04</v>
      </c>
      <c r="C327">
        <v>1686</v>
      </c>
      <c r="D327">
        <v>1680.32</v>
      </c>
      <c r="E327">
        <v>1675.01</v>
      </c>
      <c r="F327">
        <v>1670.06</v>
      </c>
      <c r="G327">
        <v>1665.48</v>
      </c>
      <c r="H327">
        <v>1661.27</v>
      </c>
      <c r="I327">
        <v>1657.42</v>
      </c>
      <c r="J327">
        <v>1653.93</v>
      </c>
      <c r="K327">
        <v>1650.8</v>
      </c>
      <c r="L327">
        <v>1648.01</v>
      </c>
    </row>
    <row r="328" spans="1:12" x14ac:dyDescent="0.15">
      <c r="A328">
        <v>1615</v>
      </c>
      <c r="B328">
        <v>1697.53</v>
      </c>
      <c r="C328">
        <v>1691.24</v>
      </c>
      <c r="D328">
        <v>1685.32</v>
      </c>
      <c r="E328">
        <v>1679.77</v>
      </c>
      <c r="F328">
        <v>1674.58</v>
      </c>
      <c r="G328">
        <v>1669.76</v>
      </c>
      <c r="H328">
        <v>1665.3</v>
      </c>
      <c r="I328">
        <v>1661.2</v>
      </c>
      <c r="J328">
        <v>1657.48</v>
      </c>
      <c r="K328">
        <v>1654.11</v>
      </c>
      <c r="L328">
        <v>1651.09</v>
      </c>
    </row>
    <row r="329" spans="1:12" x14ac:dyDescent="0.15">
      <c r="A329">
        <v>1620</v>
      </c>
      <c r="B329">
        <v>1703.23</v>
      </c>
      <c r="C329">
        <v>1696.7</v>
      </c>
      <c r="D329">
        <v>1690.54</v>
      </c>
      <c r="E329">
        <v>1684.74</v>
      </c>
      <c r="F329">
        <v>1679.31</v>
      </c>
      <c r="G329">
        <v>1674.24</v>
      </c>
      <c r="H329">
        <v>1669.54</v>
      </c>
      <c r="I329">
        <v>1665.21</v>
      </c>
      <c r="J329">
        <v>1661.24</v>
      </c>
      <c r="K329">
        <v>1657.63</v>
      </c>
      <c r="L329">
        <v>1654.37</v>
      </c>
    </row>
    <row r="330" spans="1:12" x14ac:dyDescent="0.15">
      <c r="A330">
        <v>1625</v>
      </c>
      <c r="B330">
        <v>1709.15</v>
      </c>
      <c r="C330">
        <v>1702.38</v>
      </c>
      <c r="D330">
        <v>1695.98</v>
      </c>
      <c r="E330">
        <v>1689.94</v>
      </c>
      <c r="F330">
        <v>1684.26</v>
      </c>
      <c r="G330">
        <v>1678.95</v>
      </c>
      <c r="H330">
        <v>1674.01</v>
      </c>
      <c r="I330">
        <v>1669.43</v>
      </c>
      <c r="J330">
        <v>1665.21</v>
      </c>
      <c r="K330">
        <v>1661.36</v>
      </c>
      <c r="L330">
        <v>1657.87</v>
      </c>
    </row>
    <row r="331" spans="1:12" x14ac:dyDescent="0.15">
      <c r="A331">
        <v>1630</v>
      </c>
      <c r="B331">
        <v>1715.29</v>
      </c>
      <c r="C331">
        <v>1708.28</v>
      </c>
      <c r="D331">
        <v>1701.63</v>
      </c>
      <c r="E331">
        <v>1695.34</v>
      </c>
      <c r="F331">
        <v>1689.43</v>
      </c>
      <c r="G331">
        <v>1683.87</v>
      </c>
      <c r="H331">
        <v>1678.68</v>
      </c>
      <c r="I331">
        <v>1673.86</v>
      </c>
      <c r="J331">
        <v>1669.41</v>
      </c>
      <c r="K331">
        <v>1665.31</v>
      </c>
      <c r="L331">
        <v>1661.58</v>
      </c>
    </row>
    <row r="332" spans="1:12" x14ac:dyDescent="0.15">
      <c r="A332">
        <v>1635</v>
      </c>
      <c r="B332">
        <v>1721.64</v>
      </c>
      <c r="C332">
        <v>1714.39</v>
      </c>
      <c r="D332">
        <v>1707.5</v>
      </c>
      <c r="E332">
        <v>1700.97</v>
      </c>
      <c r="F332">
        <v>1694.81</v>
      </c>
      <c r="G332">
        <v>1689.01</v>
      </c>
      <c r="H332">
        <v>1683.58</v>
      </c>
      <c r="I332">
        <v>1678.51</v>
      </c>
      <c r="J332">
        <v>1673.81</v>
      </c>
      <c r="K332">
        <v>1669.48</v>
      </c>
      <c r="L332">
        <v>1665.51</v>
      </c>
    </row>
    <row r="333" spans="1:12" x14ac:dyDescent="0.15">
      <c r="A333">
        <v>1640</v>
      </c>
      <c r="B333">
        <v>1728.21</v>
      </c>
      <c r="C333">
        <v>1720.71</v>
      </c>
      <c r="D333">
        <v>1713.58</v>
      </c>
      <c r="E333">
        <v>1706.81</v>
      </c>
      <c r="F333">
        <v>1700.41</v>
      </c>
      <c r="G333">
        <v>1694.37</v>
      </c>
      <c r="H333">
        <v>1688.69</v>
      </c>
      <c r="I333">
        <v>1683.38</v>
      </c>
      <c r="J333">
        <v>1678.44</v>
      </c>
      <c r="K333">
        <v>1673.86</v>
      </c>
      <c r="L333">
        <v>1669.65</v>
      </c>
    </row>
    <row r="334" spans="1:12" x14ac:dyDescent="0.15">
      <c r="A334">
        <v>1645</v>
      </c>
      <c r="B334">
        <v>1735</v>
      </c>
      <c r="C334">
        <v>1727.26</v>
      </c>
      <c r="D334">
        <v>1719.88</v>
      </c>
      <c r="E334">
        <v>1712.87</v>
      </c>
      <c r="F334">
        <v>1706.22</v>
      </c>
      <c r="G334">
        <v>1699.94</v>
      </c>
      <c r="H334">
        <v>1694.02</v>
      </c>
      <c r="I334">
        <v>1688.47</v>
      </c>
      <c r="J334">
        <v>1683.28</v>
      </c>
      <c r="K334">
        <v>1678.46</v>
      </c>
      <c r="L334">
        <v>1674.01</v>
      </c>
    </row>
    <row r="335" spans="1:12" x14ac:dyDescent="0.15">
      <c r="A335">
        <v>1650</v>
      </c>
      <c r="B335">
        <v>1742</v>
      </c>
      <c r="C335">
        <v>1734.02</v>
      </c>
      <c r="D335">
        <v>1726.4</v>
      </c>
      <c r="E335">
        <v>1719.14</v>
      </c>
      <c r="F335">
        <v>1712.25</v>
      </c>
      <c r="G335">
        <v>1705.72</v>
      </c>
      <c r="H335">
        <v>1699.57</v>
      </c>
      <c r="I335">
        <v>1693.77</v>
      </c>
      <c r="J335">
        <v>1688.34</v>
      </c>
      <c r="K335">
        <v>1683.28</v>
      </c>
      <c r="L335">
        <v>1678.58</v>
      </c>
    </row>
    <row r="336" spans="1:12" x14ac:dyDescent="0.15">
      <c r="A336">
        <v>1655</v>
      </c>
      <c r="B336">
        <v>1749.22</v>
      </c>
      <c r="C336">
        <v>1740.99</v>
      </c>
      <c r="D336">
        <v>1733.13</v>
      </c>
      <c r="E336">
        <v>1725.63</v>
      </c>
      <c r="F336">
        <v>1718.5</v>
      </c>
      <c r="G336">
        <v>1711.73</v>
      </c>
      <c r="H336">
        <v>1705.33</v>
      </c>
      <c r="I336">
        <v>1699.29</v>
      </c>
      <c r="J336">
        <v>1693.62</v>
      </c>
      <c r="K336">
        <v>1688.31</v>
      </c>
      <c r="L336">
        <v>1683.37</v>
      </c>
    </row>
    <row r="337" spans="1:12" x14ac:dyDescent="0.15">
      <c r="A337">
        <v>1660</v>
      </c>
      <c r="B337">
        <v>1756.66</v>
      </c>
      <c r="C337">
        <v>1748.19</v>
      </c>
      <c r="D337">
        <v>1740.08</v>
      </c>
      <c r="E337">
        <v>1732.34</v>
      </c>
      <c r="F337">
        <v>1724.96</v>
      </c>
      <c r="G337">
        <v>1717.95</v>
      </c>
      <c r="H337">
        <v>1711.3</v>
      </c>
      <c r="I337">
        <v>1705.02</v>
      </c>
      <c r="J337">
        <v>1699.11</v>
      </c>
      <c r="K337">
        <v>1693.56</v>
      </c>
      <c r="L337">
        <v>1688.37</v>
      </c>
    </row>
    <row r="338" spans="1:12" x14ac:dyDescent="0.15">
      <c r="A338">
        <v>1665</v>
      </c>
      <c r="B338">
        <v>1764.31</v>
      </c>
      <c r="C338">
        <v>1755.6</v>
      </c>
      <c r="D338">
        <v>1747.25</v>
      </c>
      <c r="E338">
        <v>1739.26</v>
      </c>
      <c r="F338">
        <v>1731.64</v>
      </c>
      <c r="G338">
        <v>1724.39</v>
      </c>
      <c r="H338">
        <v>1717.5</v>
      </c>
      <c r="I338">
        <v>1710.98</v>
      </c>
      <c r="J338">
        <v>1704.82</v>
      </c>
      <c r="K338">
        <v>1699.02</v>
      </c>
      <c r="L338">
        <v>1693.6</v>
      </c>
    </row>
    <row r="339" spans="1:12" x14ac:dyDescent="0.15">
      <c r="A339">
        <v>1670</v>
      </c>
      <c r="B339">
        <v>1772.18</v>
      </c>
      <c r="C339">
        <v>1763.22</v>
      </c>
      <c r="D339">
        <v>1754.63</v>
      </c>
      <c r="E339">
        <v>1746.4</v>
      </c>
      <c r="F339">
        <v>1738.54</v>
      </c>
      <c r="G339">
        <v>1731.04</v>
      </c>
      <c r="H339">
        <v>1723.91</v>
      </c>
      <c r="I339">
        <v>1717.14</v>
      </c>
      <c r="J339">
        <v>1710.74</v>
      </c>
      <c r="K339">
        <v>1704.71</v>
      </c>
      <c r="L339">
        <v>1699.03</v>
      </c>
    </row>
    <row r="340" spans="1:12" x14ac:dyDescent="0.15">
      <c r="A340">
        <v>1675</v>
      </c>
      <c r="B340">
        <v>1780.27</v>
      </c>
      <c r="C340">
        <v>1771.07</v>
      </c>
      <c r="D340">
        <v>1762.23</v>
      </c>
      <c r="E340">
        <v>1753.76</v>
      </c>
      <c r="F340">
        <v>1745.65</v>
      </c>
      <c r="G340">
        <v>1737.91</v>
      </c>
      <c r="H340">
        <v>1730.54</v>
      </c>
      <c r="I340">
        <v>1723.53</v>
      </c>
      <c r="J340">
        <v>1716.88</v>
      </c>
      <c r="K340">
        <v>1710.6</v>
      </c>
      <c r="L340">
        <v>1704.69</v>
      </c>
    </row>
    <row r="341" spans="1:12" x14ac:dyDescent="0.15">
      <c r="A341">
        <v>1680</v>
      </c>
      <c r="B341">
        <v>1788.57</v>
      </c>
      <c r="C341">
        <v>1779.13</v>
      </c>
      <c r="D341">
        <v>1770.05</v>
      </c>
      <c r="E341">
        <v>1761.33</v>
      </c>
      <c r="F341">
        <v>1752.98</v>
      </c>
      <c r="G341">
        <v>1745</v>
      </c>
      <c r="H341">
        <v>1737.38</v>
      </c>
      <c r="I341">
        <v>1730.13</v>
      </c>
      <c r="J341">
        <v>1723.24</v>
      </c>
      <c r="K341">
        <v>1716.72</v>
      </c>
      <c r="L341">
        <v>1710.56</v>
      </c>
    </row>
    <row r="342" spans="1:12" x14ac:dyDescent="0.15">
      <c r="A342">
        <v>1685</v>
      </c>
      <c r="B342">
        <v>1797.09</v>
      </c>
      <c r="C342">
        <v>1787.4</v>
      </c>
      <c r="D342">
        <v>1778.08</v>
      </c>
      <c r="E342">
        <v>1769.12</v>
      </c>
      <c r="F342">
        <v>1760.53</v>
      </c>
      <c r="G342">
        <v>1752.3</v>
      </c>
      <c r="H342">
        <v>1744.44</v>
      </c>
      <c r="I342">
        <v>1736.95</v>
      </c>
      <c r="J342">
        <v>1729.82</v>
      </c>
      <c r="K342">
        <v>1723.05</v>
      </c>
      <c r="L342">
        <v>1716.65</v>
      </c>
    </row>
    <row r="343" spans="1:12" x14ac:dyDescent="0.15">
      <c r="A343">
        <v>1690</v>
      </c>
      <c r="B343">
        <v>1805.83</v>
      </c>
      <c r="C343">
        <v>1795.9</v>
      </c>
      <c r="D343">
        <v>1786.33</v>
      </c>
      <c r="E343">
        <v>1777.13</v>
      </c>
      <c r="F343">
        <v>1768.29</v>
      </c>
      <c r="G343">
        <v>1759.82</v>
      </c>
      <c r="H343">
        <v>1751.72</v>
      </c>
      <c r="I343">
        <v>1743.98</v>
      </c>
      <c r="J343">
        <v>1736.61</v>
      </c>
      <c r="K343">
        <v>1729.6</v>
      </c>
      <c r="L343">
        <v>1722.95</v>
      </c>
    </row>
    <row r="344" spans="1:12" x14ac:dyDescent="0.15">
      <c r="A344">
        <v>1695</v>
      </c>
      <c r="B344">
        <v>1814.78</v>
      </c>
      <c r="C344">
        <v>1804.6</v>
      </c>
      <c r="D344">
        <v>1794.8</v>
      </c>
      <c r="E344">
        <v>1785.35</v>
      </c>
      <c r="F344">
        <v>1776.27</v>
      </c>
      <c r="G344">
        <v>1767.56</v>
      </c>
      <c r="H344">
        <v>1759.21</v>
      </c>
      <c r="I344">
        <v>1751.23</v>
      </c>
      <c r="J344">
        <v>1743.61</v>
      </c>
      <c r="K344">
        <v>1736.36</v>
      </c>
      <c r="L344">
        <v>1729.48</v>
      </c>
    </row>
    <row r="345" spans="1:12" x14ac:dyDescent="0.15">
      <c r="A345">
        <v>1700</v>
      </c>
      <c r="B345">
        <v>1823.95</v>
      </c>
      <c r="C345">
        <v>1813.53</v>
      </c>
      <c r="D345">
        <v>1803.48</v>
      </c>
      <c r="E345">
        <v>1793.79</v>
      </c>
      <c r="F345">
        <v>1784.47</v>
      </c>
      <c r="G345">
        <v>1775.51</v>
      </c>
      <c r="H345">
        <v>1766.92</v>
      </c>
      <c r="I345">
        <v>1758.7</v>
      </c>
      <c r="J345">
        <v>1750.84</v>
      </c>
      <c r="K345">
        <v>1743.34</v>
      </c>
      <c r="L345">
        <v>1736.21</v>
      </c>
    </row>
    <row r="346" spans="1:12" x14ac:dyDescent="0.15">
      <c r="A346">
        <v>1705</v>
      </c>
      <c r="B346">
        <v>1833.33</v>
      </c>
      <c r="C346">
        <v>1822.67</v>
      </c>
      <c r="D346">
        <v>1812.38</v>
      </c>
      <c r="E346">
        <v>1802.45</v>
      </c>
      <c r="F346">
        <v>1792.88</v>
      </c>
      <c r="G346">
        <v>1783.68</v>
      </c>
      <c r="H346">
        <v>1774.85</v>
      </c>
      <c r="I346">
        <v>1766.38</v>
      </c>
      <c r="J346">
        <v>1758.28</v>
      </c>
      <c r="K346">
        <v>1750.54</v>
      </c>
      <c r="L346">
        <v>1743.17</v>
      </c>
    </row>
    <row r="347" spans="1:12" x14ac:dyDescent="0.15">
      <c r="A347">
        <v>1710</v>
      </c>
      <c r="B347">
        <v>1842.93</v>
      </c>
      <c r="C347">
        <v>1832.03</v>
      </c>
      <c r="D347">
        <v>1821.49</v>
      </c>
      <c r="E347">
        <v>1811.32</v>
      </c>
      <c r="F347">
        <v>1801.51</v>
      </c>
      <c r="G347">
        <v>1792.07</v>
      </c>
      <c r="H347">
        <v>1782.99</v>
      </c>
      <c r="I347">
        <v>1774.28</v>
      </c>
      <c r="J347">
        <v>1765.93</v>
      </c>
      <c r="K347">
        <v>1757.95</v>
      </c>
      <c r="L347">
        <v>1750.34</v>
      </c>
    </row>
    <row r="348" spans="1:12" x14ac:dyDescent="0.15">
      <c r="A348">
        <v>1715</v>
      </c>
      <c r="B348">
        <v>1852.75</v>
      </c>
      <c r="C348">
        <v>1841.6</v>
      </c>
      <c r="D348">
        <v>1830.82</v>
      </c>
      <c r="E348">
        <v>1820.41</v>
      </c>
      <c r="F348">
        <v>1810.36</v>
      </c>
      <c r="G348">
        <v>1800.67</v>
      </c>
      <c r="H348">
        <v>1791.35</v>
      </c>
      <c r="I348">
        <v>1782.4</v>
      </c>
      <c r="J348">
        <v>1773.81</v>
      </c>
      <c r="K348">
        <v>1765.58</v>
      </c>
      <c r="L348">
        <v>1757.72</v>
      </c>
    </row>
    <row r="349" spans="1:12" x14ac:dyDescent="0.15">
      <c r="A349">
        <v>1720</v>
      </c>
      <c r="B349">
        <v>1862.79</v>
      </c>
      <c r="C349">
        <v>1851.4</v>
      </c>
      <c r="D349">
        <v>1840.37</v>
      </c>
      <c r="E349">
        <v>1829.71</v>
      </c>
      <c r="F349">
        <v>1819.42</v>
      </c>
      <c r="G349">
        <v>1809.49</v>
      </c>
      <c r="H349">
        <v>1799.93</v>
      </c>
      <c r="I349">
        <v>1790.73</v>
      </c>
      <c r="J349">
        <v>1781.9</v>
      </c>
      <c r="K349">
        <v>1773.43</v>
      </c>
      <c r="L349">
        <v>1765.33</v>
      </c>
    </row>
    <row r="350" spans="1:12" x14ac:dyDescent="0.15">
      <c r="A350">
        <v>1725</v>
      </c>
      <c r="B350">
        <v>1873.04</v>
      </c>
      <c r="C350">
        <v>1861.4</v>
      </c>
      <c r="D350">
        <v>1850.14</v>
      </c>
      <c r="E350">
        <v>1839.23</v>
      </c>
      <c r="F350">
        <v>1828.7</v>
      </c>
      <c r="G350">
        <v>1818.53</v>
      </c>
      <c r="H350">
        <v>1808.72</v>
      </c>
      <c r="I350">
        <v>1799.28</v>
      </c>
      <c r="J350">
        <v>1790.2</v>
      </c>
      <c r="K350">
        <v>1781.49</v>
      </c>
      <c r="L350">
        <v>1773.15</v>
      </c>
    </row>
    <row r="351" spans="1:12" x14ac:dyDescent="0.15">
      <c r="A351">
        <v>1730</v>
      </c>
      <c r="B351">
        <v>1883.5</v>
      </c>
      <c r="C351">
        <v>1871.63</v>
      </c>
      <c r="D351">
        <v>1860.12</v>
      </c>
      <c r="E351">
        <v>1848.97</v>
      </c>
      <c r="F351">
        <v>1838.19</v>
      </c>
      <c r="G351">
        <v>1827.78</v>
      </c>
      <c r="H351">
        <v>1817.73</v>
      </c>
      <c r="I351">
        <v>1808.05</v>
      </c>
      <c r="J351">
        <v>1798.73</v>
      </c>
      <c r="K351">
        <v>1789.77</v>
      </c>
      <c r="L351">
        <v>1781.19</v>
      </c>
    </row>
    <row r="352" spans="1:12" x14ac:dyDescent="0.15">
      <c r="A352">
        <v>1735</v>
      </c>
      <c r="B352">
        <v>1894.19</v>
      </c>
      <c r="C352">
        <v>1882.07</v>
      </c>
      <c r="D352">
        <v>1870.32</v>
      </c>
      <c r="E352">
        <v>1858.93</v>
      </c>
      <c r="F352">
        <v>1847.9</v>
      </c>
      <c r="G352">
        <v>1837.25</v>
      </c>
      <c r="H352">
        <v>1826.95</v>
      </c>
      <c r="I352">
        <v>1817.03</v>
      </c>
      <c r="J352">
        <v>1807.47</v>
      </c>
      <c r="K352">
        <v>1798.27</v>
      </c>
      <c r="L352">
        <v>1789.44</v>
      </c>
    </row>
    <row r="353" spans="1:12" x14ac:dyDescent="0.15">
      <c r="A353">
        <v>1740</v>
      </c>
      <c r="B353">
        <v>1905.09</v>
      </c>
      <c r="C353">
        <v>1892.73</v>
      </c>
      <c r="D353">
        <v>1880.73</v>
      </c>
      <c r="E353">
        <v>1869.1</v>
      </c>
      <c r="F353">
        <v>1857.83</v>
      </c>
      <c r="G353">
        <v>1846.93</v>
      </c>
      <c r="H353">
        <v>1836.4</v>
      </c>
      <c r="I353">
        <v>1826.23</v>
      </c>
      <c r="J353">
        <v>1816.42</v>
      </c>
      <c r="K353">
        <v>1806.98</v>
      </c>
      <c r="L353">
        <v>1797.91</v>
      </c>
    </row>
    <row r="354" spans="1:12" x14ac:dyDescent="0.15">
      <c r="A354">
        <v>1745</v>
      </c>
      <c r="B354">
        <v>1916.21</v>
      </c>
      <c r="C354">
        <v>1903.6</v>
      </c>
      <c r="D354">
        <v>1891.36</v>
      </c>
      <c r="E354">
        <v>1879.49</v>
      </c>
      <c r="F354">
        <v>1867.98</v>
      </c>
      <c r="G354">
        <v>1856.83</v>
      </c>
      <c r="H354">
        <v>1846.06</v>
      </c>
      <c r="I354">
        <v>1835.64</v>
      </c>
      <c r="J354">
        <v>1825.59</v>
      </c>
      <c r="K354">
        <v>1815.91</v>
      </c>
      <c r="L354">
        <v>1806.59</v>
      </c>
    </row>
    <row r="355" spans="1:12" x14ac:dyDescent="0.15">
      <c r="A355">
        <v>1750</v>
      </c>
      <c r="B355">
        <v>1927.54</v>
      </c>
      <c r="C355">
        <v>1914.69</v>
      </c>
      <c r="D355">
        <v>1902.21</v>
      </c>
      <c r="E355">
        <v>1890.09</v>
      </c>
      <c r="F355">
        <v>1878.34</v>
      </c>
      <c r="G355">
        <v>1866.95</v>
      </c>
      <c r="H355">
        <v>1855.93</v>
      </c>
      <c r="I355">
        <v>1845.27</v>
      </c>
      <c r="J355">
        <v>1834.98</v>
      </c>
      <c r="K355">
        <v>1825.06</v>
      </c>
      <c r="L355">
        <v>1815.5</v>
      </c>
    </row>
    <row r="356" spans="1:12" x14ac:dyDescent="0.15">
      <c r="A356">
        <v>1755</v>
      </c>
      <c r="B356">
        <v>1939.09</v>
      </c>
      <c r="C356">
        <v>1926</v>
      </c>
      <c r="D356">
        <v>1913.27</v>
      </c>
      <c r="E356">
        <v>1900.91</v>
      </c>
      <c r="F356">
        <v>1888.92</v>
      </c>
      <c r="G356">
        <v>1877.29</v>
      </c>
      <c r="H356">
        <v>1866.02</v>
      </c>
      <c r="I356">
        <v>1855.12</v>
      </c>
      <c r="J356">
        <v>1844.59</v>
      </c>
      <c r="K356">
        <v>1834.42</v>
      </c>
      <c r="L356">
        <v>1824.62</v>
      </c>
    </row>
    <row r="357" spans="1:12" x14ac:dyDescent="0.15">
      <c r="A357">
        <v>1760</v>
      </c>
      <c r="B357">
        <v>1950.86</v>
      </c>
      <c r="C357">
        <v>1937.52</v>
      </c>
      <c r="D357">
        <v>1924.55</v>
      </c>
      <c r="E357">
        <v>1911.95</v>
      </c>
      <c r="F357">
        <v>1899.71</v>
      </c>
      <c r="G357">
        <v>1887.84</v>
      </c>
      <c r="H357">
        <v>1876.33</v>
      </c>
      <c r="I357">
        <v>1865.19</v>
      </c>
      <c r="J357">
        <v>1854.41</v>
      </c>
      <c r="K357">
        <v>1844</v>
      </c>
      <c r="L357">
        <v>1833.95</v>
      </c>
    </row>
    <row r="358" spans="1:12" x14ac:dyDescent="0.15">
      <c r="A358">
        <v>1765</v>
      </c>
      <c r="B358">
        <v>1962.84</v>
      </c>
      <c r="C358">
        <v>1949.26</v>
      </c>
      <c r="D358">
        <v>1936.05</v>
      </c>
      <c r="E358">
        <v>1923.2</v>
      </c>
      <c r="F358">
        <v>1910.72</v>
      </c>
      <c r="G358">
        <v>1898.61</v>
      </c>
      <c r="H358">
        <v>1886.85</v>
      </c>
      <c r="I358">
        <v>1875.47</v>
      </c>
      <c r="J358">
        <v>1864.45</v>
      </c>
      <c r="K358">
        <v>1853.79</v>
      </c>
      <c r="L358">
        <v>1843.51</v>
      </c>
    </row>
    <row r="359" spans="1:12" x14ac:dyDescent="0.15">
      <c r="A359">
        <v>1770</v>
      </c>
      <c r="B359">
        <v>1975.04</v>
      </c>
      <c r="C359">
        <v>1961.22</v>
      </c>
      <c r="D359">
        <v>1947.76</v>
      </c>
      <c r="E359">
        <v>1934.67</v>
      </c>
      <c r="F359">
        <v>1921.95</v>
      </c>
      <c r="G359">
        <v>1909.59</v>
      </c>
      <c r="H359">
        <v>1897.59</v>
      </c>
      <c r="I359">
        <v>1885.97</v>
      </c>
      <c r="J359">
        <v>1874.7</v>
      </c>
      <c r="K359">
        <v>1863.81</v>
      </c>
      <c r="L359">
        <v>1853.27</v>
      </c>
    </row>
    <row r="360" spans="1:12" x14ac:dyDescent="0.15">
      <c r="A360">
        <v>1775</v>
      </c>
      <c r="B360">
        <v>1987.45</v>
      </c>
      <c r="C360">
        <v>1973.39</v>
      </c>
      <c r="D360">
        <v>1959.69</v>
      </c>
      <c r="E360">
        <v>1946.36</v>
      </c>
      <c r="F360">
        <v>1933.39</v>
      </c>
      <c r="G360">
        <v>1920.79</v>
      </c>
      <c r="H360">
        <v>1908.55</v>
      </c>
      <c r="I360">
        <v>1896.68</v>
      </c>
      <c r="J360">
        <v>1885.18</v>
      </c>
      <c r="K360">
        <v>1874.03</v>
      </c>
      <c r="L360">
        <v>1863.26</v>
      </c>
    </row>
    <row r="361" spans="1:12" x14ac:dyDescent="0.15">
      <c r="A361">
        <v>1780</v>
      </c>
      <c r="B361">
        <v>2000.09</v>
      </c>
      <c r="C361">
        <v>1985.78</v>
      </c>
      <c r="D361">
        <v>1971.84</v>
      </c>
      <c r="E361">
        <v>1958.26</v>
      </c>
      <c r="F361">
        <v>1945.05</v>
      </c>
      <c r="G361">
        <v>1932.21</v>
      </c>
      <c r="H361">
        <v>1919.73</v>
      </c>
      <c r="I361">
        <v>1907.61</v>
      </c>
      <c r="J361">
        <v>1895.86</v>
      </c>
      <c r="K361">
        <v>1884.48</v>
      </c>
      <c r="L361">
        <v>1873.46</v>
      </c>
    </row>
    <row r="362" spans="1:12" x14ac:dyDescent="0.15">
      <c r="A362">
        <v>1785</v>
      </c>
      <c r="B362">
        <v>2012.94</v>
      </c>
      <c r="C362">
        <v>1998.39</v>
      </c>
      <c r="D362">
        <v>1984.2</v>
      </c>
      <c r="E362">
        <v>1970.38</v>
      </c>
      <c r="F362">
        <v>1956.93</v>
      </c>
      <c r="G362">
        <v>1943.84</v>
      </c>
      <c r="H362">
        <v>1931.12</v>
      </c>
      <c r="I362">
        <v>1918.76</v>
      </c>
      <c r="J362">
        <v>1906.77</v>
      </c>
      <c r="K362">
        <v>1895.14</v>
      </c>
      <c r="L362">
        <v>1883.88</v>
      </c>
    </row>
    <row r="363" spans="1:12" x14ac:dyDescent="0.15">
      <c r="A363">
        <v>1790</v>
      </c>
      <c r="B363">
        <v>2026</v>
      </c>
      <c r="C363">
        <v>2011.21</v>
      </c>
      <c r="D363">
        <v>1996.78</v>
      </c>
      <c r="E363">
        <v>1982.72</v>
      </c>
      <c r="F363">
        <v>1969.02</v>
      </c>
      <c r="G363">
        <v>1955.69</v>
      </c>
      <c r="H363">
        <v>1942.72</v>
      </c>
      <c r="I363">
        <v>1930.12</v>
      </c>
      <c r="J363">
        <v>1917.89</v>
      </c>
      <c r="K363">
        <v>1906.02</v>
      </c>
      <c r="L363">
        <v>1894.51</v>
      </c>
    </row>
    <row r="364" spans="1:12" x14ac:dyDescent="0.15">
      <c r="A364">
        <v>1795</v>
      </c>
      <c r="B364">
        <v>2039.28</v>
      </c>
      <c r="C364">
        <v>2024.25</v>
      </c>
      <c r="D364">
        <v>2009.58</v>
      </c>
      <c r="E364">
        <v>1995.27</v>
      </c>
      <c r="F364">
        <v>1981.33</v>
      </c>
      <c r="G364">
        <v>1967.76</v>
      </c>
      <c r="H364">
        <v>1954.55</v>
      </c>
      <c r="I364">
        <v>1941.7</v>
      </c>
      <c r="J364">
        <v>1929.23</v>
      </c>
      <c r="K364">
        <v>1917.11</v>
      </c>
      <c r="L364">
        <v>1905.36</v>
      </c>
    </row>
    <row r="365" spans="1:12" x14ac:dyDescent="0.15">
      <c r="A365">
        <v>1800</v>
      </c>
      <c r="B365">
        <v>2052.7800000000002</v>
      </c>
      <c r="C365">
        <v>2037.5</v>
      </c>
      <c r="D365">
        <v>2022.59</v>
      </c>
      <c r="E365">
        <v>2008.04</v>
      </c>
      <c r="F365">
        <v>1993.86</v>
      </c>
      <c r="G365">
        <v>1980.04</v>
      </c>
      <c r="H365">
        <v>1966.59</v>
      </c>
      <c r="I365">
        <v>1953.5</v>
      </c>
      <c r="J365">
        <v>1940.78</v>
      </c>
      <c r="K365">
        <v>1928.42</v>
      </c>
      <c r="L365">
        <v>1916.43</v>
      </c>
    </row>
    <row r="366" spans="1:12" x14ac:dyDescent="0.15">
      <c r="A366">
        <v>1805</v>
      </c>
      <c r="B366">
        <v>2066.5</v>
      </c>
      <c r="C366">
        <v>2050.9699999999998</v>
      </c>
      <c r="D366">
        <v>2035.82</v>
      </c>
      <c r="E366">
        <v>2021.03</v>
      </c>
      <c r="F366">
        <v>2006.6</v>
      </c>
      <c r="G366">
        <v>1992.54</v>
      </c>
      <c r="H366">
        <v>1978.85</v>
      </c>
      <c r="I366">
        <v>1965.52</v>
      </c>
      <c r="J366">
        <v>1952.55</v>
      </c>
      <c r="K366">
        <v>1939.95</v>
      </c>
      <c r="L366">
        <v>1927.72</v>
      </c>
    </row>
    <row r="367" spans="1:12" x14ac:dyDescent="0.15">
      <c r="A367">
        <v>1810</v>
      </c>
      <c r="B367">
        <v>2080.4299999999998</v>
      </c>
      <c r="C367">
        <v>2064.66</v>
      </c>
      <c r="D367">
        <v>2049.2600000000002</v>
      </c>
      <c r="E367">
        <v>2034.23</v>
      </c>
      <c r="F367">
        <v>2019.56</v>
      </c>
      <c r="G367">
        <v>2005.26</v>
      </c>
      <c r="H367">
        <v>1991.32</v>
      </c>
      <c r="I367">
        <v>1977.74</v>
      </c>
      <c r="J367">
        <v>1964.54</v>
      </c>
      <c r="K367">
        <v>1951.69</v>
      </c>
      <c r="L367">
        <v>1939.22</v>
      </c>
    </row>
    <row r="368" spans="1:12" x14ac:dyDescent="0.15">
      <c r="A368">
        <v>1815</v>
      </c>
      <c r="B368">
        <v>2094.58</v>
      </c>
      <c r="C368">
        <v>2078.5700000000002</v>
      </c>
      <c r="D368">
        <v>2062.9299999999998</v>
      </c>
      <c r="E368">
        <v>2047.65</v>
      </c>
      <c r="F368">
        <v>2032.74</v>
      </c>
      <c r="G368">
        <v>2018.19</v>
      </c>
      <c r="H368">
        <v>2004.01</v>
      </c>
      <c r="I368">
        <v>1990.19</v>
      </c>
      <c r="J368">
        <v>1976.74</v>
      </c>
      <c r="K368">
        <v>1963.66</v>
      </c>
      <c r="L368">
        <v>1950.94</v>
      </c>
    </row>
    <row r="369" spans="1:12" x14ac:dyDescent="0.15">
      <c r="A369">
        <v>1820</v>
      </c>
      <c r="B369">
        <v>2108.94</v>
      </c>
      <c r="C369">
        <v>2092.69</v>
      </c>
      <c r="D369">
        <v>2076.8000000000002</v>
      </c>
      <c r="E369">
        <v>2061.2800000000002</v>
      </c>
      <c r="F369">
        <v>2046.13</v>
      </c>
      <c r="G369">
        <v>2031.34</v>
      </c>
      <c r="H369">
        <v>2016.91</v>
      </c>
      <c r="I369">
        <v>2002.85</v>
      </c>
      <c r="J369">
        <v>1989.16</v>
      </c>
      <c r="K369">
        <v>1975.83</v>
      </c>
      <c r="L369">
        <v>1962.87</v>
      </c>
    </row>
    <row r="370" spans="1:12" x14ac:dyDescent="0.15">
      <c r="A370">
        <v>1825</v>
      </c>
      <c r="B370">
        <v>2123.52</v>
      </c>
      <c r="C370">
        <v>2107.0300000000002</v>
      </c>
      <c r="D370">
        <v>2090.9</v>
      </c>
      <c r="E370">
        <v>2075.14</v>
      </c>
      <c r="F370">
        <v>2059.7399999999998</v>
      </c>
      <c r="G370">
        <v>2044.7</v>
      </c>
      <c r="H370">
        <v>2030.04</v>
      </c>
      <c r="I370">
        <v>2015.73</v>
      </c>
      <c r="J370">
        <v>2001.8</v>
      </c>
      <c r="K370">
        <v>1988.22</v>
      </c>
      <c r="L370">
        <v>1975.02</v>
      </c>
    </row>
    <row r="371" spans="1:12" x14ac:dyDescent="0.15">
      <c r="A371">
        <v>1830</v>
      </c>
      <c r="B371">
        <v>2138.3200000000002</v>
      </c>
      <c r="C371">
        <v>2121.58</v>
      </c>
      <c r="D371">
        <v>2105.21</v>
      </c>
      <c r="E371">
        <v>2089.1999999999998</v>
      </c>
      <c r="F371">
        <v>2073.56</v>
      </c>
      <c r="G371">
        <v>2058.29</v>
      </c>
      <c r="H371">
        <v>2043.38</v>
      </c>
      <c r="I371">
        <v>2028.83</v>
      </c>
      <c r="J371">
        <v>2014.65</v>
      </c>
      <c r="K371">
        <v>2000.84</v>
      </c>
      <c r="L371">
        <v>1987.39</v>
      </c>
    </row>
    <row r="372" spans="1:12" x14ac:dyDescent="0.15">
      <c r="A372">
        <v>1835</v>
      </c>
      <c r="B372">
        <v>2153.33</v>
      </c>
      <c r="C372">
        <v>2136.35</v>
      </c>
      <c r="D372">
        <v>2119.7399999999998</v>
      </c>
      <c r="E372">
        <v>2103.4899999999998</v>
      </c>
      <c r="F372">
        <v>2087.6</v>
      </c>
      <c r="G372">
        <v>2072.08</v>
      </c>
      <c r="H372">
        <v>2056.9299999999998</v>
      </c>
      <c r="I372">
        <v>2042.14</v>
      </c>
      <c r="J372">
        <v>2027.72</v>
      </c>
      <c r="K372">
        <v>2013.66</v>
      </c>
      <c r="L372">
        <v>1999.97</v>
      </c>
    </row>
    <row r="373" spans="1:12" x14ac:dyDescent="0.15">
      <c r="A373">
        <v>1840</v>
      </c>
      <c r="B373">
        <v>2168.56</v>
      </c>
      <c r="C373">
        <v>2151.34</v>
      </c>
      <c r="D373">
        <v>2134.48</v>
      </c>
      <c r="E373">
        <v>2117.9899999999998</v>
      </c>
      <c r="F373">
        <v>2101.86</v>
      </c>
      <c r="G373">
        <v>2086.1</v>
      </c>
      <c r="H373">
        <v>2070.6999999999998</v>
      </c>
      <c r="I373">
        <v>2055.67</v>
      </c>
      <c r="J373">
        <v>2041.01</v>
      </c>
      <c r="K373">
        <v>2026.71</v>
      </c>
      <c r="L373">
        <v>2012.77</v>
      </c>
    </row>
    <row r="374" spans="1:12" x14ac:dyDescent="0.15">
      <c r="A374">
        <v>1845</v>
      </c>
      <c r="B374">
        <v>2184.0100000000002</v>
      </c>
      <c r="C374">
        <v>2166.5500000000002</v>
      </c>
      <c r="D374">
        <v>2149.44</v>
      </c>
      <c r="E374">
        <v>2132.71</v>
      </c>
      <c r="F374">
        <v>2116.34</v>
      </c>
      <c r="G374">
        <v>2100.33</v>
      </c>
      <c r="H374">
        <v>2084.69</v>
      </c>
      <c r="I374">
        <v>2069.42</v>
      </c>
      <c r="J374">
        <v>2054.5100000000002</v>
      </c>
      <c r="K374">
        <v>2039.96</v>
      </c>
      <c r="L374">
        <v>2025.79</v>
      </c>
    </row>
    <row r="375" spans="1:12" x14ac:dyDescent="0.15">
      <c r="A375">
        <v>1850</v>
      </c>
      <c r="B375">
        <v>2199.67</v>
      </c>
      <c r="C375">
        <v>2181.9699999999998</v>
      </c>
      <c r="D375">
        <v>2164.62</v>
      </c>
      <c r="E375">
        <v>2147.64</v>
      </c>
      <c r="F375">
        <v>2131.0300000000002</v>
      </c>
      <c r="G375">
        <v>2114.7800000000002</v>
      </c>
      <c r="H375">
        <v>2098.9</v>
      </c>
      <c r="I375">
        <v>2083.38</v>
      </c>
      <c r="J375">
        <v>2068.23</v>
      </c>
      <c r="K375">
        <v>2053.44</v>
      </c>
      <c r="L375">
        <v>2039.02</v>
      </c>
    </row>
    <row r="376" spans="1:12" x14ac:dyDescent="0.15">
      <c r="A376">
        <v>1855</v>
      </c>
      <c r="B376">
        <v>2215.5500000000002</v>
      </c>
      <c r="C376">
        <v>2197.6</v>
      </c>
      <c r="D376">
        <v>2180.02</v>
      </c>
      <c r="E376">
        <v>2162.79</v>
      </c>
      <c r="F376">
        <v>2145.94</v>
      </c>
      <c r="G376">
        <v>2129.44</v>
      </c>
      <c r="H376">
        <v>2113.3200000000002</v>
      </c>
      <c r="I376">
        <v>2097.56</v>
      </c>
      <c r="J376">
        <v>2082.16</v>
      </c>
      <c r="K376">
        <v>2067.13</v>
      </c>
      <c r="L376">
        <v>2052.4699999999998</v>
      </c>
    </row>
    <row r="377" spans="1:12" x14ac:dyDescent="0.15">
      <c r="A377">
        <v>1860</v>
      </c>
      <c r="B377">
        <v>2231.65</v>
      </c>
      <c r="C377">
        <v>2213.46</v>
      </c>
      <c r="D377">
        <v>2195.63</v>
      </c>
      <c r="E377">
        <v>2178.16</v>
      </c>
      <c r="F377">
        <v>2161.06</v>
      </c>
      <c r="G377">
        <v>2144.33</v>
      </c>
      <c r="H377">
        <v>2127.96</v>
      </c>
      <c r="I377">
        <v>2111.9499999999998</v>
      </c>
      <c r="J377">
        <v>2096.31</v>
      </c>
      <c r="K377">
        <v>2081.04</v>
      </c>
      <c r="L377">
        <v>2066.13</v>
      </c>
    </row>
    <row r="378" spans="1:12" x14ac:dyDescent="0.15">
      <c r="A378">
        <v>1865</v>
      </c>
      <c r="B378">
        <v>2247.9699999999998</v>
      </c>
      <c r="C378">
        <v>2229.5300000000002</v>
      </c>
      <c r="D378">
        <v>2211.4499999999998</v>
      </c>
      <c r="E378">
        <v>2193.7399999999998</v>
      </c>
      <c r="F378">
        <v>2176.4</v>
      </c>
      <c r="G378">
        <v>2159.42</v>
      </c>
      <c r="H378">
        <v>2142.81</v>
      </c>
      <c r="I378">
        <v>2126.56</v>
      </c>
      <c r="J378">
        <v>2110.6799999999998</v>
      </c>
      <c r="K378">
        <v>2095.17</v>
      </c>
      <c r="L378">
        <v>2080.02</v>
      </c>
    </row>
    <row r="379" spans="1:12" x14ac:dyDescent="0.15">
      <c r="A379">
        <v>1870</v>
      </c>
      <c r="B379">
        <v>2264.4899999999998</v>
      </c>
      <c r="C379">
        <v>2245.81</v>
      </c>
      <c r="D379">
        <v>2227.5</v>
      </c>
      <c r="E379">
        <v>2209.54</v>
      </c>
      <c r="F379">
        <v>2191.96</v>
      </c>
      <c r="G379">
        <v>2174.7399999999998</v>
      </c>
      <c r="H379">
        <v>2157.88</v>
      </c>
      <c r="I379">
        <v>2141.39</v>
      </c>
      <c r="J379">
        <v>2125.27</v>
      </c>
      <c r="K379">
        <v>2109.5100000000002</v>
      </c>
      <c r="L379">
        <v>2094.11</v>
      </c>
    </row>
    <row r="380" spans="1:12" x14ac:dyDescent="0.15">
      <c r="A380">
        <v>1875</v>
      </c>
      <c r="B380">
        <v>2281.2399999999998</v>
      </c>
      <c r="C380">
        <v>2262.31</v>
      </c>
      <c r="D380">
        <v>2243.7600000000002</v>
      </c>
      <c r="E380">
        <v>2225.56</v>
      </c>
      <c r="F380">
        <v>2207.73</v>
      </c>
      <c r="G380">
        <v>2190.27</v>
      </c>
      <c r="H380">
        <v>2173.17</v>
      </c>
      <c r="I380">
        <v>2156.44</v>
      </c>
      <c r="J380">
        <v>2140.0700000000002</v>
      </c>
      <c r="K380">
        <v>2124.0700000000002</v>
      </c>
      <c r="L380">
        <v>2108.4299999999998</v>
      </c>
    </row>
    <row r="381" spans="1:12" x14ac:dyDescent="0.15">
      <c r="A381">
        <v>1880</v>
      </c>
      <c r="B381">
        <v>2298.1999999999998</v>
      </c>
      <c r="C381">
        <v>2279.0300000000002</v>
      </c>
      <c r="D381">
        <v>2260.23</v>
      </c>
      <c r="E381">
        <v>2241.79</v>
      </c>
      <c r="F381">
        <v>2223.7199999999998</v>
      </c>
      <c r="G381">
        <v>2206.02</v>
      </c>
      <c r="H381">
        <v>2188.67</v>
      </c>
      <c r="I381">
        <v>2171.6999999999998</v>
      </c>
      <c r="J381">
        <v>2155.09</v>
      </c>
      <c r="K381">
        <v>2138.84</v>
      </c>
      <c r="L381">
        <v>2122.96</v>
      </c>
    </row>
    <row r="382" spans="1:12" x14ac:dyDescent="0.15">
      <c r="A382">
        <v>1885</v>
      </c>
      <c r="B382">
        <v>2315.38</v>
      </c>
      <c r="C382">
        <v>2295.9699999999998</v>
      </c>
      <c r="D382">
        <v>2276.9299999999998</v>
      </c>
      <c r="E382">
        <v>2258.2399999999998</v>
      </c>
      <c r="F382">
        <v>2239.9299999999998</v>
      </c>
      <c r="G382">
        <v>2221.98</v>
      </c>
      <c r="H382">
        <v>2204.4</v>
      </c>
      <c r="I382">
        <v>2187.1799999999998</v>
      </c>
      <c r="J382">
        <v>2170.3200000000002</v>
      </c>
      <c r="K382">
        <v>2153.83</v>
      </c>
      <c r="L382">
        <v>2137.71</v>
      </c>
    </row>
    <row r="383" spans="1:12" x14ac:dyDescent="0.15">
      <c r="A383">
        <v>1890</v>
      </c>
      <c r="B383">
        <v>2332.7800000000002</v>
      </c>
      <c r="C383">
        <v>2313.12</v>
      </c>
      <c r="D383">
        <v>2293.84</v>
      </c>
      <c r="E383">
        <v>2274.91</v>
      </c>
      <c r="F383">
        <v>2256.35</v>
      </c>
      <c r="G383">
        <v>2238.16</v>
      </c>
      <c r="H383">
        <v>2220.33</v>
      </c>
      <c r="I383">
        <v>2202.87</v>
      </c>
      <c r="J383">
        <v>2185.77</v>
      </c>
      <c r="K383">
        <v>2169.04</v>
      </c>
      <c r="L383">
        <v>2152.6799999999998</v>
      </c>
    </row>
    <row r="384" spans="1:12" x14ac:dyDescent="0.15">
      <c r="A384">
        <v>1895</v>
      </c>
      <c r="B384">
        <v>2350.39</v>
      </c>
      <c r="C384">
        <v>2330.4899999999998</v>
      </c>
      <c r="D384">
        <v>2310.96</v>
      </c>
      <c r="E384">
        <v>2291.79</v>
      </c>
      <c r="F384">
        <v>2272.9899999999998</v>
      </c>
      <c r="G384">
        <v>2254.56</v>
      </c>
      <c r="H384">
        <v>2236.4899999999998</v>
      </c>
      <c r="I384">
        <v>2218.7800000000002</v>
      </c>
      <c r="J384">
        <v>2201.44</v>
      </c>
      <c r="K384">
        <v>2184.4699999999998</v>
      </c>
      <c r="L384">
        <v>2167.86</v>
      </c>
    </row>
    <row r="385" spans="1:12" x14ac:dyDescent="0.15">
      <c r="A385">
        <v>1900</v>
      </c>
      <c r="B385">
        <v>2368.2199999999998</v>
      </c>
      <c r="C385">
        <v>2348.08</v>
      </c>
      <c r="D385">
        <v>2328.3000000000002</v>
      </c>
      <c r="E385">
        <v>2308.89</v>
      </c>
      <c r="F385">
        <v>2289.85</v>
      </c>
      <c r="G385">
        <v>2271.17</v>
      </c>
      <c r="H385">
        <v>2252.86</v>
      </c>
      <c r="I385">
        <v>2234.91</v>
      </c>
      <c r="J385">
        <v>2217.3200000000002</v>
      </c>
      <c r="K385">
        <v>2200.11</v>
      </c>
      <c r="L385">
        <v>2183.25</v>
      </c>
    </row>
    <row r="386" spans="1:12" x14ac:dyDescent="0.15">
      <c r="A386">
        <v>1905</v>
      </c>
      <c r="B386">
        <v>2386.2600000000002</v>
      </c>
      <c r="C386">
        <v>2365.88</v>
      </c>
      <c r="D386">
        <v>2345.86</v>
      </c>
      <c r="E386">
        <v>2326.21</v>
      </c>
      <c r="F386">
        <v>2306.92</v>
      </c>
      <c r="G386">
        <v>2288</v>
      </c>
      <c r="H386">
        <v>2269.44</v>
      </c>
      <c r="I386">
        <v>2251.25</v>
      </c>
      <c r="J386">
        <v>2233.4299999999998</v>
      </c>
      <c r="K386">
        <v>2215.96</v>
      </c>
      <c r="L386">
        <v>2198.87</v>
      </c>
    </row>
    <row r="387" spans="1:12" x14ac:dyDescent="0.15">
      <c r="A387">
        <v>1910</v>
      </c>
      <c r="B387">
        <v>2404.5300000000002</v>
      </c>
      <c r="C387">
        <v>2383.9</v>
      </c>
      <c r="D387">
        <v>2363.64</v>
      </c>
      <c r="E387">
        <v>2343.7399999999998</v>
      </c>
      <c r="F387">
        <v>2324.21</v>
      </c>
      <c r="G387">
        <v>2305.0500000000002</v>
      </c>
      <c r="H387">
        <v>2286.25</v>
      </c>
      <c r="I387">
        <v>2267.81</v>
      </c>
      <c r="J387">
        <v>2249.7399999999998</v>
      </c>
      <c r="K387">
        <v>2232.04</v>
      </c>
      <c r="L387">
        <v>2214.6999999999998</v>
      </c>
    </row>
    <row r="388" spans="1:12" x14ac:dyDescent="0.15">
      <c r="A388">
        <v>1915</v>
      </c>
      <c r="B388">
        <v>2423</v>
      </c>
      <c r="C388">
        <v>2402.13</v>
      </c>
      <c r="D388">
        <v>2381.63</v>
      </c>
      <c r="E388">
        <v>2361.4899999999998</v>
      </c>
      <c r="F388">
        <v>2341.7199999999998</v>
      </c>
      <c r="G388">
        <v>2322.31</v>
      </c>
      <c r="H388">
        <v>2303.27</v>
      </c>
      <c r="I388">
        <v>2284.59</v>
      </c>
      <c r="J388">
        <v>2266.2800000000002</v>
      </c>
      <c r="K388">
        <v>2248.33</v>
      </c>
      <c r="L388">
        <v>2230.75</v>
      </c>
    </row>
    <row r="389" spans="1:12" x14ac:dyDescent="0.15">
      <c r="A389">
        <v>1920</v>
      </c>
      <c r="B389">
        <v>2441.6999999999998</v>
      </c>
      <c r="C389">
        <v>2420.59</v>
      </c>
      <c r="D389">
        <v>2399.84</v>
      </c>
      <c r="E389">
        <v>2379.46</v>
      </c>
      <c r="F389">
        <v>2359.44</v>
      </c>
      <c r="G389">
        <v>2339.79</v>
      </c>
      <c r="H389">
        <v>2320.5</v>
      </c>
      <c r="I389">
        <v>2301.58</v>
      </c>
      <c r="J389">
        <v>2283.0300000000002</v>
      </c>
      <c r="K389">
        <v>2264.84</v>
      </c>
      <c r="L389">
        <v>2247.0100000000002</v>
      </c>
    </row>
    <row r="390" spans="1:12" x14ac:dyDescent="0.15">
      <c r="A390">
        <v>1925</v>
      </c>
      <c r="B390">
        <v>2460.61</v>
      </c>
      <c r="C390">
        <v>2439.25</v>
      </c>
      <c r="D390">
        <v>2418.2600000000002</v>
      </c>
      <c r="E390">
        <v>2397.64</v>
      </c>
      <c r="F390">
        <v>2377.38</v>
      </c>
      <c r="G390">
        <v>2357.48</v>
      </c>
      <c r="H390">
        <v>2337.9499999999998</v>
      </c>
      <c r="I390">
        <v>2318.79</v>
      </c>
      <c r="J390">
        <v>2299.9899999999998</v>
      </c>
      <c r="K390">
        <v>2281.56</v>
      </c>
      <c r="L390">
        <v>2263.4899999999998</v>
      </c>
    </row>
    <row r="391" spans="1:12" x14ac:dyDescent="0.15">
      <c r="A391">
        <v>1930</v>
      </c>
      <c r="B391">
        <v>2479.7399999999998</v>
      </c>
      <c r="C391">
        <v>2458.14</v>
      </c>
      <c r="D391">
        <v>2436.91</v>
      </c>
      <c r="E391">
        <v>2416.04</v>
      </c>
      <c r="F391">
        <v>2395.5300000000002</v>
      </c>
      <c r="G391">
        <v>2375.4</v>
      </c>
      <c r="H391">
        <v>2355.62</v>
      </c>
      <c r="I391">
        <v>2336.2199999999998</v>
      </c>
      <c r="J391">
        <v>2317.1799999999998</v>
      </c>
      <c r="K391">
        <v>2298.5</v>
      </c>
      <c r="L391">
        <v>2280.19</v>
      </c>
    </row>
    <row r="392" spans="1:12" x14ac:dyDescent="0.15">
      <c r="A392">
        <v>1935</v>
      </c>
      <c r="B392">
        <v>2499.08</v>
      </c>
      <c r="C392">
        <v>2477.2399999999998</v>
      </c>
      <c r="D392">
        <v>2455.7600000000002</v>
      </c>
      <c r="E392">
        <v>2434.65</v>
      </c>
      <c r="F392">
        <v>2413.9</v>
      </c>
      <c r="G392">
        <v>2393.52</v>
      </c>
      <c r="H392">
        <v>2373.5100000000002</v>
      </c>
      <c r="I392">
        <v>2353.86</v>
      </c>
      <c r="J392">
        <v>2334.58</v>
      </c>
      <c r="K392">
        <v>2315.66</v>
      </c>
      <c r="L392">
        <v>2297.1</v>
      </c>
    </row>
    <row r="393" spans="1:12" x14ac:dyDescent="0.15">
      <c r="A393">
        <v>1940</v>
      </c>
      <c r="B393">
        <v>2518.64</v>
      </c>
      <c r="C393">
        <v>2496.56</v>
      </c>
      <c r="D393">
        <v>2474.84</v>
      </c>
      <c r="E393">
        <v>2453.48</v>
      </c>
      <c r="F393">
        <v>2432.4899999999998</v>
      </c>
      <c r="G393">
        <v>2411.87</v>
      </c>
      <c r="H393">
        <v>2391.61</v>
      </c>
      <c r="I393">
        <v>2371.7199999999998</v>
      </c>
      <c r="J393">
        <v>2352.19</v>
      </c>
      <c r="K393">
        <v>2333.0300000000002</v>
      </c>
      <c r="L393">
        <v>2314.23</v>
      </c>
    </row>
    <row r="394" spans="1:12" x14ac:dyDescent="0.15">
      <c r="A394">
        <v>1945</v>
      </c>
      <c r="B394">
        <v>2538.42</v>
      </c>
      <c r="C394">
        <v>2516.09</v>
      </c>
      <c r="D394">
        <v>2494.13</v>
      </c>
      <c r="E394">
        <v>2472.5300000000002</v>
      </c>
      <c r="F394">
        <v>2451.3000000000002</v>
      </c>
      <c r="G394">
        <v>2430.4299999999998</v>
      </c>
      <c r="H394">
        <v>2409.9299999999998</v>
      </c>
      <c r="I394">
        <v>2389.79</v>
      </c>
      <c r="J394">
        <v>2370.02</v>
      </c>
      <c r="K394">
        <v>2350.62</v>
      </c>
      <c r="L394">
        <v>2331.58</v>
      </c>
    </row>
    <row r="395" spans="1:12" x14ac:dyDescent="0.15">
      <c r="A395">
        <v>1950</v>
      </c>
      <c r="B395">
        <v>2558.41</v>
      </c>
      <c r="C395">
        <v>2535.84</v>
      </c>
      <c r="D395">
        <v>2513.64</v>
      </c>
      <c r="E395">
        <v>2491.79</v>
      </c>
      <c r="F395">
        <v>2470.3200000000002</v>
      </c>
      <c r="G395">
        <v>2449.21</v>
      </c>
      <c r="H395">
        <v>2428.46</v>
      </c>
      <c r="I395">
        <v>2408.09</v>
      </c>
      <c r="J395">
        <v>2388.0700000000002</v>
      </c>
      <c r="K395">
        <v>2368.42</v>
      </c>
      <c r="L395">
        <v>2349.14</v>
      </c>
    </row>
    <row r="396" spans="1:12" x14ac:dyDescent="0.15">
      <c r="A396">
        <v>1955</v>
      </c>
      <c r="B396">
        <v>2578.62</v>
      </c>
      <c r="C396">
        <v>2555.81</v>
      </c>
      <c r="D396">
        <v>2533.36</v>
      </c>
      <c r="E396">
        <v>2511.2800000000002</v>
      </c>
      <c r="F396">
        <v>2489.56</v>
      </c>
      <c r="G396">
        <v>2468.1999999999998</v>
      </c>
      <c r="H396">
        <v>2447.2199999999998</v>
      </c>
      <c r="I396">
        <v>2426.59</v>
      </c>
      <c r="J396">
        <v>2406.34</v>
      </c>
      <c r="K396">
        <v>2386.4499999999998</v>
      </c>
      <c r="L396">
        <v>2366.92</v>
      </c>
    </row>
    <row r="397" spans="1:12" x14ac:dyDescent="0.15">
      <c r="A397">
        <v>1960</v>
      </c>
      <c r="B397">
        <v>2599.0500000000002</v>
      </c>
      <c r="C397">
        <v>2575.9899999999998</v>
      </c>
      <c r="D397">
        <v>2553.3000000000002</v>
      </c>
      <c r="E397">
        <v>2530.9699999999998</v>
      </c>
      <c r="F397">
        <v>2509.0100000000002</v>
      </c>
      <c r="G397">
        <v>2487.42</v>
      </c>
      <c r="H397">
        <v>2466.19</v>
      </c>
      <c r="I397">
        <v>2445.3200000000002</v>
      </c>
      <c r="J397">
        <v>2424.8200000000002</v>
      </c>
      <c r="K397">
        <v>2404.69</v>
      </c>
      <c r="L397">
        <v>2384.92</v>
      </c>
    </row>
    <row r="398" spans="1:12" x14ac:dyDescent="0.15">
      <c r="A398">
        <v>1965</v>
      </c>
      <c r="B398">
        <v>2619.69</v>
      </c>
      <c r="C398">
        <v>2596.39</v>
      </c>
      <c r="D398">
        <v>2573.46</v>
      </c>
      <c r="E398">
        <v>2550.89</v>
      </c>
      <c r="F398">
        <v>2528.6799999999998</v>
      </c>
      <c r="G398">
        <v>2506.84</v>
      </c>
      <c r="H398">
        <v>2485.37</v>
      </c>
      <c r="I398">
        <v>2464.2600000000002</v>
      </c>
      <c r="J398">
        <v>2443.52</v>
      </c>
      <c r="K398">
        <v>2423.14</v>
      </c>
      <c r="L398">
        <v>2403.13</v>
      </c>
    </row>
    <row r="399" spans="1:12" x14ac:dyDescent="0.15">
      <c r="A399">
        <v>1970</v>
      </c>
      <c r="B399">
        <v>2640.55</v>
      </c>
      <c r="C399">
        <v>2617.0100000000002</v>
      </c>
      <c r="D399">
        <v>2593.83</v>
      </c>
      <c r="E399">
        <v>2571.02</v>
      </c>
      <c r="F399">
        <v>2548.5700000000002</v>
      </c>
      <c r="G399">
        <v>2526.4899999999998</v>
      </c>
      <c r="H399">
        <v>2504.77</v>
      </c>
      <c r="I399">
        <v>2483.42</v>
      </c>
      <c r="J399">
        <v>2462.4299999999998</v>
      </c>
      <c r="K399">
        <v>2441.81</v>
      </c>
      <c r="L399">
        <v>2421.56</v>
      </c>
    </row>
    <row r="400" spans="1:12" x14ac:dyDescent="0.15">
      <c r="A400">
        <v>1975</v>
      </c>
      <c r="B400">
        <v>2661.63</v>
      </c>
      <c r="C400">
        <v>2637.84</v>
      </c>
      <c r="D400">
        <v>2614.42</v>
      </c>
      <c r="E400">
        <v>2591.36</v>
      </c>
      <c r="F400">
        <v>2568.67</v>
      </c>
      <c r="G400">
        <v>2546.35</v>
      </c>
      <c r="H400">
        <v>2524.39</v>
      </c>
      <c r="I400">
        <v>2502.79</v>
      </c>
      <c r="J400">
        <v>2481.5700000000002</v>
      </c>
      <c r="K400">
        <v>2460.6999999999998</v>
      </c>
      <c r="L400">
        <v>2440.1999999999998</v>
      </c>
    </row>
    <row r="401" spans="1:12" x14ac:dyDescent="0.15">
      <c r="A401">
        <v>1980</v>
      </c>
      <c r="B401">
        <v>2682.9</v>
      </c>
      <c r="C401">
        <v>2658.89</v>
      </c>
      <c r="D401">
        <v>2635.23</v>
      </c>
      <c r="E401">
        <v>2611.9299999999998</v>
      </c>
      <c r="F401">
        <v>2589</v>
      </c>
      <c r="G401">
        <v>2566.4299999999998</v>
      </c>
      <c r="H401">
        <v>2544.2199999999998</v>
      </c>
      <c r="I401">
        <v>2522.39</v>
      </c>
      <c r="J401">
        <v>2500.91</v>
      </c>
      <c r="K401">
        <v>2479.81</v>
      </c>
      <c r="L401">
        <v>2459.06</v>
      </c>
    </row>
    <row r="402" spans="1:12" x14ac:dyDescent="0.15">
      <c r="A402">
        <v>1985</v>
      </c>
      <c r="B402">
        <v>2704.32</v>
      </c>
      <c r="C402">
        <v>2680.16</v>
      </c>
      <c r="D402">
        <v>2656.25</v>
      </c>
      <c r="E402">
        <v>2632.71</v>
      </c>
      <c r="F402">
        <v>2609.5300000000002</v>
      </c>
      <c r="G402">
        <v>2586.7199999999998</v>
      </c>
      <c r="H402">
        <v>2564.27</v>
      </c>
      <c r="I402">
        <v>2542.19</v>
      </c>
      <c r="J402">
        <v>2520.48</v>
      </c>
      <c r="K402">
        <v>2499.13</v>
      </c>
      <c r="L402">
        <v>2478.14</v>
      </c>
    </row>
    <row r="403" spans="1:12" x14ac:dyDescent="0.15">
      <c r="A403">
        <v>1990</v>
      </c>
      <c r="B403">
        <v>2725.83</v>
      </c>
      <c r="C403">
        <v>2701.61</v>
      </c>
      <c r="D403">
        <v>2677.5</v>
      </c>
      <c r="E403">
        <v>2653.7</v>
      </c>
      <c r="F403">
        <v>2630.28</v>
      </c>
      <c r="G403">
        <v>2607.23</v>
      </c>
      <c r="H403">
        <v>2584.54</v>
      </c>
      <c r="I403">
        <v>2562.2199999999998</v>
      </c>
      <c r="J403">
        <v>2540.2600000000002</v>
      </c>
      <c r="K403">
        <v>2518.67</v>
      </c>
      <c r="L403">
        <v>2497.44</v>
      </c>
    </row>
    <row r="404" spans="1:12" x14ac:dyDescent="0.15">
      <c r="A404">
        <v>1995</v>
      </c>
      <c r="B404">
        <v>2747.37</v>
      </c>
      <c r="C404">
        <v>2723.17</v>
      </c>
      <c r="D404">
        <v>2698.95</v>
      </c>
      <c r="E404">
        <v>2674.92</v>
      </c>
      <c r="F404">
        <v>2651.25</v>
      </c>
      <c r="G404">
        <v>2627.96</v>
      </c>
      <c r="H404">
        <v>2605.0300000000002</v>
      </c>
      <c r="I404">
        <v>2582.46</v>
      </c>
      <c r="J404">
        <v>2560.2600000000002</v>
      </c>
      <c r="K404">
        <v>2538.42</v>
      </c>
      <c r="L404">
        <v>2516.9499999999998</v>
      </c>
    </row>
    <row r="405" spans="1:12" x14ac:dyDescent="0.15">
      <c r="A405">
        <v>2000</v>
      </c>
      <c r="B405">
        <v>2768.58</v>
      </c>
      <c r="C405">
        <v>2744.76</v>
      </c>
      <c r="D405">
        <v>2720.53</v>
      </c>
      <c r="E405">
        <v>2696.33</v>
      </c>
      <c r="F405">
        <v>2672.43</v>
      </c>
      <c r="G405">
        <v>2648.89</v>
      </c>
      <c r="H405">
        <v>2625.72</v>
      </c>
      <c r="I405">
        <v>2602.91</v>
      </c>
      <c r="J405">
        <v>2580.4699999999998</v>
      </c>
      <c r="K405">
        <v>2558.39</v>
      </c>
      <c r="L405">
        <v>2536.6799999999998</v>
      </c>
    </row>
    <row r="406" spans="1:12" x14ac:dyDescent="0.15">
      <c r="A406">
        <v>2005</v>
      </c>
      <c r="B406">
        <v>2789.05</v>
      </c>
      <c r="C406">
        <v>2766.32</v>
      </c>
      <c r="D406">
        <v>2742.11</v>
      </c>
      <c r="E406">
        <v>2717.88</v>
      </c>
      <c r="F406">
        <v>2693.79</v>
      </c>
      <c r="G406">
        <v>2670.02</v>
      </c>
      <c r="H406">
        <v>2646.61</v>
      </c>
      <c r="I406">
        <v>2623.56</v>
      </c>
      <c r="J406">
        <v>2600.88</v>
      </c>
      <c r="K406">
        <v>2578.56</v>
      </c>
      <c r="L406">
        <v>2556.6</v>
      </c>
    </row>
    <row r="407" spans="1:12" x14ac:dyDescent="0.15">
      <c r="A407">
        <v>2010</v>
      </c>
      <c r="B407">
        <v>2808.34</v>
      </c>
      <c r="C407">
        <v>2787.41</v>
      </c>
      <c r="D407">
        <v>2763.69</v>
      </c>
      <c r="E407">
        <v>2739.46</v>
      </c>
      <c r="F407">
        <v>2715.26</v>
      </c>
      <c r="G407">
        <v>2691.3</v>
      </c>
      <c r="H407">
        <v>2667.67</v>
      </c>
      <c r="I407">
        <v>2644.4</v>
      </c>
      <c r="J407">
        <v>2621.48</v>
      </c>
      <c r="K407">
        <v>2598.92</v>
      </c>
      <c r="L407">
        <v>2576.73</v>
      </c>
    </row>
    <row r="408" spans="1:12" x14ac:dyDescent="0.15">
      <c r="A408">
        <v>2015</v>
      </c>
      <c r="B408">
        <v>2826.04</v>
      </c>
      <c r="C408">
        <v>2807.22</v>
      </c>
      <c r="D408">
        <v>2785.2</v>
      </c>
      <c r="E408">
        <v>2761.04</v>
      </c>
      <c r="F408">
        <v>2736.81</v>
      </c>
      <c r="G408">
        <v>2712.7</v>
      </c>
      <c r="H408">
        <v>2688.88</v>
      </c>
      <c r="I408">
        <v>2665.39</v>
      </c>
      <c r="J408">
        <v>2642.24</v>
      </c>
      <c r="K408">
        <v>2619.46</v>
      </c>
      <c r="L408">
        <v>2597.0300000000002</v>
      </c>
    </row>
    <row r="409" spans="1:12" x14ac:dyDescent="0.15">
      <c r="A409">
        <v>2020</v>
      </c>
      <c r="B409">
        <v>2841.88</v>
      </c>
      <c r="C409">
        <v>2825.18</v>
      </c>
      <c r="D409">
        <v>2805.3</v>
      </c>
      <c r="E409">
        <v>2782.32</v>
      </c>
      <c r="F409">
        <v>2758.24</v>
      </c>
      <c r="G409">
        <v>2734.09</v>
      </c>
      <c r="H409">
        <v>2710.12</v>
      </c>
      <c r="I409">
        <v>2686.44</v>
      </c>
      <c r="J409">
        <v>2663.1</v>
      </c>
      <c r="K409">
        <v>2640.1</v>
      </c>
      <c r="L409">
        <v>2617.46</v>
      </c>
    </row>
    <row r="410" spans="1:12" x14ac:dyDescent="0.15">
      <c r="A410">
        <v>2025</v>
      </c>
      <c r="B410">
        <v>2855.81</v>
      </c>
      <c r="C410">
        <v>2841.25</v>
      </c>
      <c r="D410">
        <v>2823.49</v>
      </c>
      <c r="E410">
        <v>2802.52</v>
      </c>
      <c r="F410">
        <v>2779.12</v>
      </c>
      <c r="G410">
        <v>2755.17</v>
      </c>
      <c r="H410">
        <v>2731.2</v>
      </c>
      <c r="I410">
        <v>2707.43</v>
      </c>
      <c r="J410">
        <v>2683.93</v>
      </c>
      <c r="K410">
        <v>2660.73</v>
      </c>
      <c r="L410">
        <v>2637.88</v>
      </c>
    </row>
    <row r="411" spans="1:12" x14ac:dyDescent="0.15">
      <c r="A411">
        <v>2030</v>
      </c>
      <c r="B411">
        <v>2867.84</v>
      </c>
      <c r="C411">
        <v>2855.42</v>
      </c>
      <c r="D411">
        <v>2839.79</v>
      </c>
      <c r="E411">
        <v>2820.95</v>
      </c>
      <c r="F411">
        <v>2799.04</v>
      </c>
      <c r="G411">
        <v>2775.64</v>
      </c>
      <c r="H411">
        <v>2751.85</v>
      </c>
      <c r="I411">
        <v>2728.1</v>
      </c>
      <c r="J411">
        <v>2704.54</v>
      </c>
      <c r="K411">
        <v>2681.26</v>
      </c>
      <c r="L411">
        <v>2658.27</v>
      </c>
    </row>
    <row r="412" spans="1:12" x14ac:dyDescent="0.15">
      <c r="A412">
        <v>2035</v>
      </c>
      <c r="B412">
        <v>2877.98</v>
      </c>
      <c r="C412">
        <v>2867.68</v>
      </c>
      <c r="D412">
        <v>2854.19</v>
      </c>
      <c r="E412">
        <v>2837.48</v>
      </c>
      <c r="F412">
        <v>2817.58</v>
      </c>
      <c r="G412">
        <v>2795.18</v>
      </c>
      <c r="H412">
        <v>2771.87</v>
      </c>
      <c r="I412">
        <v>2748.3</v>
      </c>
      <c r="J412">
        <v>2724.77</v>
      </c>
      <c r="K412">
        <v>2701.45</v>
      </c>
      <c r="L412">
        <v>2678.39</v>
      </c>
    </row>
    <row r="413" spans="1:12" x14ac:dyDescent="0.15">
      <c r="A413">
        <v>2040</v>
      </c>
      <c r="B413">
        <v>2886.22</v>
      </c>
      <c r="C413">
        <v>2878.05</v>
      </c>
      <c r="D413">
        <v>2866.69</v>
      </c>
      <c r="E413">
        <v>2852.12</v>
      </c>
      <c r="F413">
        <v>2834.34</v>
      </c>
      <c r="G413">
        <v>2813.51</v>
      </c>
      <c r="H413">
        <v>2790.99</v>
      </c>
      <c r="I413">
        <v>2767.84</v>
      </c>
      <c r="J413">
        <v>2744.52</v>
      </c>
      <c r="K413">
        <v>2721.23</v>
      </c>
      <c r="L413">
        <v>2698.16</v>
      </c>
    </row>
    <row r="414" spans="1:12" x14ac:dyDescent="0.15">
      <c r="A414">
        <v>2045</v>
      </c>
      <c r="B414">
        <v>2892.56</v>
      </c>
      <c r="C414">
        <v>2886.52</v>
      </c>
      <c r="D414">
        <v>2877.29</v>
      </c>
      <c r="E414">
        <v>2864.85</v>
      </c>
      <c r="F414">
        <v>2849.21</v>
      </c>
      <c r="G414">
        <v>2830.36</v>
      </c>
      <c r="H414">
        <v>2809.02</v>
      </c>
      <c r="I414">
        <v>2786.53</v>
      </c>
      <c r="J414">
        <v>2763.58</v>
      </c>
      <c r="K414">
        <v>2740.52</v>
      </c>
      <c r="L414">
        <v>2717.48</v>
      </c>
    </row>
    <row r="415" spans="1:12" x14ac:dyDescent="0.15">
      <c r="A415">
        <v>2050</v>
      </c>
      <c r="B415">
        <v>2897.01</v>
      </c>
      <c r="C415">
        <v>2893.1</v>
      </c>
      <c r="D415">
        <v>2886</v>
      </c>
      <c r="E415">
        <v>2875.69</v>
      </c>
      <c r="F415">
        <v>2862.17</v>
      </c>
      <c r="G415">
        <v>2845.46</v>
      </c>
      <c r="H415">
        <v>2825.72</v>
      </c>
      <c r="I415">
        <v>2804.2</v>
      </c>
      <c r="J415">
        <v>2781.8</v>
      </c>
      <c r="K415">
        <v>2759.08</v>
      </c>
      <c r="L415">
        <v>2736.28</v>
      </c>
    </row>
    <row r="416" spans="1:12" x14ac:dyDescent="0.15">
      <c r="A416">
        <v>2055</v>
      </c>
      <c r="B416">
        <v>2899.74</v>
      </c>
      <c r="C416">
        <v>2897.77</v>
      </c>
      <c r="D416">
        <v>2892.8</v>
      </c>
      <c r="E416">
        <v>2884.62</v>
      </c>
      <c r="F416">
        <v>2873.24</v>
      </c>
      <c r="G416">
        <v>2858.66</v>
      </c>
      <c r="H416">
        <v>2840.89</v>
      </c>
      <c r="I416">
        <v>2820.62</v>
      </c>
      <c r="J416">
        <v>2799.06</v>
      </c>
      <c r="K416">
        <v>2776.83</v>
      </c>
      <c r="L416">
        <v>2754.36</v>
      </c>
    </row>
    <row r="417" spans="1:12" x14ac:dyDescent="0.15">
      <c r="A417">
        <v>2060</v>
      </c>
      <c r="B417">
        <v>2901.18</v>
      </c>
      <c r="C417">
        <v>2900.55</v>
      </c>
      <c r="D417">
        <v>2897.71</v>
      </c>
      <c r="E417">
        <v>2891.66</v>
      </c>
      <c r="F417">
        <v>2882.41</v>
      </c>
      <c r="G417">
        <v>2869.96</v>
      </c>
      <c r="H417">
        <v>2854.3</v>
      </c>
      <c r="I417">
        <v>2835.66</v>
      </c>
      <c r="J417">
        <v>2815.17</v>
      </c>
      <c r="K417">
        <v>2793.63</v>
      </c>
      <c r="L417">
        <v>2771.62</v>
      </c>
    </row>
    <row r="418" spans="1:12" x14ac:dyDescent="0.15">
      <c r="A418">
        <v>2065</v>
      </c>
      <c r="B418">
        <v>2901.74</v>
      </c>
      <c r="C418">
        <v>2901.65</v>
      </c>
      <c r="D418">
        <v>2900.72</v>
      </c>
      <c r="E418">
        <v>2896.8</v>
      </c>
      <c r="F418">
        <v>2889.68</v>
      </c>
      <c r="G418">
        <v>2879.36</v>
      </c>
      <c r="H418">
        <v>2865.84</v>
      </c>
      <c r="I418">
        <v>2849.14</v>
      </c>
      <c r="J418">
        <v>2829.97</v>
      </c>
      <c r="K418">
        <v>2809.39</v>
      </c>
      <c r="L418">
        <v>2787.96</v>
      </c>
    </row>
    <row r="419" spans="1:12" x14ac:dyDescent="0.15">
      <c r="A419">
        <v>2070</v>
      </c>
      <c r="B419">
        <v>2901.83</v>
      </c>
      <c r="C419">
        <v>2901.83</v>
      </c>
      <c r="D419">
        <v>2901.82</v>
      </c>
      <c r="E419">
        <v>2900.04</v>
      </c>
      <c r="F419">
        <v>2895.06</v>
      </c>
      <c r="G419">
        <v>2886.87</v>
      </c>
      <c r="H419">
        <v>2875.47</v>
      </c>
      <c r="I419">
        <v>2860.88</v>
      </c>
      <c r="J419">
        <v>2843.34</v>
      </c>
      <c r="K419">
        <v>2823.89</v>
      </c>
      <c r="L419">
        <v>2803.32</v>
      </c>
    </row>
    <row r="420" spans="1:12" x14ac:dyDescent="0.15">
      <c r="A420">
        <v>2075</v>
      </c>
      <c r="B420">
        <v>2901.83</v>
      </c>
      <c r="C420">
        <v>2901.83</v>
      </c>
      <c r="D420">
        <v>2901.83</v>
      </c>
      <c r="E420">
        <v>2901.49</v>
      </c>
      <c r="F420">
        <v>2898.59</v>
      </c>
      <c r="G420">
        <v>2892.5</v>
      </c>
      <c r="H420">
        <v>2883.25</v>
      </c>
      <c r="I420">
        <v>2870.77</v>
      </c>
      <c r="J420">
        <v>2855.15</v>
      </c>
      <c r="K420">
        <v>2837.07</v>
      </c>
      <c r="L420">
        <v>2817.51</v>
      </c>
    </row>
    <row r="421" spans="1:12" x14ac:dyDescent="0.15">
      <c r="A421">
        <v>2080</v>
      </c>
      <c r="B421">
        <v>2901.83</v>
      </c>
      <c r="C421">
        <v>2901.83</v>
      </c>
      <c r="D421">
        <v>2901.83</v>
      </c>
      <c r="E421">
        <v>2901.82</v>
      </c>
      <c r="F421">
        <v>2900.61</v>
      </c>
      <c r="G421">
        <v>2896.52</v>
      </c>
      <c r="H421">
        <v>2889.31</v>
      </c>
      <c r="I421">
        <v>2878.9</v>
      </c>
      <c r="J421">
        <v>2865.32</v>
      </c>
      <c r="K421">
        <v>2848.89</v>
      </c>
      <c r="L421">
        <v>2830.5</v>
      </c>
    </row>
    <row r="422" spans="1:12" x14ac:dyDescent="0.15">
      <c r="A422">
        <v>2085</v>
      </c>
      <c r="B422">
        <v>2901.83</v>
      </c>
      <c r="C422">
        <v>2901.83</v>
      </c>
      <c r="D422">
        <v>2901.83</v>
      </c>
      <c r="E422">
        <v>2901.83</v>
      </c>
      <c r="F422">
        <v>2901.55</v>
      </c>
      <c r="G422">
        <v>2899.17</v>
      </c>
      <c r="H422">
        <v>2893.9</v>
      </c>
      <c r="I422">
        <v>2885.51</v>
      </c>
      <c r="J422">
        <v>2873.99</v>
      </c>
      <c r="K422">
        <v>2859.35</v>
      </c>
      <c r="L422">
        <v>2842.26</v>
      </c>
    </row>
    <row r="423" spans="1:12" x14ac:dyDescent="0.15">
      <c r="A423">
        <v>2090</v>
      </c>
      <c r="B423">
        <v>2901.83</v>
      </c>
      <c r="C423">
        <v>2901.83</v>
      </c>
      <c r="D423">
        <v>2901.83</v>
      </c>
      <c r="E423">
        <v>2901.83</v>
      </c>
      <c r="F423">
        <v>2901.81</v>
      </c>
      <c r="G423">
        <v>2900.74</v>
      </c>
      <c r="H423">
        <v>2897.19</v>
      </c>
      <c r="I423">
        <v>2890.68</v>
      </c>
      <c r="J423">
        <v>2881.14</v>
      </c>
      <c r="K423">
        <v>2868.48</v>
      </c>
      <c r="L423">
        <v>2853.01</v>
      </c>
    </row>
    <row r="424" spans="1:12" x14ac:dyDescent="0.15">
      <c r="A424">
        <v>2093</v>
      </c>
      <c r="B424">
        <v>2901.83</v>
      </c>
      <c r="C424">
        <v>2901.83</v>
      </c>
      <c r="D424">
        <v>2901.83</v>
      </c>
      <c r="E424">
        <v>2901.83</v>
      </c>
      <c r="F424">
        <v>2901.83</v>
      </c>
      <c r="G424">
        <v>2901.34</v>
      </c>
      <c r="H424">
        <v>2898.76</v>
      </c>
      <c r="I424">
        <v>2893.41</v>
      </c>
      <c r="J424">
        <v>2885.11</v>
      </c>
      <c r="K424">
        <v>2873.71</v>
      </c>
      <c r="L424">
        <v>2859.39</v>
      </c>
    </row>
  </sheetData>
  <mergeCells count="1">
    <mergeCell ref="R1:V1"/>
  </mergeCells>
  <phoneticPr fontId="1" type="noConversion"/>
  <hyperlinks>
    <hyperlink ref="R4" location="SOUNDING!A1" display="Back" xr:uid="{00000000-0004-0000-0E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1" tint="0.34998626667073579"/>
  </sheetPr>
  <dimension ref="A1:W424"/>
  <sheetViews>
    <sheetView showRowColHeaders="0" workbookViewId="0">
      <pane xSplit="17" ySplit="4" topLeftCell="R365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3" width="9" style="7"/>
    <col min="14" max="17" width="9" style="10" hidden="1" customWidth="1"/>
    <col min="18" max="16384" width="9" style="10"/>
  </cols>
  <sheetData>
    <row r="1" spans="1:23" x14ac:dyDescent="0.15">
      <c r="A1" s="6"/>
      <c r="Q1" s="13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6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R4" s="16" t="s">
        <v>90</v>
      </c>
    </row>
    <row r="5" spans="1:23" x14ac:dyDescent="0.15">
      <c r="A5">
        <v>0</v>
      </c>
      <c r="B5">
        <v>93.53</v>
      </c>
      <c r="C5">
        <v>57.56</v>
      </c>
      <c r="D5">
        <v>22.12</v>
      </c>
      <c r="E5">
        <v>3.59</v>
      </c>
      <c r="F5">
        <v>1.86</v>
      </c>
      <c r="G5">
        <v>1.29</v>
      </c>
      <c r="H5">
        <v>1</v>
      </c>
      <c r="I5">
        <v>0.83</v>
      </c>
      <c r="J5">
        <v>0.73</v>
      </c>
      <c r="K5">
        <v>0.64</v>
      </c>
      <c r="L5">
        <v>0.62</v>
      </c>
      <c r="M5" s="6"/>
    </row>
    <row r="6" spans="1:23" x14ac:dyDescent="0.15">
      <c r="A6">
        <v>5</v>
      </c>
      <c r="B6">
        <v>126.34</v>
      </c>
      <c r="C6">
        <v>90.08</v>
      </c>
      <c r="D6">
        <v>54.25</v>
      </c>
      <c r="E6">
        <v>20.91</v>
      </c>
      <c r="F6">
        <v>10.61</v>
      </c>
      <c r="G6">
        <v>7.18</v>
      </c>
      <c r="H6">
        <v>5.47</v>
      </c>
      <c r="I6">
        <v>4.45</v>
      </c>
      <c r="J6">
        <v>3.76</v>
      </c>
      <c r="K6">
        <v>3.27</v>
      </c>
      <c r="L6">
        <v>2.9</v>
      </c>
      <c r="M6" s="12"/>
    </row>
    <row r="7" spans="1:23" x14ac:dyDescent="0.15">
      <c r="A7">
        <v>10</v>
      </c>
      <c r="B7">
        <v>159.4</v>
      </c>
      <c r="C7">
        <v>122.9</v>
      </c>
      <c r="D7">
        <v>86.76</v>
      </c>
      <c r="E7">
        <v>51.09</v>
      </c>
      <c r="F7">
        <v>26.62</v>
      </c>
      <c r="G7">
        <v>17.920000000000002</v>
      </c>
      <c r="H7">
        <v>13.56</v>
      </c>
      <c r="I7">
        <v>10.95</v>
      </c>
      <c r="J7">
        <v>9.2200000000000006</v>
      </c>
      <c r="K7">
        <v>7.99</v>
      </c>
      <c r="L7">
        <v>7.06</v>
      </c>
      <c r="M7" s="12"/>
    </row>
    <row r="8" spans="1:23" x14ac:dyDescent="0.15">
      <c r="A8">
        <v>15</v>
      </c>
      <c r="B8">
        <v>192.67</v>
      </c>
      <c r="C8">
        <v>155.94999999999999</v>
      </c>
      <c r="D8">
        <v>119.56</v>
      </c>
      <c r="E8">
        <v>83.55</v>
      </c>
      <c r="F8">
        <v>49.98</v>
      </c>
      <c r="G8">
        <v>33.54</v>
      </c>
      <c r="H8">
        <v>25.33</v>
      </c>
      <c r="I8">
        <v>20.399999999999999</v>
      </c>
      <c r="J8">
        <v>17.12</v>
      </c>
      <c r="K8">
        <v>14.78</v>
      </c>
      <c r="L8">
        <v>13.03</v>
      </c>
      <c r="M8" s="12"/>
    </row>
    <row r="9" spans="1:23" x14ac:dyDescent="0.15">
      <c r="A9">
        <v>20</v>
      </c>
      <c r="B9">
        <v>226.14</v>
      </c>
      <c r="C9">
        <v>189.23</v>
      </c>
      <c r="D9">
        <v>152.6</v>
      </c>
      <c r="E9">
        <v>116.32</v>
      </c>
      <c r="F9">
        <v>80.489999999999995</v>
      </c>
      <c r="G9">
        <v>54.1</v>
      </c>
      <c r="H9">
        <v>40.79</v>
      </c>
      <c r="I9">
        <v>32.82</v>
      </c>
      <c r="J9">
        <v>27.5</v>
      </c>
      <c r="K9">
        <v>23.7</v>
      </c>
      <c r="L9">
        <v>20.85</v>
      </c>
      <c r="M9" s="12"/>
    </row>
    <row r="10" spans="1:23" x14ac:dyDescent="0.15">
      <c r="A10">
        <v>25</v>
      </c>
      <c r="B10">
        <v>259.77999999999997</v>
      </c>
      <c r="C10">
        <v>222.69</v>
      </c>
      <c r="D10">
        <v>185.86</v>
      </c>
      <c r="E10">
        <v>149.34</v>
      </c>
      <c r="F10">
        <v>113.19</v>
      </c>
      <c r="G10">
        <v>79.650000000000006</v>
      </c>
      <c r="H10">
        <v>60</v>
      </c>
      <c r="I10">
        <v>48.2</v>
      </c>
      <c r="J10">
        <v>40.36</v>
      </c>
      <c r="K10">
        <v>34.75</v>
      </c>
      <c r="L10">
        <v>30.54</v>
      </c>
      <c r="M10" s="12"/>
    </row>
    <row r="11" spans="1:23" x14ac:dyDescent="0.15">
      <c r="A11">
        <v>30</v>
      </c>
      <c r="B11">
        <v>293.58</v>
      </c>
      <c r="C11">
        <v>256.32</v>
      </c>
      <c r="D11">
        <v>219.31</v>
      </c>
      <c r="E11">
        <v>182.57</v>
      </c>
      <c r="F11">
        <v>146.16999999999999</v>
      </c>
      <c r="G11">
        <v>110.19</v>
      </c>
      <c r="H11">
        <v>82.94</v>
      </c>
      <c r="I11">
        <v>66.599999999999994</v>
      </c>
      <c r="J11">
        <v>55.71</v>
      </c>
      <c r="K11">
        <v>47.94</v>
      </c>
      <c r="L11">
        <v>42.11</v>
      </c>
      <c r="M11" s="12"/>
    </row>
    <row r="12" spans="1:23" x14ac:dyDescent="0.15">
      <c r="A12">
        <v>35</v>
      </c>
      <c r="B12">
        <v>327.52</v>
      </c>
      <c r="C12">
        <v>290.11</v>
      </c>
      <c r="D12">
        <v>252.93</v>
      </c>
      <c r="E12">
        <v>216</v>
      </c>
      <c r="F12">
        <v>179.37</v>
      </c>
      <c r="G12">
        <v>143.1</v>
      </c>
      <c r="H12">
        <v>109.67</v>
      </c>
      <c r="I12">
        <v>88.01</v>
      </c>
      <c r="J12">
        <v>73.58</v>
      </c>
      <c r="K12">
        <v>63.28</v>
      </c>
      <c r="L12">
        <v>55.56</v>
      </c>
      <c r="M12" s="12"/>
    </row>
    <row r="13" spans="1:23" x14ac:dyDescent="0.15">
      <c r="A13">
        <v>40</v>
      </c>
      <c r="B13">
        <v>361.59</v>
      </c>
      <c r="C13">
        <v>324.04000000000002</v>
      </c>
      <c r="D13">
        <v>286.70999999999998</v>
      </c>
      <c r="E13">
        <v>249.6</v>
      </c>
      <c r="F13">
        <v>212.77</v>
      </c>
      <c r="G13">
        <v>176.25</v>
      </c>
      <c r="H13">
        <v>140.19</v>
      </c>
      <c r="I13">
        <v>112.46</v>
      </c>
      <c r="J13">
        <v>93.99</v>
      </c>
      <c r="K13">
        <v>80.790000000000006</v>
      </c>
      <c r="L13">
        <v>70.900000000000006</v>
      </c>
      <c r="M13" s="12"/>
    </row>
    <row r="14" spans="1:23" x14ac:dyDescent="0.15">
      <c r="A14">
        <v>45</v>
      </c>
      <c r="B14">
        <v>395.79</v>
      </c>
      <c r="C14">
        <v>358.11</v>
      </c>
      <c r="D14">
        <v>320.63</v>
      </c>
      <c r="E14">
        <v>283.36</v>
      </c>
      <c r="F14">
        <v>246.34</v>
      </c>
      <c r="G14">
        <v>209.61</v>
      </c>
      <c r="H14">
        <v>173.23</v>
      </c>
      <c r="I14">
        <v>139.96</v>
      </c>
      <c r="J14">
        <v>116.92</v>
      </c>
      <c r="K14">
        <v>100.49</v>
      </c>
      <c r="L14">
        <v>88.15</v>
      </c>
      <c r="M14" s="12"/>
    </row>
    <row r="15" spans="1:23" x14ac:dyDescent="0.15">
      <c r="A15">
        <v>50</v>
      </c>
      <c r="B15">
        <v>430.1</v>
      </c>
      <c r="C15">
        <v>392.3</v>
      </c>
      <c r="D15">
        <v>354.69</v>
      </c>
      <c r="E15">
        <v>317.27</v>
      </c>
      <c r="F15">
        <v>280.08</v>
      </c>
      <c r="G15">
        <v>243.16</v>
      </c>
      <c r="H15">
        <v>206.54</v>
      </c>
      <c r="I15">
        <v>170.52</v>
      </c>
      <c r="J15">
        <v>142.41999999999999</v>
      </c>
      <c r="K15">
        <v>122.35</v>
      </c>
      <c r="L15">
        <v>107.32</v>
      </c>
      <c r="M15" s="12"/>
    </row>
    <row r="16" spans="1:23" x14ac:dyDescent="0.15">
      <c r="A16">
        <v>55</v>
      </c>
      <c r="B16">
        <v>464.52</v>
      </c>
      <c r="C16">
        <v>426.61</v>
      </c>
      <c r="D16">
        <v>388.87</v>
      </c>
      <c r="E16">
        <v>351.31</v>
      </c>
      <c r="F16">
        <v>313.97000000000003</v>
      </c>
      <c r="G16">
        <v>276.87</v>
      </c>
      <c r="H16">
        <v>240.04</v>
      </c>
      <c r="I16">
        <v>203.57</v>
      </c>
      <c r="J16">
        <v>170.48</v>
      </c>
      <c r="K16">
        <v>146.41999999999999</v>
      </c>
      <c r="L16">
        <v>128.4</v>
      </c>
      <c r="M16" s="12"/>
    </row>
    <row r="17" spans="1:13" x14ac:dyDescent="0.15">
      <c r="A17">
        <v>60</v>
      </c>
      <c r="B17">
        <v>499.04</v>
      </c>
      <c r="C17">
        <v>461.02</v>
      </c>
      <c r="D17">
        <v>423.17</v>
      </c>
      <c r="E17">
        <v>385.48</v>
      </c>
      <c r="F17">
        <v>348</v>
      </c>
      <c r="G17">
        <v>310.73</v>
      </c>
      <c r="H17">
        <v>273.72000000000003</v>
      </c>
      <c r="I17">
        <v>237.01</v>
      </c>
      <c r="J17">
        <v>201.09</v>
      </c>
      <c r="K17">
        <v>172.69</v>
      </c>
      <c r="L17">
        <v>151.38999999999999</v>
      </c>
      <c r="M17" s="12"/>
    </row>
    <row r="18" spans="1:13" x14ac:dyDescent="0.15">
      <c r="A18">
        <v>65</v>
      </c>
      <c r="B18">
        <v>533.65</v>
      </c>
      <c r="C18">
        <v>495.54</v>
      </c>
      <c r="D18">
        <v>457.57</v>
      </c>
      <c r="E18">
        <v>419.77</v>
      </c>
      <c r="F18">
        <v>382.15</v>
      </c>
      <c r="G18">
        <v>344.73</v>
      </c>
      <c r="H18">
        <v>307.55</v>
      </c>
      <c r="I18">
        <v>270.64</v>
      </c>
      <c r="J18">
        <v>234.08</v>
      </c>
      <c r="K18">
        <v>201.18</v>
      </c>
      <c r="L18">
        <v>176.34</v>
      </c>
      <c r="M18" s="12"/>
    </row>
    <row r="19" spans="1:13" x14ac:dyDescent="0.15">
      <c r="A19">
        <v>70</v>
      </c>
      <c r="B19">
        <v>568.35</v>
      </c>
      <c r="C19">
        <v>530.15</v>
      </c>
      <c r="D19">
        <v>492.08</v>
      </c>
      <c r="E19">
        <v>454.16</v>
      </c>
      <c r="F19">
        <v>416.42</v>
      </c>
      <c r="G19">
        <v>378.86</v>
      </c>
      <c r="H19">
        <v>341.53</v>
      </c>
      <c r="I19">
        <v>304.44</v>
      </c>
      <c r="J19">
        <v>267.64999999999998</v>
      </c>
      <c r="K19">
        <v>231.87</v>
      </c>
      <c r="L19">
        <v>203.23</v>
      </c>
      <c r="M19" s="12"/>
    </row>
    <row r="20" spans="1:13" x14ac:dyDescent="0.15">
      <c r="A20">
        <v>75</v>
      </c>
      <c r="B20">
        <v>603.13</v>
      </c>
      <c r="C20">
        <v>564.84</v>
      </c>
      <c r="D20">
        <v>526.67999999999995</v>
      </c>
      <c r="E20">
        <v>488.66</v>
      </c>
      <c r="F20">
        <v>450.8</v>
      </c>
      <c r="G20">
        <v>413.11</v>
      </c>
      <c r="H20">
        <v>375.63</v>
      </c>
      <c r="I20">
        <v>338.38</v>
      </c>
      <c r="J20">
        <v>301.39</v>
      </c>
      <c r="K20">
        <v>264.74</v>
      </c>
      <c r="L20">
        <v>232.06</v>
      </c>
      <c r="M20" s="12"/>
    </row>
    <row r="21" spans="1:13" x14ac:dyDescent="0.15">
      <c r="A21">
        <v>80</v>
      </c>
      <c r="B21">
        <v>637.99</v>
      </c>
      <c r="C21">
        <v>599.62</v>
      </c>
      <c r="D21">
        <v>561.37</v>
      </c>
      <c r="E21">
        <v>523.25</v>
      </c>
      <c r="F21">
        <v>485.28</v>
      </c>
      <c r="G21">
        <v>447.47</v>
      </c>
      <c r="H21">
        <v>409.86</v>
      </c>
      <c r="I21">
        <v>372.45</v>
      </c>
      <c r="J21">
        <v>335.3</v>
      </c>
      <c r="K21">
        <v>298.43</v>
      </c>
      <c r="L21">
        <v>262.82</v>
      </c>
      <c r="M21" s="12"/>
    </row>
    <row r="22" spans="1:13" x14ac:dyDescent="0.15">
      <c r="A22">
        <v>85</v>
      </c>
      <c r="B22">
        <v>672.92</v>
      </c>
      <c r="C22">
        <v>634.47</v>
      </c>
      <c r="D22">
        <v>596.14</v>
      </c>
      <c r="E22">
        <v>557.92999999999995</v>
      </c>
      <c r="F22">
        <v>519.86</v>
      </c>
      <c r="G22">
        <v>481.94</v>
      </c>
      <c r="H22">
        <v>444.2</v>
      </c>
      <c r="I22">
        <v>406.66</v>
      </c>
      <c r="J22">
        <v>369.34</v>
      </c>
      <c r="K22">
        <v>332.28</v>
      </c>
      <c r="L22">
        <v>295.55</v>
      </c>
      <c r="M22" s="12"/>
    </row>
    <row r="23" spans="1:13" x14ac:dyDescent="0.15">
      <c r="A23">
        <v>90</v>
      </c>
      <c r="B23">
        <v>707.91</v>
      </c>
      <c r="C23">
        <v>669.4</v>
      </c>
      <c r="D23">
        <v>630.99</v>
      </c>
      <c r="E23">
        <v>592.69000000000005</v>
      </c>
      <c r="F23">
        <v>554.52</v>
      </c>
      <c r="G23">
        <v>516.5</v>
      </c>
      <c r="H23">
        <v>478.65</v>
      </c>
      <c r="I23">
        <v>440.97</v>
      </c>
      <c r="J23">
        <v>403.51</v>
      </c>
      <c r="K23">
        <v>366.28</v>
      </c>
      <c r="L23">
        <v>329.34</v>
      </c>
      <c r="M23" s="12"/>
    </row>
    <row r="24" spans="1:13" x14ac:dyDescent="0.15">
      <c r="A24">
        <v>95</v>
      </c>
      <c r="B24">
        <v>742.97</v>
      </c>
      <c r="C24">
        <v>704.39</v>
      </c>
      <c r="D24">
        <v>665.91</v>
      </c>
      <c r="E24">
        <v>627.53</v>
      </c>
      <c r="F24">
        <v>589.28</v>
      </c>
      <c r="G24">
        <v>551.16</v>
      </c>
      <c r="H24">
        <v>513.19000000000005</v>
      </c>
      <c r="I24">
        <v>475.39</v>
      </c>
      <c r="J24">
        <v>437.79</v>
      </c>
      <c r="K24">
        <v>400.41</v>
      </c>
      <c r="L24">
        <v>363.29</v>
      </c>
      <c r="M24" s="12"/>
    </row>
    <row r="25" spans="1:13" x14ac:dyDescent="0.15">
      <c r="A25">
        <v>100</v>
      </c>
      <c r="B25">
        <v>778.08</v>
      </c>
      <c r="C25">
        <v>739.44</v>
      </c>
      <c r="D25">
        <v>700.89</v>
      </c>
      <c r="E25">
        <v>662.44</v>
      </c>
      <c r="F25">
        <v>624.1</v>
      </c>
      <c r="G25">
        <v>585.89</v>
      </c>
      <c r="H25">
        <v>547.83000000000004</v>
      </c>
      <c r="I25">
        <v>509.92</v>
      </c>
      <c r="J25">
        <v>472.19</v>
      </c>
      <c r="K25">
        <v>434.67</v>
      </c>
      <c r="L25">
        <v>397.38</v>
      </c>
      <c r="M25" s="12"/>
    </row>
    <row r="26" spans="1:13" x14ac:dyDescent="0.15">
      <c r="A26">
        <v>105</v>
      </c>
      <c r="B26">
        <v>813.24</v>
      </c>
      <c r="C26">
        <v>774.55</v>
      </c>
      <c r="D26">
        <v>735.94</v>
      </c>
      <c r="E26">
        <v>697.42</v>
      </c>
      <c r="F26">
        <v>659.01</v>
      </c>
      <c r="G26">
        <v>620.71</v>
      </c>
      <c r="H26">
        <v>582.54999999999995</v>
      </c>
      <c r="I26">
        <v>544.53</v>
      </c>
      <c r="J26">
        <v>506.69</v>
      </c>
      <c r="K26">
        <v>469.03</v>
      </c>
      <c r="L26">
        <v>431.59</v>
      </c>
      <c r="M26" s="12"/>
    </row>
    <row r="27" spans="1:13" x14ac:dyDescent="0.15">
      <c r="A27">
        <v>110</v>
      </c>
      <c r="B27">
        <v>848.46</v>
      </c>
      <c r="C27">
        <v>809.72</v>
      </c>
      <c r="D27">
        <v>771.05</v>
      </c>
      <c r="E27">
        <v>732.46</v>
      </c>
      <c r="F27">
        <v>693.98</v>
      </c>
      <c r="G27">
        <v>655.6</v>
      </c>
      <c r="H27">
        <v>617.35</v>
      </c>
      <c r="I27">
        <v>579.24</v>
      </c>
      <c r="J27">
        <v>541.28</v>
      </c>
      <c r="K27">
        <v>503.5</v>
      </c>
      <c r="L27">
        <v>465.93</v>
      </c>
      <c r="M27" s="12"/>
    </row>
    <row r="28" spans="1:13" x14ac:dyDescent="0.15">
      <c r="A28">
        <v>115</v>
      </c>
      <c r="B28">
        <v>883.71</v>
      </c>
      <c r="C28">
        <v>844.93</v>
      </c>
      <c r="D28">
        <v>806.21</v>
      </c>
      <c r="E28">
        <v>767.56</v>
      </c>
      <c r="F28">
        <v>729.01</v>
      </c>
      <c r="G28">
        <v>690.56</v>
      </c>
      <c r="H28">
        <v>652.23</v>
      </c>
      <c r="I28">
        <v>614.02</v>
      </c>
      <c r="J28">
        <v>575.96</v>
      </c>
      <c r="K28">
        <v>538.07000000000005</v>
      </c>
      <c r="L28">
        <v>500.36</v>
      </c>
      <c r="M28" s="12"/>
    </row>
    <row r="29" spans="1:13" x14ac:dyDescent="0.15">
      <c r="A29">
        <v>120</v>
      </c>
      <c r="B29">
        <v>919.01</v>
      </c>
      <c r="C29">
        <v>880.18</v>
      </c>
      <c r="D29">
        <v>841.41</v>
      </c>
      <c r="E29">
        <v>802.72</v>
      </c>
      <c r="F29">
        <v>764.1</v>
      </c>
      <c r="G29">
        <v>725.58</v>
      </c>
      <c r="H29">
        <v>687.17</v>
      </c>
      <c r="I29">
        <v>648.88</v>
      </c>
      <c r="J29">
        <v>610.73</v>
      </c>
      <c r="K29">
        <v>572.73</v>
      </c>
      <c r="L29">
        <v>534.9</v>
      </c>
      <c r="M29" s="12"/>
    </row>
    <row r="30" spans="1:13" x14ac:dyDescent="0.15">
      <c r="A30">
        <v>125</v>
      </c>
      <c r="B30">
        <v>954.33</v>
      </c>
      <c r="C30">
        <v>915.47</v>
      </c>
      <c r="D30">
        <v>876.67</v>
      </c>
      <c r="E30">
        <v>837.92</v>
      </c>
      <c r="F30">
        <v>799.25</v>
      </c>
      <c r="G30">
        <v>760.67</v>
      </c>
      <c r="H30">
        <v>722.18</v>
      </c>
      <c r="I30">
        <v>683.81</v>
      </c>
      <c r="J30">
        <v>645.57000000000005</v>
      </c>
      <c r="K30">
        <v>607.47</v>
      </c>
      <c r="L30">
        <v>569.53</v>
      </c>
      <c r="M30" s="12"/>
    </row>
    <row r="31" spans="1:13" x14ac:dyDescent="0.15">
      <c r="A31">
        <v>130</v>
      </c>
      <c r="B31">
        <v>989.69</v>
      </c>
      <c r="C31">
        <v>950.8</v>
      </c>
      <c r="D31">
        <v>911.96</v>
      </c>
      <c r="E31">
        <v>873.17</v>
      </c>
      <c r="F31">
        <v>834.45</v>
      </c>
      <c r="G31">
        <v>795.8</v>
      </c>
      <c r="H31">
        <v>757.25</v>
      </c>
      <c r="I31">
        <v>718.81</v>
      </c>
      <c r="J31">
        <v>680.48</v>
      </c>
      <c r="K31">
        <v>642.29</v>
      </c>
      <c r="L31">
        <v>604.25</v>
      </c>
      <c r="M31" s="12"/>
    </row>
    <row r="32" spans="1:13" x14ac:dyDescent="0.15">
      <c r="A32">
        <v>135</v>
      </c>
      <c r="B32">
        <v>1025.08</v>
      </c>
      <c r="C32">
        <v>986.16</v>
      </c>
      <c r="D32">
        <v>947.28</v>
      </c>
      <c r="E32">
        <v>908.45</v>
      </c>
      <c r="F32">
        <v>869.69</v>
      </c>
      <c r="G32">
        <v>830.99</v>
      </c>
      <c r="H32">
        <v>792.38</v>
      </c>
      <c r="I32">
        <v>753.87</v>
      </c>
      <c r="J32">
        <v>715.46</v>
      </c>
      <c r="K32">
        <v>677.19</v>
      </c>
      <c r="L32">
        <v>639.04999999999995</v>
      </c>
      <c r="M32" s="12"/>
    </row>
    <row r="33" spans="1:13" x14ac:dyDescent="0.15">
      <c r="A33">
        <v>140</v>
      </c>
      <c r="B33">
        <v>1060.49</v>
      </c>
      <c r="C33">
        <v>1021.55</v>
      </c>
      <c r="D33">
        <v>982.64</v>
      </c>
      <c r="E33">
        <v>943.78</v>
      </c>
      <c r="F33">
        <v>904.97</v>
      </c>
      <c r="G33">
        <v>866.22</v>
      </c>
      <c r="H33">
        <v>827.56</v>
      </c>
      <c r="I33">
        <v>788.98</v>
      </c>
      <c r="J33">
        <v>750.5</v>
      </c>
      <c r="K33">
        <v>712.15</v>
      </c>
      <c r="L33">
        <v>673.92</v>
      </c>
      <c r="M33" s="12"/>
    </row>
    <row r="34" spans="1:13" x14ac:dyDescent="0.15">
      <c r="A34">
        <v>145</v>
      </c>
      <c r="B34">
        <v>1095.8399999999999</v>
      </c>
      <c r="C34">
        <v>1056.96</v>
      </c>
      <c r="D34">
        <v>1018.03</v>
      </c>
      <c r="E34">
        <v>979.13</v>
      </c>
      <c r="F34">
        <v>940.29</v>
      </c>
      <c r="G34">
        <v>901.5</v>
      </c>
      <c r="H34">
        <v>862.78</v>
      </c>
      <c r="I34">
        <v>824.14</v>
      </c>
      <c r="J34">
        <v>785.6</v>
      </c>
      <c r="K34">
        <v>747.17</v>
      </c>
      <c r="L34">
        <v>708.86</v>
      </c>
      <c r="M34" s="12"/>
    </row>
    <row r="35" spans="1:13" x14ac:dyDescent="0.15">
      <c r="A35">
        <v>150</v>
      </c>
      <c r="B35">
        <v>1127.78</v>
      </c>
      <c r="C35">
        <v>1092.3900000000001</v>
      </c>
      <c r="D35">
        <v>1053.44</v>
      </c>
      <c r="E35">
        <v>1014.52</v>
      </c>
      <c r="F35">
        <v>975.64</v>
      </c>
      <c r="G35">
        <v>936.81</v>
      </c>
      <c r="H35">
        <v>898.04</v>
      </c>
      <c r="I35">
        <v>859.35</v>
      </c>
      <c r="J35">
        <v>820.75</v>
      </c>
      <c r="K35">
        <v>782.25</v>
      </c>
      <c r="L35">
        <v>743.86</v>
      </c>
      <c r="M35" s="12"/>
    </row>
    <row r="36" spans="1:13" x14ac:dyDescent="0.15">
      <c r="A36">
        <v>155</v>
      </c>
      <c r="B36">
        <v>1154.06</v>
      </c>
      <c r="C36">
        <v>1127.8399999999999</v>
      </c>
      <c r="D36">
        <v>1088.8699999999999</v>
      </c>
      <c r="E36">
        <v>1049.93</v>
      </c>
      <c r="F36">
        <v>1011.02</v>
      </c>
      <c r="G36">
        <v>972.15</v>
      </c>
      <c r="H36">
        <v>933.35</v>
      </c>
      <c r="I36">
        <v>894.61</v>
      </c>
      <c r="J36">
        <v>855.95</v>
      </c>
      <c r="K36">
        <v>817.38</v>
      </c>
      <c r="L36">
        <v>778.92</v>
      </c>
      <c r="M36" s="12"/>
    </row>
    <row r="37" spans="1:13" x14ac:dyDescent="0.15">
      <c r="A37">
        <v>160</v>
      </c>
      <c r="B37">
        <v>1174.6600000000001</v>
      </c>
      <c r="C37">
        <v>1158.58</v>
      </c>
      <c r="D37">
        <v>1124.32</v>
      </c>
      <c r="E37">
        <v>1085.3599999999999</v>
      </c>
      <c r="F37">
        <v>1046.42</v>
      </c>
      <c r="G37">
        <v>1007.53</v>
      </c>
      <c r="H37">
        <v>968.68</v>
      </c>
      <c r="I37">
        <v>929.9</v>
      </c>
      <c r="J37">
        <v>891.19</v>
      </c>
      <c r="K37">
        <v>852.56</v>
      </c>
      <c r="L37">
        <v>814.04</v>
      </c>
      <c r="M37" s="12"/>
    </row>
    <row r="38" spans="1:13" x14ac:dyDescent="0.15">
      <c r="A38">
        <v>165</v>
      </c>
      <c r="B38">
        <v>1189.51</v>
      </c>
      <c r="C38">
        <v>1178.0999999999999</v>
      </c>
      <c r="D38">
        <v>1159.78</v>
      </c>
      <c r="E38">
        <v>1120.8</v>
      </c>
      <c r="F38">
        <v>1081.8499999999999</v>
      </c>
      <c r="G38">
        <v>1042.93</v>
      </c>
      <c r="H38">
        <v>1004.05</v>
      </c>
      <c r="I38">
        <v>965.23</v>
      </c>
      <c r="J38">
        <v>926.47</v>
      </c>
      <c r="K38">
        <v>887.79</v>
      </c>
      <c r="L38">
        <v>849.2</v>
      </c>
      <c r="M38" s="12"/>
    </row>
    <row r="39" spans="1:13" x14ac:dyDescent="0.15">
      <c r="A39">
        <v>170</v>
      </c>
      <c r="B39">
        <v>1199.93</v>
      </c>
      <c r="C39">
        <v>1188.8900000000001</v>
      </c>
      <c r="D39">
        <v>1177.6600000000001</v>
      </c>
      <c r="E39">
        <v>1153.3499999999999</v>
      </c>
      <c r="F39">
        <v>1115.9000000000001</v>
      </c>
      <c r="G39">
        <v>1077.2</v>
      </c>
      <c r="H39">
        <v>1038.54</v>
      </c>
      <c r="I39">
        <v>999.92</v>
      </c>
      <c r="J39">
        <v>961.2</v>
      </c>
      <c r="K39">
        <v>922.54</v>
      </c>
      <c r="L39">
        <v>883.91</v>
      </c>
      <c r="M39" s="12"/>
    </row>
    <row r="40" spans="1:13" x14ac:dyDescent="0.15">
      <c r="A40">
        <v>175</v>
      </c>
      <c r="B40">
        <v>1209.9100000000001</v>
      </c>
      <c r="C40">
        <v>1199.01</v>
      </c>
      <c r="D40">
        <v>1187.9100000000001</v>
      </c>
      <c r="E40">
        <v>1175.1099999999999</v>
      </c>
      <c r="F40">
        <v>1144.4000000000001</v>
      </c>
      <c r="G40">
        <v>1107.96</v>
      </c>
      <c r="H40">
        <v>1070.79</v>
      </c>
      <c r="I40">
        <v>1032.6099999999999</v>
      </c>
      <c r="J40">
        <v>994.02</v>
      </c>
      <c r="K40">
        <v>955.49</v>
      </c>
      <c r="L40">
        <v>917.04</v>
      </c>
      <c r="M40" s="12"/>
    </row>
    <row r="41" spans="1:13" x14ac:dyDescent="0.15">
      <c r="A41">
        <v>180</v>
      </c>
      <c r="B41">
        <v>1219.77</v>
      </c>
      <c r="C41">
        <v>1209</v>
      </c>
      <c r="D41">
        <v>1198.04</v>
      </c>
      <c r="E41">
        <v>1186.8699999999999</v>
      </c>
      <c r="F41">
        <v>1167.22</v>
      </c>
      <c r="G41">
        <v>1135.42</v>
      </c>
      <c r="H41">
        <v>1099.48</v>
      </c>
      <c r="I41">
        <v>1062.52</v>
      </c>
      <c r="J41">
        <v>1025.4100000000001</v>
      </c>
      <c r="K41">
        <v>988.12</v>
      </c>
      <c r="L41">
        <v>949.62</v>
      </c>
      <c r="M41" s="12"/>
    </row>
    <row r="42" spans="1:13" x14ac:dyDescent="0.15">
      <c r="A42">
        <v>185</v>
      </c>
      <c r="B42">
        <v>1229.5</v>
      </c>
      <c r="C42">
        <v>1218.8699999999999</v>
      </c>
      <c r="D42">
        <v>1208.04</v>
      </c>
      <c r="E42">
        <v>1197.01</v>
      </c>
      <c r="F42">
        <v>1184.3499999999999</v>
      </c>
      <c r="G42">
        <v>1158.1500000000001</v>
      </c>
      <c r="H42">
        <v>1126.0899999999999</v>
      </c>
      <c r="I42">
        <v>1090.51</v>
      </c>
      <c r="J42">
        <v>1054.25</v>
      </c>
      <c r="K42">
        <v>1017.16</v>
      </c>
      <c r="L42">
        <v>980.13</v>
      </c>
      <c r="M42" s="12"/>
    </row>
    <row r="43" spans="1:13" x14ac:dyDescent="0.15">
      <c r="A43">
        <v>190</v>
      </c>
      <c r="B43">
        <v>1239.1099999999999</v>
      </c>
      <c r="C43">
        <v>1228.6199999999999</v>
      </c>
      <c r="D43">
        <v>1217.92</v>
      </c>
      <c r="E43">
        <v>1207.03</v>
      </c>
      <c r="F43">
        <v>1195.94</v>
      </c>
      <c r="G43">
        <v>1177.52</v>
      </c>
      <c r="H43">
        <v>1149.05</v>
      </c>
      <c r="I43">
        <v>1116.72</v>
      </c>
      <c r="J43">
        <v>1081.53</v>
      </c>
      <c r="K43">
        <v>1045.6600000000001</v>
      </c>
      <c r="L43">
        <v>1008.91</v>
      </c>
      <c r="M43" s="12"/>
    </row>
    <row r="44" spans="1:13" x14ac:dyDescent="0.15">
      <c r="A44">
        <v>195</v>
      </c>
      <c r="B44">
        <v>1248.5999999999999</v>
      </c>
      <c r="C44">
        <v>1238.24</v>
      </c>
      <c r="D44">
        <v>1227.68</v>
      </c>
      <c r="E44">
        <v>1216.92</v>
      </c>
      <c r="F44">
        <v>1205.97</v>
      </c>
      <c r="G44">
        <v>1193.43</v>
      </c>
      <c r="H44">
        <v>1169.97</v>
      </c>
      <c r="I44">
        <v>1139.79</v>
      </c>
      <c r="J44">
        <v>1107.33</v>
      </c>
      <c r="K44">
        <v>1072.54</v>
      </c>
      <c r="L44">
        <v>1036.7</v>
      </c>
      <c r="M44" s="12"/>
    </row>
    <row r="45" spans="1:13" x14ac:dyDescent="0.15">
      <c r="A45">
        <v>200</v>
      </c>
      <c r="B45">
        <v>1257.69</v>
      </c>
      <c r="C45">
        <v>1247.46</v>
      </c>
      <c r="D45">
        <v>1237.04</v>
      </c>
      <c r="E45">
        <v>1226.4100000000001</v>
      </c>
      <c r="F45">
        <v>1215.5899999999999</v>
      </c>
      <c r="G45">
        <v>1204.57</v>
      </c>
      <c r="H45">
        <v>1186.7</v>
      </c>
      <c r="I45">
        <v>1160.47</v>
      </c>
      <c r="J45">
        <v>1129.74</v>
      </c>
      <c r="K45">
        <v>1097.33</v>
      </c>
      <c r="L45">
        <v>1062.8399999999999</v>
      </c>
      <c r="M45" s="12"/>
    </row>
    <row r="46" spans="1:13" x14ac:dyDescent="0.15">
      <c r="A46">
        <v>205</v>
      </c>
      <c r="B46">
        <v>1266.47</v>
      </c>
      <c r="C46">
        <v>1256.3800000000001</v>
      </c>
      <c r="D46">
        <v>1246.0899999999999</v>
      </c>
      <c r="E46">
        <v>1235.5999999999999</v>
      </c>
      <c r="F46">
        <v>1224.9100000000001</v>
      </c>
      <c r="G46">
        <v>1214.03</v>
      </c>
      <c r="H46">
        <v>1201.24</v>
      </c>
      <c r="I46">
        <v>1178.3599999999999</v>
      </c>
      <c r="J46">
        <v>1150.3800000000001</v>
      </c>
      <c r="K46">
        <v>1119.3</v>
      </c>
      <c r="L46">
        <v>1086.93</v>
      </c>
      <c r="M46" s="12"/>
    </row>
    <row r="47" spans="1:13" x14ac:dyDescent="0.15">
      <c r="A47">
        <v>210</v>
      </c>
      <c r="B47">
        <v>1275.1400000000001</v>
      </c>
      <c r="C47">
        <v>1265.19</v>
      </c>
      <c r="D47">
        <v>1255.03</v>
      </c>
      <c r="E47">
        <v>1244.68</v>
      </c>
      <c r="F47">
        <v>1234.1300000000001</v>
      </c>
      <c r="G47">
        <v>1223.3699999999999</v>
      </c>
      <c r="H47">
        <v>1212.23</v>
      </c>
      <c r="I47">
        <v>1194.22</v>
      </c>
      <c r="J47">
        <v>1169.99</v>
      </c>
      <c r="K47">
        <v>1140.3</v>
      </c>
      <c r="L47">
        <v>1108.8800000000001</v>
      </c>
      <c r="M47" s="12"/>
    </row>
    <row r="48" spans="1:13" x14ac:dyDescent="0.15">
      <c r="A48">
        <v>215</v>
      </c>
      <c r="B48">
        <v>1283.71</v>
      </c>
      <c r="C48">
        <v>1273.8800000000001</v>
      </c>
      <c r="D48">
        <v>1263.8599999999999</v>
      </c>
      <c r="E48">
        <v>1253.6400000000001</v>
      </c>
      <c r="F48">
        <v>1243.23</v>
      </c>
      <c r="G48">
        <v>1232.6099999999999</v>
      </c>
      <c r="H48">
        <v>1221.79</v>
      </c>
      <c r="I48">
        <v>1208.67</v>
      </c>
      <c r="J48">
        <v>1186.3399999999999</v>
      </c>
      <c r="K48">
        <v>1160.3499999999999</v>
      </c>
      <c r="L48">
        <v>1130.25</v>
      </c>
      <c r="M48" s="12"/>
    </row>
    <row r="49" spans="1:13" x14ac:dyDescent="0.15">
      <c r="A49">
        <v>220</v>
      </c>
      <c r="B49">
        <v>1292.1600000000001</v>
      </c>
      <c r="C49">
        <v>1282.47</v>
      </c>
      <c r="D49">
        <v>1272.58</v>
      </c>
      <c r="E49">
        <v>1262.5</v>
      </c>
      <c r="F49">
        <v>1252.21</v>
      </c>
      <c r="G49">
        <v>1241.73</v>
      </c>
      <c r="H49">
        <v>1231.05</v>
      </c>
      <c r="I49">
        <v>1219.6099999999999</v>
      </c>
      <c r="J49">
        <v>1201.6500000000001</v>
      </c>
      <c r="K49">
        <v>1177.98</v>
      </c>
      <c r="L49">
        <v>1150.28</v>
      </c>
      <c r="M49" s="12"/>
    </row>
    <row r="50" spans="1:13" x14ac:dyDescent="0.15">
      <c r="A50">
        <v>225</v>
      </c>
      <c r="B50">
        <v>1300.5</v>
      </c>
      <c r="C50">
        <v>1290.94</v>
      </c>
      <c r="D50">
        <v>1281.19</v>
      </c>
      <c r="E50">
        <v>1271.24</v>
      </c>
      <c r="F50">
        <v>1261.0899999999999</v>
      </c>
      <c r="G50">
        <v>1250.74</v>
      </c>
      <c r="H50">
        <v>1240.2</v>
      </c>
      <c r="I50">
        <v>1229.46</v>
      </c>
      <c r="J50">
        <v>1216.02</v>
      </c>
      <c r="K50">
        <v>1194.24</v>
      </c>
      <c r="L50">
        <v>1169.6199999999999</v>
      </c>
      <c r="M50" s="12"/>
    </row>
    <row r="51" spans="1:13" x14ac:dyDescent="0.15">
      <c r="A51">
        <v>230</v>
      </c>
      <c r="B51">
        <v>1308.73</v>
      </c>
      <c r="C51">
        <v>1299.31</v>
      </c>
      <c r="D51">
        <v>1289.69</v>
      </c>
      <c r="E51">
        <v>1279.8699999999999</v>
      </c>
      <c r="F51">
        <v>1269.8599999999999</v>
      </c>
      <c r="G51">
        <v>1259.6500000000001</v>
      </c>
      <c r="H51">
        <v>1249.24</v>
      </c>
      <c r="I51">
        <v>1238.6300000000001</v>
      </c>
      <c r="J51">
        <v>1226.8900000000001</v>
      </c>
      <c r="K51">
        <v>1208.99</v>
      </c>
      <c r="L51">
        <v>1185.8800000000001</v>
      </c>
      <c r="M51" s="12"/>
    </row>
    <row r="52" spans="1:13" x14ac:dyDescent="0.15">
      <c r="A52">
        <v>235</v>
      </c>
      <c r="B52">
        <v>1316.84</v>
      </c>
      <c r="C52">
        <v>1307.56</v>
      </c>
      <c r="D52">
        <v>1298.07</v>
      </c>
      <c r="E52">
        <v>1288.3900000000001</v>
      </c>
      <c r="F52">
        <v>1278.51</v>
      </c>
      <c r="G52">
        <v>1268.43</v>
      </c>
      <c r="H52">
        <v>1258.1600000000001</v>
      </c>
      <c r="I52">
        <v>1247.69</v>
      </c>
      <c r="J52">
        <v>1237.01</v>
      </c>
      <c r="K52">
        <v>1223.27</v>
      </c>
      <c r="L52">
        <v>1201.97</v>
      </c>
      <c r="M52" s="12"/>
    </row>
    <row r="53" spans="1:13" x14ac:dyDescent="0.15">
      <c r="A53">
        <v>240</v>
      </c>
      <c r="B53">
        <v>1324.85</v>
      </c>
      <c r="C53">
        <v>1315.7</v>
      </c>
      <c r="D53">
        <v>1306.3499999999999</v>
      </c>
      <c r="E53">
        <v>1296.8</v>
      </c>
      <c r="F53">
        <v>1287.05</v>
      </c>
      <c r="G53">
        <v>1277.1099999999999</v>
      </c>
      <c r="H53">
        <v>1266.97</v>
      </c>
      <c r="I53">
        <v>1256.6300000000001</v>
      </c>
      <c r="J53">
        <v>1246.0899999999999</v>
      </c>
      <c r="K53">
        <v>1234.07</v>
      </c>
      <c r="L53">
        <v>1216.24</v>
      </c>
      <c r="M53" s="12"/>
    </row>
    <row r="54" spans="1:13" x14ac:dyDescent="0.15">
      <c r="A54">
        <v>245</v>
      </c>
      <c r="B54">
        <v>1332.75</v>
      </c>
      <c r="C54">
        <v>1323.73</v>
      </c>
      <c r="D54">
        <v>1314.51</v>
      </c>
      <c r="E54">
        <v>1305.0999999999999</v>
      </c>
      <c r="F54">
        <v>1295.49</v>
      </c>
      <c r="G54">
        <v>1285.68</v>
      </c>
      <c r="H54">
        <v>1275.67</v>
      </c>
      <c r="I54">
        <v>1265.47</v>
      </c>
      <c r="J54">
        <v>1255.06</v>
      </c>
      <c r="K54">
        <v>1244.42</v>
      </c>
      <c r="L54">
        <v>1230.43</v>
      </c>
      <c r="M54" s="12"/>
    </row>
    <row r="55" spans="1:13" x14ac:dyDescent="0.15">
      <c r="A55">
        <v>250</v>
      </c>
      <c r="B55">
        <v>1340.54</v>
      </c>
      <c r="C55">
        <v>1331.65</v>
      </c>
      <c r="D55">
        <v>1322.57</v>
      </c>
      <c r="E55">
        <v>1313.28</v>
      </c>
      <c r="F55">
        <v>1303.81</v>
      </c>
      <c r="G55">
        <v>1294.1300000000001</v>
      </c>
      <c r="H55">
        <v>1284.26</v>
      </c>
      <c r="I55">
        <v>1274.19</v>
      </c>
      <c r="J55">
        <v>1263.92</v>
      </c>
      <c r="K55">
        <v>1253.46</v>
      </c>
      <c r="L55">
        <v>1241.1400000000001</v>
      </c>
      <c r="M55" s="12"/>
    </row>
    <row r="56" spans="1:13" x14ac:dyDescent="0.15">
      <c r="A56">
        <v>255</v>
      </c>
      <c r="B56">
        <v>1348.21</v>
      </c>
      <c r="C56">
        <v>1339.46</v>
      </c>
      <c r="D56">
        <v>1330.51</v>
      </c>
      <c r="E56">
        <v>1321.36</v>
      </c>
      <c r="F56">
        <v>1312.01</v>
      </c>
      <c r="G56">
        <v>1302.47</v>
      </c>
      <c r="H56">
        <v>1292.73</v>
      </c>
      <c r="I56">
        <v>1282.8</v>
      </c>
      <c r="J56">
        <v>1272.6600000000001</v>
      </c>
      <c r="K56">
        <v>1262.33</v>
      </c>
      <c r="L56">
        <v>1251.48</v>
      </c>
      <c r="M56" s="12"/>
    </row>
    <row r="57" spans="1:13" x14ac:dyDescent="0.15">
      <c r="A57">
        <v>260</v>
      </c>
      <c r="B57">
        <v>1355.77</v>
      </c>
      <c r="C57">
        <v>1347.15</v>
      </c>
      <c r="D57">
        <v>1338.34</v>
      </c>
      <c r="E57">
        <v>1329.32</v>
      </c>
      <c r="F57">
        <v>1320.11</v>
      </c>
      <c r="G57">
        <v>1310.7</v>
      </c>
      <c r="H57">
        <v>1301.0999999999999</v>
      </c>
      <c r="I57">
        <v>1291.3</v>
      </c>
      <c r="J57">
        <v>1281.3</v>
      </c>
      <c r="K57">
        <v>1271.0999999999999</v>
      </c>
      <c r="L57">
        <v>1260.71</v>
      </c>
      <c r="M57" s="12"/>
    </row>
    <row r="58" spans="1:13" x14ac:dyDescent="0.15">
      <c r="A58">
        <v>265</v>
      </c>
      <c r="B58">
        <v>1363.23</v>
      </c>
      <c r="C58">
        <v>1354.74</v>
      </c>
      <c r="D58">
        <v>1346.06</v>
      </c>
      <c r="E58">
        <v>1337.18</v>
      </c>
      <c r="F58">
        <v>1328.1</v>
      </c>
      <c r="G58">
        <v>1318.82</v>
      </c>
      <c r="H58">
        <v>1309.3499999999999</v>
      </c>
      <c r="I58">
        <v>1299.68</v>
      </c>
      <c r="J58">
        <v>1289.82</v>
      </c>
      <c r="K58">
        <v>1279.76</v>
      </c>
      <c r="L58">
        <v>1269.5</v>
      </c>
      <c r="M58" s="12"/>
    </row>
    <row r="59" spans="1:13" x14ac:dyDescent="0.15">
      <c r="A59">
        <v>270</v>
      </c>
      <c r="B59">
        <v>1370.57</v>
      </c>
      <c r="C59">
        <v>1362.22</v>
      </c>
      <c r="D59">
        <v>1353.66</v>
      </c>
      <c r="E59">
        <v>1344.92</v>
      </c>
      <c r="F59">
        <v>1335.97</v>
      </c>
      <c r="G59">
        <v>1326.83</v>
      </c>
      <c r="H59">
        <v>1317.49</v>
      </c>
      <c r="I59">
        <v>1307.96</v>
      </c>
      <c r="J59">
        <v>1298.23</v>
      </c>
      <c r="K59">
        <v>1288.3</v>
      </c>
      <c r="L59">
        <v>1278.17</v>
      </c>
      <c r="M59" s="12"/>
    </row>
    <row r="60" spans="1:13" x14ac:dyDescent="0.15">
      <c r="A60">
        <v>275</v>
      </c>
      <c r="B60">
        <v>1377.8</v>
      </c>
      <c r="C60">
        <v>1369.58</v>
      </c>
      <c r="D60">
        <v>1361.16</v>
      </c>
      <c r="E60">
        <v>1352.55</v>
      </c>
      <c r="F60">
        <v>1343.73</v>
      </c>
      <c r="G60">
        <v>1334.72</v>
      </c>
      <c r="H60">
        <v>1325.52</v>
      </c>
      <c r="I60">
        <v>1316.12</v>
      </c>
      <c r="J60">
        <v>1306.52</v>
      </c>
      <c r="K60">
        <v>1296.73</v>
      </c>
      <c r="L60">
        <v>1286.74</v>
      </c>
      <c r="M60" s="12"/>
    </row>
    <row r="61" spans="1:13" x14ac:dyDescent="0.15">
      <c r="A61">
        <v>280</v>
      </c>
      <c r="B61">
        <v>1384.92</v>
      </c>
      <c r="C61">
        <v>1376.83</v>
      </c>
      <c r="D61">
        <v>1368.55</v>
      </c>
      <c r="E61">
        <v>1360.06</v>
      </c>
      <c r="F61">
        <v>1351.38</v>
      </c>
      <c r="G61">
        <v>1342.51</v>
      </c>
      <c r="H61">
        <v>1333.44</v>
      </c>
      <c r="I61">
        <v>1324.17</v>
      </c>
      <c r="J61">
        <v>1314.71</v>
      </c>
      <c r="K61">
        <v>1305.05</v>
      </c>
      <c r="L61">
        <v>1295.19</v>
      </c>
      <c r="M61" s="12"/>
    </row>
    <row r="62" spans="1:13" x14ac:dyDescent="0.15">
      <c r="A62">
        <v>285</v>
      </c>
      <c r="B62">
        <v>1391.93</v>
      </c>
      <c r="C62">
        <v>1383.98</v>
      </c>
      <c r="D62">
        <v>1375.82</v>
      </c>
      <c r="E62">
        <v>1367.47</v>
      </c>
      <c r="F62">
        <v>1358.92</v>
      </c>
      <c r="G62">
        <v>1350.18</v>
      </c>
      <c r="H62">
        <v>1341.24</v>
      </c>
      <c r="I62">
        <v>1332.11</v>
      </c>
      <c r="J62">
        <v>1322.78</v>
      </c>
      <c r="K62">
        <v>1313.25</v>
      </c>
      <c r="L62">
        <v>1303.53</v>
      </c>
      <c r="M62" s="12"/>
    </row>
    <row r="63" spans="1:13" x14ac:dyDescent="0.15">
      <c r="A63">
        <v>290</v>
      </c>
      <c r="B63">
        <v>1398.83</v>
      </c>
      <c r="C63">
        <v>1391.01</v>
      </c>
      <c r="D63">
        <v>1382.98</v>
      </c>
      <c r="E63">
        <v>1374.77</v>
      </c>
      <c r="F63">
        <v>1366.35</v>
      </c>
      <c r="G63">
        <v>1357.74</v>
      </c>
      <c r="H63">
        <v>1348.94</v>
      </c>
      <c r="I63">
        <v>1339.94</v>
      </c>
      <c r="J63">
        <v>1330.74</v>
      </c>
      <c r="K63">
        <v>1321.34</v>
      </c>
      <c r="L63">
        <v>1311.76</v>
      </c>
      <c r="M63" s="12"/>
    </row>
    <row r="64" spans="1:13" x14ac:dyDescent="0.15">
      <c r="A64">
        <v>295</v>
      </c>
      <c r="B64">
        <v>1405.62</v>
      </c>
      <c r="C64">
        <v>1397.93</v>
      </c>
      <c r="D64">
        <v>1390.04</v>
      </c>
      <c r="E64">
        <v>1381.95</v>
      </c>
      <c r="F64">
        <v>1373.67</v>
      </c>
      <c r="G64">
        <v>1365.19</v>
      </c>
      <c r="H64">
        <v>1356.52</v>
      </c>
      <c r="I64">
        <v>1347.65</v>
      </c>
      <c r="J64">
        <v>1338.59</v>
      </c>
      <c r="K64">
        <v>1329.33</v>
      </c>
      <c r="L64">
        <v>1319.87</v>
      </c>
      <c r="M64" s="12"/>
    </row>
    <row r="65" spans="1:13" x14ac:dyDescent="0.15">
      <c r="A65">
        <v>300</v>
      </c>
      <c r="B65">
        <v>1412.3</v>
      </c>
      <c r="C65">
        <v>1404.74</v>
      </c>
      <c r="D65">
        <v>1396.98</v>
      </c>
      <c r="E65">
        <v>1389.02</v>
      </c>
      <c r="F65">
        <v>1380.87</v>
      </c>
      <c r="G65">
        <v>1372.53</v>
      </c>
      <c r="H65">
        <v>1363.99</v>
      </c>
      <c r="I65">
        <v>1355.25</v>
      </c>
      <c r="J65">
        <v>1346.32</v>
      </c>
      <c r="K65">
        <v>1337.19</v>
      </c>
      <c r="L65">
        <v>1327.87</v>
      </c>
      <c r="M65" s="12"/>
    </row>
    <row r="66" spans="1:13" x14ac:dyDescent="0.15">
      <c r="A66">
        <v>305</v>
      </c>
      <c r="B66">
        <v>1418.87</v>
      </c>
      <c r="C66">
        <v>1411.43</v>
      </c>
      <c r="D66">
        <v>1403.81</v>
      </c>
      <c r="E66">
        <v>1395.99</v>
      </c>
      <c r="F66">
        <v>1387.97</v>
      </c>
      <c r="G66">
        <v>1379.75</v>
      </c>
      <c r="H66">
        <v>1371.35</v>
      </c>
      <c r="I66">
        <v>1362.74</v>
      </c>
      <c r="J66">
        <v>1353.94</v>
      </c>
      <c r="K66">
        <v>1344.95</v>
      </c>
      <c r="L66">
        <v>1335.76</v>
      </c>
      <c r="M66" s="12"/>
    </row>
    <row r="67" spans="1:13" x14ac:dyDescent="0.15">
      <c r="A67">
        <v>310</v>
      </c>
      <c r="B67">
        <v>1425.32</v>
      </c>
      <c r="C67">
        <v>1418.02</v>
      </c>
      <c r="D67">
        <v>1410.53</v>
      </c>
      <c r="E67">
        <v>1402.84</v>
      </c>
      <c r="F67">
        <v>1394.95</v>
      </c>
      <c r="G67">
        <v>1386.87</v>
      </c>
      <c r="H67">
        <v>1378.59</v>
      </c>
      <c r="I67">
        <v>1370.12</v>
      </c>
      <c r="J67">
        <v>1361.46</v>
      </c>
      <c r="K67">
        <v>1352.6</v>
      </c>
      <c r="L67">
        <v>1343.54</v>
      </c>
      <c r="M67" s="12"/>
    </row>
    <row r="68" spans="1:13" x14ac:dyDescent="0.15">
      <c r="A68">
        <v>315</v>
      </c>
      <c r="B68">
        <v>1431.67</v>
      </c>
      <c r="C68">
        <v>1424.5</v>
      </c>
      <c r="D68">
        <v>1417.13</v>
      </c>
      <c r="E68">
        <v>1409.58</v>
      </c>
      <c r="F68">
        <v>1401.82</v>
      </c>
      <c r="G68">
        <v>1393.87</v>
      </c>
      <c r="H68">
        <v>1385.73</v>
      </c>
      <c r="I68">
        <v>1377.39</v>
      </c>
      <c r="J68">
        <v>1368.86</v>
      </c>
      <c r="K68">
        <v>1360.13</v>
      </c>
      <c r="L68">
        <v>1351.2</v>
      </c>
      <c r="M68" s="12"/>
    </row>
    <row r="69" spans="1:13" x14ac:dyDescent="0.15">
      <c r="A69">
        <v>320</v>
      </c>
      <c r="B69">
        <v>1437.9</v>
      </c>
      <c r="C69">
        <v>1430.86</v>
      </c>
      <c r="D69">
        <v>1423.63</v>
      </c>
      <c r="E69">
        <v>1416.2</v>
      </c>
      <c r="F69">
        <v>1408.58</v>
      </c>
      <c r="G69">
        <v>1400.76</v>
      </c>
      <c r="H69">
        <v>1392.75</v>
      </c>
      <c r="I69">
        <v>1384.54</v>
      </c>
      <c r="J69">
        <v>1376.14</v>
      </c>
      <c r="K69">
        <v>1367.55</v>
      </c>
      <c r="L69">
        <v>1358.76</v>
      </c>
      <c r="M69" s="12"/>
    </row>
    <row r="70" spans="1:13" x14ac:dyDescent="0.15">
      <c r="A70">
        <v>325</v>
      </c>
      <c r="B70">
        <v>1444.03</v>
      </c>
      <c r="C70">
        <v>1437.12</v>
      </c>
      <c r="D70">
        <v>1430.02</v>
      </c>
      <c r="E70">
        <v>1422.72</v>
      </c>
      <c r="F70">
        <v>1415.23</v>
      </c>
      <c r="G70">
        <v>1407.54</v>
      </c>
      <c r="H70">
        <v>1399.66</v>
      </c>
      <c r="I70">
        <v>1391.59</v>
      </c>
      <c r="J70">
        <v>1383.32</v>
      </c>
      <c r="K70">
        <v>1374.85</v>
      </c>
      <c r="L70">
        <v>1366.2</v>
      </c>
      <c r="M70" s="12"/>
    </row>
    <row r="71" spans="1:13" x14ac:dyDescent="0.15">
      <c r="A71">
        <v>330</v>
      </c>
      <c r="B71">
        <v>1450.04</v>
      </c>
      <c r="C71">
        <v>1443.26</v>
      </c>
      <c r="D71">
        <v>1436.29</v>
      </c>
      <c r="E71">
        <v>1429.13</v>
      </c>
      <c r="F71">
        <v>1421.76</v>
      </c>
      <c r="G71">
        <v>1414.21</v>
      </c>
      <c r="H71">
        <v>1406.46</v>
      </c>
      <c r="I71">
        <v>1398.52</v>
      </c>
      <c r="J71">
        <v>1390.38</v>
      </c>
      <c r="K71">
        <v>1382.05</v>
      </c>
      <c r="L71">
        <v>1373.52</v>
      </c>
      <c r="M71" s="12"/>
    </row>
    <row r="72" spans="1:13" x14ac:dyDescent="0.15">
      <c r="A72">
        <v>335</v>
      </c>
      <c r="B72">
        <v>1455.94</v>
      </c>
      <c r="C72">
        <v>1449.29</v>
      </c>
      <c r="D72">
        <v>1442.45</v>
      </c>
      <c r="E72">
        <v>1435.42</v>
      </c>
      <c r="F72">
        <v>1428.19</v>
      </c>
      <c r="G72">
        <v>1420.77</v>
      </c>
      <c r="H72">
        <v>1413.15</v>
      </c>
      <c r="I72">
        <v>1405.34</v>
      </c>
      <c r="J72">
        <v>1397.33</v>
      </c>
      <c r="K72">
        <v>1389.13</v>
      </c>
      <c r="L72">
        <v>1380.74</v>
      </c>
      <c r="M72" s="12"/>
    </row>
    <row r="73" spans="1:13" x14ac:dyDescent="0.15">
      <c r="A73">
        <v>340</v>
      </c>
      <c r="B73">
        <v>1461.73</v>
      </c>
      <c r="C73">
        <v>1455.22</v>
      </c>
      <c r="D73">
        <v>1448.51</v>
      </c>
      <c r="E73">
        <v>1441.6</v>
      </c>
      <c r="F73">
        <v>1434.5</v>
      </c>
      <c r="G73">
        <v>1427.21</v>
      </c>
      <c r="H73">
        <v>1419.72</v>
      </c>
      <c r="I73">
        <v>1412.04</v>
      </c>
      <c r="J73">
        <v>1404.17</v>
      </c>
      <c r="K73">
        <v>1396.1</v>
      </c>
      <c r="L73">
        <v>1387.84</v>
      </c>
      <c r="M73" s="12"/>
    </row>
    <row r="74" spans="1:13" x14ac:dyDescent="0.15">
      <c r="A74">
        <v>345</v>
      </c>
      <c r="B74">
        <v>1467.41</v>
      </c>
      <c r="C74">
        <v>1461.03</v>
      </c>
      <c r="D74">
        <v>1454.45</v>
      </c>
      <c r="E74">
        <v>1447.67</v>
      </c>
      <c r="F74">
        <v>1440.71</v>
      </c>
      <c r="G74">
        <v>1433.54</v>
      </c>
      <c r="H74">
        <v>1426.19</v>
      </c>
      <c r="I74">
        <v>1418.64</v>
      </c>
      <c r="J74">
        <v>1410.9</v>
      </c>
      <c r="K74">
        <v>1402.96</v>
      </c>
      <c r="L74">
        <v>1394.83</v>
      </c>
      <c r="M74" s="12"/>
    </row>
    <row r="75" spans="1:13" x14ac:dyDescent="0.15">
      <c r="A75">
        <v>350</v>
      </c>
      <c r="B75">
        <v>1472.98</v>
      </c>
      <c r="C75">
        <v>1466.73</v>
      </c>
      <c r="D75">
        <v>1460.28</v>
      </c>
      <c r="E75">
        <v>1453.63</v>
      </c>
      <c r="F75">
        <v>1446.8</v>
      </c>
      <c r="G75">
        <v>1439.77</v>
      </c>
      <c r="H75">
        <v>1432.54</v>
      </c>
      <c r="I75">
        <v>1425.12</v>
      </c>
      <c r="J75">
        <v>1417.51</v>
      </c>
      <c r="K75">
        <v>1409.71</v>
      </c>
      <c r="L75">
        <v>1401.71</v>
      </c>
      <c r="M75" s="12"/>
    </row>
    <row r="76" spans="1:13" x14ac:dyDescent="0.15">
      <c r="A76">
        <v>355</v>
      </c>
      <c r="B76">
        <v>1478.44</v>
      </c>
      <c r="C76">
        <v>1472.31</v>
      </c>
      <c r="D76">
        <v>1466</v>
      </c>
      <c r="E76">
        <v>1459.48</v>
      </c>
      <c r="F76">
        <v>1452.78</v>
      </c>
      <c r="G76">
        <v>1445.88</v>
      </c>
      <c r="H76">
        <v>1438.78</v>
      </c>
      <c r="I76">
        <v>1431.49</v>
      </c>
      <c r="J76">
        <v>1424.01</v>
      </c>
      <c r="K76">
        <v>1416.34</v>
      </c>
      <c r="L76">
        <v>1408.47</v>
      </c>
      <c r="M76" s="12"/>
    </row>
    <row r="77" spans="1:13" x14ac:dyDescent="0.15">
      <c r="A77">
        <v>360</v>
      </c>
      <c r="B77">
        <v>1483.79</v>
      </c>
      <c r="C77">
        <v>1477.79</v>
      </c>
      <c r="D77">
        <v>1471.6</v>
      </c>
      <c r="E77">
        <v>1465.22</v>
      </c>
      <c r="F77">
        <v>1458.64</v>
      </c>
      <c r="G77">
        <v>1451.87</v>
      </c>
      <c r="H77">
        <v>1444.91</v>
      </c>
      <c r="I77">
        <v>1437.75</v>
      </c>
      <c r="J77">
        <v>1430.4</v>
      </c>
      <c r="K77">
        <v>1422.86</v>
      </c>
      <c r="L77">
        <v>1415.13</v>
      </c>
      <c r="M77" s="12"/>
    </row>
    <row r="78" spans="1:13" x14ac:dyDescent="0.15">
      <c r="A78">
        <v>365</v>
      </c>
      <c r="B78">
        <v>1489.03</v>
      </c>
      <c r="C78">
        <v>1483.16</v>
      </c>
      <c r="D78">
        <v>1477.1</v>
      </c>
      <c r="E78">
        <v>1470.85</v>
      </c>
      <c r="F78">
        <v>1464.4</v>
      </c>
      <c r="G78">
        <v>1457.76</v>
      </c>
      <c r="H78">
        <v>1450.93</v>
      </c>
      <c r="I78">
        <v>1443.9</v>
      </c>
      <c r="J78">
        <v>1436.68</v>
      </c>
      <c r="K78">
        <v>1429.27</v>
      </c>
      <c r="L78">
        <v>1421.67</v>
      </c>
      <c r="M78" s="12"/>
    </row>
    <row r="79" spans="1:13" x14ac:dyDescent="0.15">
      <c r="A79">
        <v>370</v>
      </c>
      <c r="B79">
        <v>1494.15</v>
      </c>
      <c r="C79">
        <v>1488.42</v>
      </c>
      <c r="D79">
        <v>1482.48</v>
      </c>
      <c r="E79">
        <v>1476.36</v>
      </c>
      <c r="F79">
        <v>1470.04</v>
      </c>
      <c r="G79">
        <v>1463.53</v>
      </c>
      <c r="H79">
        <v>1456.83</v>
      </c>
      <c r="I79">
        <v>1449.94</v>
      </c>
      <c r="J79">
        <v>1442.85</v>
      </c>
      <c r="K79">
        <v>1435.57</v>
      </c>
      <c r="L79">
        <v>1428.09</v>
      </c>
      <c r="M79" s="12"/>
    </row>
    <row r="80" spans="1:13" x14ac:dyDescent="0.15">
      <c r="A80">
        <v>375</v>
      </c>
      <c r="B80">
        <v>1499.17</v>
      </c>
      <c r="C80">
        <v>1493.56</v>
      </c>
      <c r="D80">
        <v>1487.76</v>
      </c>
      <c r="E80">
        <v>1481.76</v>
      </c>
      <c r="F80">
        <v>1475.58</v>
      </c>
      <c r="G80">
        <v>1469.2</v>
      </c>
      <c r="H80">
        <v>1462.63</v>
      </c>
      <c r="I80">
        <v>1455.86</v>
      </c>
      <c r="J80">
        <v>1448.9</v>
      </c>
      <c r="K80">
        <v>1441.75</v>
      </c>
      <c r="L80">
        <v>1434.41</v>
      </c>
      <c r="M80" s="12"/>
    </row>
    <row r="81" spans="1:13" x14ac:dyDescent="0.15">
      <c r="A81">
        <v>380</v>
      </c>
      <c r="B81">
        <v>1504.07</v>
      </c>
      <c r="C81">
        <v>1498.59</v>
      </c>
      <c r="D81">
        <v>1492.92</v>
      </c>
      <c r="E81">
        <v>1487.06</v>
      </c>
      <c r="F81">
        <v>1481</v>
      </c>
      <c r="G81">
        <v>1474.75</v>
      </c>
      <c r="H81">
        <v>1468.31</v>
      </c>
      <c r="I81">
        <v>1461.67</v>
      </c>
      <c r="J81">
        <v>1454.84</v>
      </c>
      <c r="K81">
        <v>1447.83</v>
      </c>
      <c r="L81">
        <v>1440.61</v>
      </c>
      <c r="M81" s="12"/>
    </row>
    <row r="82" spans="1:13" x14ac:dyDescent="0.15">
      <c r="A82">
        <v>385</v>
      </c>
      <c r="B82">
        <v>1508.87</v>
      </c>
      <c r="C82">
        <v>1503.52</v>
      </c>
      <c r="D82">
        <v>1497.97</v>
      </c>
      <c r="E82">
        <v>1492.24</v>
      </c>
      <c r="F82">
        <v>1486.31</v>
      </c>
      <c r="G82">
        <v>1480.19</v>
      </c>
      <c r="H82">
        <v>1473.88</v>
      </c>
      <c r="I82">
        <v>1467.37</v>
      </c>
      <c r="J82">
        <v>1460.67</v>
      </c>
      <c r="K82">
        <v>1453.79</v>
      </c>
      <c r="L82">
        <v>1446.7</v>
      </c>
      <c r="M82" s="12"/>
    </row>
    <row r="83" spans="1:13" x14ac:dyDescent="0.15">
      <c r="A83">
        <v>390</v>
      </c>
      <c r="B83">
        <v>1513.55</v>
      </c>
      <c r="C83">
        <v>1508.33</v>
      </c>
      <c r="D83">
        <v>1502.91</v>
      </c>
      <c r="E83">
        <v>1497.31</v>
      </c>
      <c r="F83">
        <v>1491.51</v>
      </c>
      <c r="G83">
        <v>1485.52</v>
      </c>
      <c r="H83">
        <v>1479.33</v>
      </c>
      <c r="I83">
        <v>1472.96</v>
      </c>
      <c r="J83">
        <v>1466.39</v>
      </c>
      <c r="K83">
        <v>1459.63</v>
      </c>
      <c r="L83">
        <v>1452.68</v>
      </c>
      <c r="M83" s="12"/>
    </row>
    <row r="84" spans="1:13" x14ac:dyDescent="0.15">
      <c r="A84">
        <v>395</v>
      </c>
      <c r="B84">
        <v>1518.12</v>
      </c>
      <c r="C84">
        <v>1513.03</v>
      </c>
      <c r="D84">
        <v>1507.74</v>
      </c>
      <c r="E84">
        <v>1502.27</v>
      </c>
      <c r="F84">
        <v>1496.6</v>
      </c>
      <c r="G84">
        <v>1490.73</v>
      </c>
      <c r="H84">
        <v>1484.68</v>
      </c>
      <c r="I84">
        <v>1478.44</v>
      </c>
      <c r="J84">
        <v>1472</v>
      </c>
      <c r="K84">
        <v>1465.37</v>
      </c>
      <c r="L84">
        <v>1458.55</v>
      </c>
      <c r="M84" s="12"/>
    </row>
    <row r="85" spans="1:13" x14ac:dyDescent="0.15">
      <c r="A85">
        <v>400</v>
      </c>
      <c r="B85">
        <v>1522.58</v>
      </c>
      <c r="C85">
        <v>1517.62</v>
      </c>
      <c r="D85">
        <v>1512.46</v>
      </c>
      <c r="E85">
        <v>1507.11</v>
      </c>
      <c r="F85">
        <v>1501.57</v>
      </c>
      <c r="G85">
        <v>1495.84</v>
      </c>
      <c r="H85">
        <v>1489.92</v>
      </c>
      <c r="I85">
        <v>1483.8</v>
      </c>
      <c r="J85">
        <v>1477.49</v>
      </c>
      <c r="K85">
        <v>1470.99</v>
      </c>
      <c r="L85">
        <v>1464.3</v>
      </c>
      <c r="M85" s="12"/>
    </row>
    <row r="86" spans="1:13" x14ac:dyDescent="0.15">
      <c r="A86">
        <v>405</v>
      </c>
      <c r="B86">
        <v>1526.93</v>
      </c>
      <c r="C86">
        <v>1522.1</v>
      </c>
      <c r="D86">
        <v>1517.07</v>
      </c>
      <c r="E86">
        <v>1511.85</v>
      </c>
      <c r="F86">
        <v>1506.44</v>
      </c>
      <c r="G86">
        <v>1500.83</v>
      </c>
      <c r="H86">
        <v>1495.04</v>
      </c>
      <c r="I86">
        <v>1489.05</v>
      </c>
      <c r="J86">
        <v>1482.87</v>
      </c>
      <c r="K86">
        <v>1476.5</v>
      </c>
      <c r="L86">
        <v>1469.94</v>
      </c>
      <c r="M86" s="12"/>
    </row>
    <row r="87" spans="1:13" x14ac:dyDescent="0.15">
      <c r="A87">
        <v>410</v>
      </c>
      <c r="B87">
        <v>1531.17</v>
      </c>
      <c r="C87">
        <v>1526.47</v>
      </c>
      <c r="D87">
        <v>1521.57</v>
      </c>
      <c r="E87">
        <v>1516.47</v>
      </c>
      <c r="F87">
        <v>1511.19</v>
      </c>
      <c r="G87">
        <v>1505.71</v>
      </c>
      <c r="H87">
        <v>1500.05</v>
      </c>
      <c r="I87">
        <v>1494.19</v>
      </c>
      <c r="J87">
        <v>1488.14</v>
      </c>
      <c r="K87">
        <v>1481.9</v>
      </c>
      <c r="L87">
        <v>1475.47</v>
      </c>
      <c r="M87" s="12"/>
    </row>
    <row r="88" spans="1:13" x14ac:dyDescent="0.15">
      <c r="A88">
        <v>415</v>
      </c>
      <c r="B88">
        <v>1535.3</v>
      </c>
      <c r="C88">
        <v>1530.72</v>
      </c>
      <c r="D88">
        <v>1525.95</v>
      </c>
      <c r="E88">
        <v>1520.99</v>
      </c>
      <c r="F88">
        <v>1515.83</v>
      </c>
      <c r="G88">
        <v>1510.49</v>
      </c>
      <c r="H88">
        <v>1504.95</v>
      </c>
      <c r="I88">
        <v>1499.22</v>
      </c>
      <c r="J88">
        <v>1493.3</v>
      </c>
      <c r="K88">
        <v>1487.19</v>
      </c>
      <c r="L88">
        <v>1480.89</v>
      </c>
      <c r="M88" s="12"/>
    </row>
    <row r="89" spans="1:13" x14ac:dyDescent="0.15">
      <c r="A89">
        <v>420</v>
      </c>
      <c r="B89">
        <v>1539.32</v>
      </c>
      <c r="C89">
        <v>1534.87</v>
      </c>
      <c r="D89">
        <v>1530.22</v>
      </c>
      <c r="E89">
        <v>1525.39</v>
      </c>
      <c r="F89">
        <v>1520.36</v>
      </c>
      <c r="G89">
        <v>1515.14</v>
      </c>
      <c r="H89">
        <v>1509.74</v>
      </c>
      <c r="I89">
        <v>1504.14</v>
      </c>
      <c r="J89">
        <v>1498.34</v>
      </c>
      <c r="K89">
        <v>1492.36</v>
      </c>
      <c r="L89">
        <v>1486.19</v>
      </c>
      <c r="M89" s="12"/>
    </row>
    <row r="90" spans="1:13" x14ac:dyDescent="0.15">
      <c r="A90">
        <v>425</v>
      </c>
      <c r="B90">
        <v>1543.23</v>
      </c>
      <c r="C90">
        <v>1538.9</v>
      </c>
      <c r="D90">
        <v>1534.39</v>
      </c>
      <c r="E90">
        <v>1529.68</v>
      </c>
      <c r="F90">
        <v>1524.78</v>
      </c>
      <c r="G90">
        <v>1519.69</v>
      </c>
      <c r="H90">
        <v>1514.41</v>
      </c>
      <c r="I90">
        <v>1508.94</v>
      </c>
      <c r="J90">
        <v>1503.28</v>
      </c>
      <c r="K90">
        <v>1497.42</v>
      </c>
      <c r="L90">
        <v>1491.38</v>
      </c>
      <c r="M90" s="12"/>
    </row>
    <row r="91" spans="1:13" x14ac:dyDescent="0.15">
      <c r="A91">
        <v>430</v>
      </c>
      <c r="B91">
        <v>1547.03</v>
      </c>
      <c r="C91">
        <v>1542.83</v>
      </c>
      <c r="D91">
        <v>1538.44</v>
      </c>
      <c r="E91">
        <v>1533.86</v>
      </c>
      <c r="F91">
        <v>1529.09</v>
      </c>
      <c r="G91">
        <v>1524.13</v>
      </c>
      <c r="H91">
        <v>1518.97</v>
      </c>
      <c r="I91">
        <v>1513.63</v>
      </c>
      <c r="J91">
        <v>1508.1</v>
      </c>
      <c r="K91">
        <v>1502.37</v>
      </c>
      <c r="L91">
        <v>1496.46</v>
      </c>
      <c r="M91" s="12"/>
    </row>
    <row r="92" spans="1:13" x14ac:dyDescent="0.15">
      <c r="A92">
        <v>435</v>
      </c>
      <c r="B92">
        <v>1550.71</v>
      </c>
      <c r="C92">
        <v>1546.64</v>
      </c>
      <c r="D92">
        <v>1542.38</v>
      </c>
      <c r="E92">
        <v>1537.93</v>
      </c>
      <c r="F92">
        <v>1533.28</v>
      </c>
      <c r="G92">
        <v>1528.45</v>
      </c>
      <c r="H92">
        <v>1523.43</v>
      </c>
      <c r="I92">
        <v>1518.21</v>
      </c>
      <c r="J92">
        <v>1512.81</v>
      </c>
      <c r="K92">
        <v>1507.21</v>
      </c>
      <c r="L92">
        <v>1501.43</v>
      </c>
      <c r="M92" s="12"/>
    </row>
    <row r="93" spans="1:13" x14ac:dyDescent="0.15">
      <c r="A93">
        <v>440</v>
      </c>
      <c r="B93">
        <v>1554.29</v>
      </c>
      <c r="C93">
        <v>1550.34</v>
      </c>
      <c r="D93">
        <v>1546.21</v>
      </c>
      <c r="E93">
        <v>1541.88</v>
      </c>
      <c r="F93">
        <v>1537.37</v>
      </c>
      <c r="G93">
        <v>1532.66</v>
      </c>
      <c r="H93">
        <v>1527.77</v>
      </c>
      <c r="I93">
        <v>1522.68</v>
      </c>
      <c r="J93">
        <v>1517.4</v>
      </c>
      <c r="K93">
        <v>1511.94</v>
      </c>
      <c r="L93">
        <v>1506.28</v>
      </c>
      <c r="M93" s="12"/>
    </row>
    <row r="94" spans="1:13" x14ac:dyDescent="0.15">
      <c r="A94">
        <v>445</v>
      </c>
      <c r="B94">
        <v>1557.78</v>
      </c>
      <c r="C94">
        <v>1553.96</v>
      </c>
      <c r="D94">
        <v>1549.96</v>
      </c>
      <c r="E94">
        <v>1545.76</v>
      </c>
      <c r="F94">
        <v>1541.38</v>
      </c>
      <c r="G94">
        <v>1536.8</v>
      </c>
      <c r="H94">
        <v>1532.03</v>
      </c>
      <c r="I94">
        <v>1527.07</v>
      </c>
      <c r="J94">
        <v>1521.92</v>
      </c>
      <c r="K94">
        <v>1516.59</v>
      </c>
      <c r="L94">
        <v>1511.06</v>
      </c>
      <c r="M94" s="12"/>
    </row>
    <row r="95" spans="1:13" x14ac:dyDescent="0.15">
      <c r="A95">
        <v>450</v>
      </c>
      <c r="B95">
        <v>1561.31</v>
      </c>
      <c r="C95">
        <v>1557.62</v>
      </c>
      <c r="D95">
        <v>1553.75</v>
      </c>
      <c r="E95">
        <v>1549.68</v>
      </c>
      <c r="F95">
        <v>1545.43</v>
      </c>
      <c r="G95">
        <v>1540.98</v>
      </c>
      <c r="H95">
        <v>1536.34</v>
      </c>
      <c r="I95">
        <v>1531.52</v>
      </c>
      <c r="J95">
        <v>1526.5</v>
      </c>
      <c r="K95">
        <v>1521.29</v>
      </c>
      <c r="L95">
        <v>1515.9</v>
      </c>
      <c r="M95" s="12"/>
    </row>
    <row r="96" spans="1:13" x14ac:dyDescent="0.15">
      <c r="A96">
        <v>455</v>
      </c>
      <c r="B96">
        <v>1564.71</v>
      </c>
      <c r="C96">
        <v>1561.16</v>
      </c>
      <c r="D96">
        <v>1557.41</v>
      </c>
      <c r="E96">
        <v>1553.48</v>
      </c>
      <c r="F96">
        <v>1549.35</v>
      </c>
      <c r="G96">
        <v>1545.04</v>
      </c>
      <c r="H96">
        <v>1540.53</v>
      </c>
      <c r="I96">
        <v>1535.84</v>
      </c>
      <c r="J96">
        <v>1530.95</v>
      </c>
      <c r="K96">
        <v>1525.88</v>
      </c>
      <c r="L96">
        <v>1520.61</v>
      </c>
      <c r="M96" s="12"/>
    </row>
    <row r="97" spans="1:13" x14ac:dyDescent="0.15">
      <c r="A97">
        <v>460</v>
      </c>
      <c r="B97">
        <v>1567.99</v>
      </c>
      <c r="C97">
        <v>1564.57</v>
      </c>
      <c r="D97">
        <v>1560.96</v>
      </c>
      <c r="E97">
        <v>1557.15</v>
      </c>
      <c r="F97">
        <v>1553.16</v>
      </c>
      <c r="G97">
        <v>1548.97</v>
      </c>
      <c r="H97">
        <v>1544.6</v>
      </c>
      <c r="I97">
        <v>1540.04</v>
      </c>
      <c r="J97">
        <v>1535.28</v>
      </c>
      <c r="K97">
        <v>1530.34</v>
      </c>
      <c r="L97">
        <v>1525.2</v>
      </c>
      <c r="M97" s="12"/>
    </row>
    <row r="98" spans="1:13" x14ac:dyDescent="0.15">
      <c r="A98">
        <v>465</v>
      </c>
      <c r="B98">
        <v>1571.15</v>
      </c>
      <c r="C98">
        <v>1567.86</v>
      </c>
      <c r="D98">
        <v>1564.38</v>
      </c>
      <c r="E98">
        <v>1560.71</v>
      </c>
      <c r="F98">
        <v>1556.84</v>
      </c>
      <c r="G98">
        <v>1552.79</v>
      </c>
      <c r="H98">
        <v>1548.54</v>
      </c>
      <c r="I98">
        <v>1544.11</v>
      </c>
      <c r="J98">
        <v>1539.49</v>
      </c>
      <c r="K98">
        <v>1534.67</v>
      </c>
      <c r="L98">
        <v>1529.67</v>
      </c>
      <c r="M98" s="12"/>
    </row>
    <row r="99" spans="1:13" x14ac:dyDescent="0.15">
      <c r="A99">
        <v>470</v>
      </c>
      <c r="B99">
        <v>1574.19</v>
      </c>
      <c r="C99">
        <v>1571.03</v>
      </c>
      <c r="D99">
        <v>1567.68</v>
      </c>
      <c r="E99">
        <v>1564.13</v>
      </c>
      <c r="F99">
        <v>1560.4</v>
      </c>
      <c r="G99">
        <v>1556.48</v>
      </c>
      <c r="H99">
        <v>1552.37</v>
      </c>
      <c r="I99">
        <v>1548.06</v>
      </c>
      <c r="J99">
        <v>1543.57</v>
      </c>
      <c r="K99">
        <v>1538.89</v>
      </c>
      <c r="L99">
        <v>1534.01</v>
      </c>
      <c r="M99" s="12"/>
    </row>
    <row r="100" spans="1:13" x14ac:dyDescent="0.15">
      <c r="A100">
        <v>475</v>
      </c>
      <c r="B100">
        <v>1577.1</v>
      </c>
      <c r="C100">
        <v>1574.07</v>
      </c>
      <c r="D100">
        <v>1570.85</v>
      </c>
      <c r="E100">
        <v>1567.44</v>
      </c>
      <c r="F100">
        <v>1563.84</v>
      </c>
      <c r="G100">
        <v>1560.05</v>
      </c>
      <c r="H100">
        <v>1556.06</v>
      </c>
      <c r="I100">
        <v>1551.89</v>
      </c>
      <c r="J100">
        <v>1547.53</v>
      </c>
      <c r="K100">
        <v>1542.98</v>
      </c>
      <c r="L100">
        <v>1538.23</v>
      </c>
      <c r="M100" s="12"/>
    </row>
    <row r="101" spans="1:13" x14ac:dyDescent="0.15">
      <c r="A101">
        <v>480</v>
      </c>
      <c r="B101">
        <v>1579.89</v>
      </c>
      <c r="C101">
        <v>1576.99</v>
      </c>
      <c r="D101">
        <v>1573.9</v>
      </c>
      <c r="E101">
        <v>1570.62</v>
      </c>
      <c r="F101">
        <v>1567.15</v>
      </c>
      <c r="G101">
        <v>1563.49</v>
      </c>
      <c r="H101">
        <v>1559.64</v>
      </c>
      <c r="I101">
        <v>1555.6</v>
      </c>
      <c r="J101">
        <v>1551.37</v>
      </c>
      <c r="K101">
        <v>1546.95</v>
      </c>
      <c r="L101">
        <v>1542.33</v>
      </c>
      <c r="M101" s="12"/>
    </row>
    <row r="102" spans="1:13" x14ac:dyDescent="0.15">
      <c r="A102">
        <v>485</v>
      </c>
      <c r="B102">
        <v>1582.56</v>
      </c>
      <c r="C102">
        <v>1579.79</v>
      </c>
      <c r="D102">
        <v>1576.83</v>
      </c>
      <c r="E102">
        <v>1573.68</v>
      </c>
      <c r="F102">
        <v>1570.34</v>
      </c>
      <c r="G102">
        <v>1566.81</v>
      </c>
      <c r="H102">
        <v>1563.09</v>
      </c>
      <c r="I102">
        <v>1559.18</v>
      </c>
      <c r="J102">
        <v>1555.08</v>
      </c>
      <c r="K102">
        <v>1550.79</v>
      </c>
      <c r="L102">
        <v>1546.31</v>
      </c>
      <c r="M102" s="12"/>
    </row>
    <row r="103" spans="1:13" x14ac:dyDescent="0.15">
      <c r="A103">
        <v>490</v>
      </c>
      <c r="B103">
        <v>1585.1</v>
      </c>
      <c r="C103">
        <v>1582.46</v>
      </c>
      <c r="D103">
        <v>1579.64</v>
      </c>
      <c r="E103">
        <v>1576.62</v>
      </c>
      <c r="F103">
        <v>1573.41</v>
      </c>
      <c r="G103">
        <v>1570.01</v>
      </c>
      <c r="H103">
        <v>1566.42</v>
      </c>
      <c r="I103">
        <v>1562.64</v>
      </c>
      <c r="J103">
        <v>1558.67</v>
      </c>
      <c r="K103">
        <v>1554.51</v>
      </c>
      <c r="L103">
        <v>1550.16</v>
      </c>
      <c r="M103" s="12"/>
    </row>
    <row r="104" spans="1:13" x14ac:dyDescent="0.15">
      <c r="A104">
        <v>495</v>
      </c>
      <c r="B104">
        <v>1587.52</v>
      </c>
      <c r="C104">
        <v>1585.02</v>
      </c>
      <c r="D104">
        <v>1582.32</v>
      </c>
      <c r="E104">
        <v>1579.43</v>
      </c>
      <c r="F104">
        <v>1576.36</v>
      </c>
      <c r="G104">
        <v>1573.09</v>
      </c>
      <c r="H104">
        <v>1569.63</v>
      </c>
      <c r="I104">
        <v>1565.98</v>
      </c>
      <c r="J104">
        <v>1562.14</v>
      </c>
      <c r="K104">
        <v>1558.11</v>
      </c>
      <c r="L104">
        <v>1553.89</v>
      </c>
      <c r="M104" s="12"/>
    </row>
    <row r="105" spans="1:13" x14ac:dyDescent="0.15">
      <c r="A105">
        <v>500</v>
      </c>
      <c r="B105">
        <v>1589.83</v>
      </c>
      <c r="C105">
        <v>1587.45</v>
      </c>
      <c r="D105">
        <v>1584.88</v>
      </c>
      <c r="E105">
        <v>1582.12</v>
      </c>
      <c r="F105">
        <v>1579.18</v>
      </c>
      <c r="G105">
        <v>1576.04</v>
      </c>
      <c r="H105">
        <v>1572.71</v>
      </c>
      <c r="I105">
        <v>1569.19</v>
      </c>
      <c r="J105">
        <v>1565.49</v>
      </c>
      <c r="K105">
        <v>1561.59</v>
      </c>
      <c r="L105">
        <v>1557.5</v>
      </c>
      <c r="M105" s="12"/>
    </row>
    <row r="106" spans="1:13" x14ac:dyDescent="0.15">
      <c r="A106">
        <v>505</v>
      </c>
      <c r="B106">
        <v>1592.01</v>
      </c>
      <c r="C106">
        <v>1589.75</v>
      </c>
      <c r="D106">
        <v>1587.32</v>
      </c>
      <c r="E106">
        <v>1584.69</v>
      </c>
      <c r="F106">
        <v>1581.88</v>
      </c>
      <c r="G106">
        <v>1578.87</v>
      </c>
      <c r="H106">
        <v>1575.67</v>
      </c>
      <c r="I106">
        <v>1572.29</v>
      </c>
      <c r="J106">
        <v>1568.71</v>
      </c>
      <c r="K106">
        <v>1564.94</v>
      </c>
      <c r="L106">
        <v>1560.99</v>
      </c>
      <c r="M106" s="12"/>
    </row>
    <row r="107" spans="1:13" x14ac:dyDescent="0.15">
      <c r="A107">
        <v>510</v>
      </c>
      <c r="B107">
        <v>1594.07</v>
      </c>
      <c r="C107">
        <v>1591.94</v>
      </c>
      <c r="D107">
        <v>1589.63</v>
      </c>
      <c r="E107">
        <v>1587.14</v>
      </c>
      <c r="F107">
        <v>1584.45</v>
      </c>
      <c r="G107">
        <v>1581.58</v>
      </c>
      <c r="H107">
        <v>1578.51</v>
      </c>
      <c r="I107">
        <v>1575.26</v>
      </c>
      <c r="J107">
        <v>1571.81</v>
      </c>
      <c r="K107">
        <v>1568.17</v>
      </c>
      <c r="L107">
        <v>1564.35</v>
      </c>
      <c r="M107" s="12"/>
    </row>
    <row r="108" spans="1:13" x14ac:dyDescent="0.15">
      <c r="A108">
        <v>515</v>
      </c>
      <c r="B108">
        <v>1596.01</v>
      </c>
      <c r="C108">
        <v>1594</v>
      </c>
      <c r="D108">
        <v>1591.82</v>
      </c>
      <c r="E108">
        <v>1589.46</v>
      </c>
      <c r="F108">
        <v>1586.91</v>
      </c>
      <c r="G108">
        <v>1584.16</v>
      </c>
      <c r="H108">
        <v>1581.23</v>
      </c>
      <c r="I108">
        <v>1578.1</v>
      </c>
      <c r="J108">
        <v>1574.79</v>
      </c>
      <c r="K108">
        <v>1571.28</v>
      </c>
      <c r="L108">
        <v>1567.59</v>
      </c>
      <c r="M108" s="12"/>
    </row>
    <row r="109" spans="1:13" x14ac:dyDescent="0.15">
      <c r="A109">
        <v>520</v>
      </c>
      <c r="B109">
        <v>1597.83</v>
      </c>
      <c r="C109">
        <v>1595.95</v>
      </c>
      <c r="D109">
        <v>1593.9</v>
      </c>
      <c r="E109">
        <v>1591.66</v>
      </c>
      <c r="F109">
        <v>1589.24</v>
      </c>
      <c r="G109">
        <v>1586.62</v>
      </c>
      <c r="H109">
        <v>1583.82</v>
      </c>
      <c r="I109">
        <v>1580.83</v>
      </c>
      <c r="J109">
        <v>1577.64</v>
      </c>
      <c r="K109">
        <v>1574.27</v>
      </c>
      <c r="L109">
        <v>1570.7</v>
      </c>
      <c r="M109" s="12"/>
    </row>
    <row r="110" spans="1:13" x14ac:dyDescent="0.15">
      <c r="A110">
        <v>525</v>
      </c>
      <c r="B110">
        <v>1599.53</v>
      </c>
      <c r="C110">
        <v>1597.78</v>
      </c>
      <c r="D110">
        <v>1595.85</v>
      </c>
      <c r="E110">
        <v>1593.75</v>
      </c>
      <c r="F110">
        <v>1591.45</v>
      </c>
      <c r="G110">
        <v>1588.97</v>
      </c>
      <c r="H110">
        <v>1586.29</v>
      </c>
      <c r="I110">
        <v>1583.43</v>
      </c>
      <c r="J110">
        <v>1580.38</v>
      </c>
      <c r="K110">
        <v>1577.13</v>
      </c>
      <c r="L110">
        <v>1573.7</v>
      </c>
      <c r="M110" s="12"/>
    </row>
    <row r="111" spans="1:13" x14ac:dyDescent="0.15">
      <c r="A111">
        <v>530</v>
      </c>
      <c r="B111">
        <v>1601.11</v>
      </c>
      <c r="C111">
        <v>1599.49</v>
      </c>
      <c r="D111">
        <v>1597.69</v>
      </c>
      <c r="E111">
        <v>1595.71</v>
      </c>
      <c r="F111">
        <v>1593.54</v>
      </c>
      <c r="G111">
        <v>1591.19</v>
      </c>
      <c r="H111">
        <v>1588.65</v>
      </c>
      <c r="I111">
        <v>1585.91</v>
      </c>
      <c r="J111">
        <v>1582.99</v>
      </c>
      <c r="K111">
        <v>1579.88</v>
      </c>
      <c r="L111">
        <v>1576.57</v>
      </c>
      <c r="M111" s="12"/>
    </row>
    <row r="112" spans="1:13" x14ac:dyDescent="0.15">
      <c r="A112">
        <v>535</v>
      </c>
      <c r="B112">
        <v>1602.58</v>
      </c>
      <c r="C112">
        <v>1601.08</v>
      </c>
      <c r="D112">
        <v>1599.4</v>
      </c>
      <c r="E112">
        <v>1597.55</v>
      </c>
      <c r="F112">
        <v>1595.51</v>
      </c>
      <c r="G112">
        <v>1593.29</v>
      </c>
      <c r="H112">
        <v>1590.88</v>
      </c>
      <c r="I112">
        <v>1588.28</v>
      </c>
      <c r="J112">
        <v>1585.48</v>
      </c>
      <c r="K112">
        <v>1582.5</v>
      </c>
      <c r="L112">
        <v>1579.33</v>
      </c>
      <c r="M112" s="12"/>
    </row>
    <row r="113" spans="1:13" x14ac:dyDescent="0.15">
      <c r="A113">
        <v>540</v>
      </c>
      <c r="B113">
        <v>1603.92</v>
      </c>
      <c r="C113">
        <v>1602.55</v>
      </c>
      <c r="D113">
        <v>1601</v>
      </c>
      <c r="E113">
        <v>1599.28</v>
      </c>
      <c r="F113">
        <v>1597.36</v>
      </c>
      <c r="G113">
        <v>1595.27</v>
      </c>
      <c r="H113">
        <v>1592.99</v>
      </c>
      <c r="I113">
        <v>1590.52</v>
      </c>
      <c r="J113">
        <v>1587.86</v>
      </c>
      <c r="K113">
        <v>1585</v>
      </c>
      <c r="L113">
        <v>1581.96</v>
      </c>
      <c r="M113" s="12"/>
    </row>
    <row r="114" spans="1:13" x14ac:dyDescent="0.15">
      <c r="A114">
        <v>545</v>
      </c>
      <c r="B114">
        <v>1605.15</v>
      </c>
      <c r="C114">
        <v>1603.91</v>
      </c>
      <c r="D114">
        <v>1602.48</v>
      </c>
      <c r="E114">
        <v>1600.88</v>
      </c>
      <c r="F114">
        <v>1599.09</v>
      </c>
      <c r="G114">
        <v>1597.13</v>
      </c>
      <c r="H114">
        <v>1594.98</v>
      </c>
      <c r="I114">
        <v>1592.64</v>
      </c>
      <c r="J114">
        <v>1590.11</v>
      </c>
      <c r="K114">
        <v>1587.39</v>
      </c>
      <c r="L114">
        <v>1584.48</v>
      </c>
      <c r="M114" s="12"/>
    </row>
    <row r="115" spans="1:13" x14ac:dyDescent="0.15">
      <c r="A115">
        <v>550</v>
      </c>
      <c r="B115">
        <v>1606.26</v>
      </c>
      <c r="C115">
        <v>1605.14</v>
      </c>
      <c r="D115">
        <v>1603.84</v>
      </c>
      <c r="E115">
        <v>1602.37</v>
      </c>
      <c r="F115">
        <v>1600.71</v>
      </c>
      <c r="G115">
        <v>1598.87</v>
      </c>
      <c r="H115">
        <v>1596.85</v>
      </c>
      <c r="I115">
        <v>1594.64</v>
      </c>
      <c r="J115">
        <v>1592.24</v>
      </c>
      <c r="K115">
        <v>1589.65</v>
      </c>
      <c r="L115">
        <v>1586.87</v>
      </c>
      <c r="M115" s="12"/>
    </row>
    <row r="116" spans="1:13" x14ac:dyDescent="0.15">
      <c r="A116">
        <v>555</v>
      </c>
      <c r="B116">
        <v>1607.25</v>
      </c>
      <c r="C116">
        <v>1606.26</v>
      </c>
      <c r="D116">
        <v>1605.09</v>
      </c>
      <c r="E116">
        <v>1603.73</v>
      </c>
      <c r="F116">
        <v>1602.2</v>
      </c>
      <c r="G116">
        <v>1600.49</v>
      </c>
      <c r="H116">
        <v>1598.6</v>
      </c>
      <c r="I116">
        <v>1596.52</v>
      </c>
      <c r="J116">
        <v>1594.25</v>
      </c>
      <c r="K116">
        <v>1591.79</v>
      </c>
      <c r="L116">
        <v>1589.14</v>
      </c>
      <c r="M116" s="12"/>
    </row>
    <row r="117" spans="1:13" x14ac:dyDescent="0.15">
      <c r="A117">
        <v>560</v>
      </c>
      <c r="B117">
        <v>1608.12</v>
      </c>
      <c r="C117">
        <v>1607.26</v>
      </c>
      <c r="D117">
        <v>1606.21</v>
      </c>
      <c r="E117">
        <v>1604.98</v>
      </c>
      <c r="F117">
        <v>1603.58</v>
      </c>
      <c r="G117">
        <v>1601.99</v>
      </c>
      <c r="H117">
        <v>1600.22</v>
      </c>
      <c r="I117">
        <v>1598.27</v>
      </c>
      <c r="J117">
        <v>1596.14</v>
      </c>
      <c r="K117">
        <v>1593.81</v>
      </c>
      <c r="L117">
        <v>1591.29</v>
      </c>
      <c r="M117" s="12"/>
    </row>
    <row r="118" spans="1:13" x14ac:dyDescent="0.15">
      <c r="A118">
        <v>565</v>
      </c>
      <c r="B118">
        <v>1608.88</v>
      </c>
      <c r="C118">
        <v>1608.14</v>
      </c>
      <c r="D118">
        <v>1607.22</v>
      </c>
      <c r="E118">
        <v>1606.11</v>
      </c>
      <c r="F118">
        <v>1604.84</v>
      </c>
      <c r="G118">
        <v>1603.38</v>
      </c>
      <c r="H118">
        <v>1601.73</v>
      </c>
      <c r="I118">
        <v>1599.91</v>
      </c>
      <c r="J118">
        <v>1597.9</v>
      </c>
      <c r="K118">
        <v>1595.71</v>
      </c>
      <c r="L118">
        <v>1593.32</v>
      </c>
      <c r="M118" s="12"/>
    </row>
    <row r="119" spans="1:13" x14ac:dyDescent="0.15">
      <c r="A119">
        <v>570</v>
      </c>
      <c r="B119">
        <v>1609.51</v>
      </c>
      <c r="C119">
        <v>1608.9</v>
      </c>
      <c r="D119">
        <v>1608.1</v>
      </c>
      <c r="E119">
        <v>1607.12</v>
      </c>
      <c r="F119">
        <v>1605.98</v>
      </c>
      <c r="G119">
        <v>1604.64</v>
      </c>
      <c r="H119">
        <v>1603.13</v>
      </c>
      <c r="I119">
        <v>1601.43</v>
      </c>
      <c r="J119">
        <v>1599.55</v>
      </c>
      <c r="K119">
        <v>1597.49</v>
      </c>
      <c r="L119">
        <v>1595.23</v>
      </c>
      <c r="M119" s="12"/>
    </row>
    <row r="120" spans="1:13" x14ac:dyDescent="0.15">
      <c r="A120">
        <v>575</v>
      </c>
      <c r="B120">
        <v>1610.03</v>
      </c>
      <c r="C120">
        <v>1609.54</v>
      </c>
      <c r="D120">
        <v>1608.87</v>
      </c>
      <c r="E120">
        <v>1608.02</v>
      </c>
      <c r="F120">
        <v>1607</v>
      </c>
      <c r="G120">
        <v>1605.79</v>
      </c>
      <c r="H120">
        <v>1604.4</v>
      </c>
      <c r="I120">
        <v>1602.83</v>
      </c>
      <c r="J120">
        <v>1601.08</v>
      </c>
      <c r="K120">
        <v>1599.14</v>
      </c>
      <c r="L120">
        <v>1597.02</v>
      </c>
      <c r="M120" s="12"/>
    </row>
    <row r="121" spans="1:13" x14ac:dyDescent="0.15">
      <c r="A121">
        <v>580</v>
      </c>
      <c r="B121">
        <v>1610.42</v>
      </c>
      <c r="C121">
        <v>1610.06</v>
      </c>
      <c r="D121">
        <v>1609.52</v>
      </c>
      <c r="E121">
        <v>1608.8</v>
      </c>
      <c r="F121">
        <v>1607.9</v>
      </c>
      <c r="G121">
        <v>1606.82</v>
      </c>
      <c r="H121">
        <v>1605.55</v>
      </c>
      <c r="I121">
        <v>1604.11</v>
      </c>
      <c r="J121">
        <v>1602.48</v>
      </c>
      <c r="K121">
        <v>1600.68</v>
      </c>
      <c r="L121">
        <v>1598.68</v>
      </c>
      <c r="M121" s="12"/>
    </row>
    <row r="122" spans="1:13" x14ac:dyDescent="0.15">
      <c r="A122">
        <v>585</v>
      </c>
      <c r="B122">
        <v>1610.7</v>
      </c>
      <c r="C122">
        <v>1610.47</v>
      </c>
      <c r="D122">
        <v>1610.05</v>
      </c>
      <c r="E122">
        <v>1609.45</v>
      </c>
      <c r="F122">
        <v>1608.68</v>
      </c>
      <c r="G122">
        <v>1607.72</v>
      </c>
      <c r="H122">
        <v>1606.59</v>
      </c>
      <c r="I122">
        <v>1605.27</v>
      </c>
      <c r="J122">
        <v>1603.77</v>
      </c>
      <c r="K122">
        <v>1602.09</v>
      </c>
      <c r="L122">
        <v>1600.23</v>
      </c>
      <c r="M122" s="12"/>
    </row>
    <row r="123" spans="1:13" x14ac:dyDescent="0.15">
      <c r="A123">
        <v>590</v>
      </c>
      <c r="B123">
        <v>1610.89</v>
      </c>
      <c r="C123">
        <v>1610.75</v>
      </c>
      <c r="D123">
        <v>1610.46</v>
      </c>
      <c r="E123">
        <v>1609.99</v>
      </c>
      <c r="F123">
        <v>1609.34</v>
      </c>
      <c r="G123">
        <v>1608.51</v>
      </c>
      <c r="H123">
        <v>1607.5</v>
      </c>
      <c r="I123">
        <v>1606.31</v>
      </c>
      <c r="J123">
        <v>1604.94</v>
      </c>
      <c r="K123">
        <v>1603.39</v>
      </c>
      <c r="L123">
        <v>1601.66</v>
      </c>
      <c r="M123" s="12"/>
    </row>
    <row r="124" spans="1:13" x14ac:dyDescent="0.15">
      <c r="A124">
        <v>595</v>
      </c>
      <c r="B124">
        <v>1611.02</v>
      </c>
      <c r="C124">
        <v>1610.92</v>
      </c>
      <c r="D124">
        <v>1610.76</v>
      </c>
      <c r="E124">
        <v>1610.41</v>
      </c>
      <c r="F124">
        <v>1609.89</v>
      </c>
      <c r="G124">
        <v>1609.18</v>
      </c>
      <c r="H124">
        <v>1608.3</v>
      </c>
      <c r="I124">
        <v>1607.24</v>
      </c>
      <c r="J124">
        <v>1605.99</v>
      </c>
      <c r="K124">
        <v>1604.57</v>
      </c>
      <c r="L124">
        <v>1602.96</v>
      </c>
      <c r="M124" s="12"/>
    </row>
    <row r="125" spans="1:13" x14ac:dyDescent="0.15">
      <c r="A125">
        <v>600</v>
      </c>
      <c r="B125">
        <v>1611.11</v>
      </c>
      <c r="C125">
        <v>1611.02</v>
      </c>
      <c r="D125">
        <v>1610.93</v>
      </c>
      <c r="E125">
        <v>1610.71</v>
      </c>
      <c r="F125">
        <v>1610.32</v>
      </c>
      <c r="G125">
        <v>1609.74</v>
      </c>
      <c r="H125">
        <v>1608.98</v>
      </c>
      <c r="I125">
        <v>1608.04</v>
      </c>
      <c r="J125">
        <v>1606.92</v>
      </c>
      <c r="K125">
        <v>1605.63</v>
      </c>
      <c r="L125">
        <v>1604.14</v>
      </c>
      <c r="M125" s="12"/>
    </row>
    <row r="126" spans="1:13" x14ac:dyDescent="0.15">
      <c r="A126">
        <v>605</v>
      </c>
      <c r="B126">
        <v>1611.18</v>
      </c>
      <c r="C126">
        <v>1611.1</v>
      </c>
      <c r="D126">
        <v>1611.01</v>
      </c>
      <c r="E126">
        <v>1610.9</v>
      </c>
      <c r="F126">
        <v>1610.62</v>
      </c>
      <c r="G126">
        <v>1610.18</v>
      </c>
      <c r="H126">
        <v>1609.54</v>
      </c>
      <c r="I126">
        <v>1608.73</v>
      </c>
      <c r="J126">
        <v>1607.74</v>
      </c>
      <c r="K126">
        <v>1606.56</v>
      </c>
      <c r="L126">
        <v>1605.21</v>
      </c>
      <c r="M126" s="12"/>
    </row>
    <row r="127" spans="1:13" x14ac:dyDescent="0.15">
      <c r="A127">
        <v>610</v>
      </c>
      <c r="B127">
        <v>1611.26</v>
      </c>
      <c r="C127">
        <v>1611.17</v>
      </c>
      <c r="D127">
        <v>1611.09</v>
      </c>
      <c r="E127">
        <v>1611</v>
      </c>
      <c r="F127">
        <v>1610.84</v>
      </c>
      <c r="G127">
        <v>1610.5</v>
      </c>
      <c r="H127">
        <v>1610</v>
      </c>
      <c r="I127">
        <v>1609.3</v>
      </c>
      <c r="J127">
        <v>1608.44</v>
      </c>
      <c r="K127">
        <v>1607.39</v>
      </c>
      <c r="L127">
        <v>1606.16</v>
      </c>
      <c r="M127" s="12"/>
    </row>
    <row r="128" spans="1:13" x14ac:dyDescent="0.15">
      <c r="A128">
        <v>615</v>
      </c>
      <c r="B128">
        <v>1611.34</v>
      </c>
      <c r="C128">
        <v>1611.25</v>
      </c>
      <c r="D128">
        <v>1611.17</v>
      </c>
      <c r="E128">
        <v>1611.08</v>
      </c>
      <c r="F128">
        <v>1610.97</v>
      </c>
      <c r="G128">
        <v>1610.75</v>
      </c>
      <c r="H128">
        <v>1610.35</v>
      </c>
      <c r="I128">
        <v>1609.78</v>
      </c>
      <c r="J128">
        <v>1609.04</v>
      </c>
      <c r="K128">
        <v>1608.11</v>
      </c>
      <c r="L128">
        <v>1607.01</v>
      </c>
      <c r="M128" s="12"/>
    </row>
    <row r="129" spans="1:13" x14ac:dyDescent="0.15">
      <c r="A129">
        <v>620</v>
      </c>
      <c r="B129">
        <v>1611.41</v>
      </c>
      <c r="C129">
        <v>1611.33</v>
      </c>
      <c r="D129">
        <v>1611.24</v>
      </c>
      <c r="E129">
        <v>1611.16</v>
      </c>
      <c r="F129">
        <v>1611.07</v>
      </c>
      <c r="G129">
        <v>1610.92</v>
      </c>
      <c r="H129">
        <v>1610.63</v>
      </c>
      <c r="I129">
        <v>1610.17</v>
      </c>
      <c r="J129">
        <v>1609.54</v>
      </c>
      <c r="K129">
        <v>1608.74</v>
      </c>
      <c r="L129">
        <v>1607.76</v>
      </c>
      <c r="M129" s="12"/>
    </row>
    <row r="130" spans="1:13" x14ac:dyDescent="0.15">
      <c r="A130">
        <v>625</v>
      </c>
      <c r="B130">
        <v>1611.49</v>
      </c>
      <c r="C130">
        <v>1611.4</v>
      </c>
      <c r="D130">
        <v>1611.32</v>
      </c>
      <c r="E130">
        <v>1611.23</v>
      </c>
      <c r="F130">
        <v>1611.15</v>
      </c>
      <c r="G130">
        <v>1611.05</v>
      </c>
      <c r="H130">
        <v>1610.84</v>
      </c>
      <c r="I130">
        <v>1610.49</v>
      </c>
      <c r="J130">
        <v>1609.96</v>
      </c>
      <c r="K130">
        <v>1609.28</v>
      </c>
      <c r="L130">
        <v>1608.41</v>
      </c>
      <c r="M130" s="12"/>
    </row>
    <row r="131" spans="1:13" x14ac:dyDescent="0.15">
      <c r="A131">
        <v>630</v>
      </c>
      <c r="B131">
        <v>1611.57</v>
      </c>
      <c r="C131">
        <v>1611.48</v>
      </c>
      <c r="D131">
        <v>1611.39</v>
      </c>
      <c r="E131">
        <v>1611.31</v>
      </c>
      <c r="F131">
        <v>1611.22</v>
      </c>
      <c r="G131">
        <v>1611.13</v>
      </c>
      <c r="H131">
        <v>1610.99</v>
      </c>
      <c r="I131">
        <v>1610.73</v>
      </c>
      <c r="J131">
        <v>1610.32</v>
      </c>
      <c r="K131">
        <v>1609.73</v>
      </c>
      <c r="L131">
        <v>1608.98</v>
      </c>
      <c r="M131" s="12"/>
    </row>
    <row r="132" spans="1:13" x14ac:dyDescent="0.15">
      <c r="A132">
        <v>635</v>
      </c>
      <c r="B132">
        <v>1611.64</v>
      </c>
      <c r="C132">
        <v>1611.56</v>
      </c>
      <c r="D132">
        <v>1611.47</v>
      </c>
      <c r="E132">
        <v>1611.38</v>
      </c>
      <c r="F132">
        <v>1611.3</v>
      </c>
      <c r="G132">
        <v>1611.21</v>
      </c>
      <c r="H132">
        <v>1611.11</v>
      </c>
      <c r="I132">
        <v>1610.92</v>
      </c>
      <c r="J132">
        <v>1610.59</v>
      </c>
      <c r="K132">
        <v>1610.12</v>
      </c>
      <c r="L132">
        <v>1609.47</v>
      </c>
      <c r="M132" s="12"/>
    </row>
    <row r="133" spans="1:13" x14ac:dyDescent="0.15">
      <c r="A133">
        <v>640</v>
      </c>
      <c r="B133">
        <v>1611.72</v>
      </c>
      <c r="C133">
        <v>1611.63</v>
      </c>
      <c r="D133">
        <v>1611.55</v>
      </c>
      <c r="E133">
        <v>1611.46</v>
      </c>
      <c r="F133">
        <v>1611.38</v>
      </c>
      <c r="G133">
        <v>1611.29</v>
      </c>
      <c r="H133">
        <v>1611.2</v>
      </c>
      <c r="I133">
        <v>1611.06</v>
      </c>
      <c r="J133">
        <v>1610.82</v>
      </c>
      <c r="K133">
        <v>1610.43</v>
      </c>
      <c r="L133">
        <v>1609.89</v>
      </c>
      <c r="M133" s="12"/>
    </row>
    <row r="134" spans="1:13" x14ac:dyDescent="0.15">
      <c r="A134">
        <v>645</v>
      </c>
      <c r="B134">
        <v>1611.79</v>
      </c>
      <c r="C134">
        <v>1611.71</v>
      </c>
      <c r="D134">
        <v>1611.62</v>
      </c>
      <c r="E134">
        <v>1611.54</v>
      </c>
      <c r="F134">
        <v>1611.45</v>
      </c>
      <c r="G134">
        <v>1611.37</v>
      </c>
      <c r="H134">
        <v>1611.28</v>
      </c>
      <c r="I134">
        <v>1611.18</v>
      </c>
      <c r="J134">
        <v>1611</v>
      </c>
      <c r="K134">
        <v>1610.69</v>
      </c>
      <c r="L134">
        <v>1610.25</v>
      </c>
      <c r="M134" s="12"/>
    </row>
    <row r="135" spans="1:13" x14ac:dyDescent="0.15">
      <c r="A135">
        <v>650</v>
      </c>
      <c r="B135">
        <v>1611.87</v>
      </c>
      <c r="C135">
        <v>1611.78</v>
      </c>
      <c r="D135">
        <v>1611.7</v>
      </c>
      <c r="E135">
        <v>1611.61</v>
      </c>
      <c r="F135">
        <v>1611.53</v>
      </c>
      <c r="G135">
        <v>1611.44</v>
      </c>
      <c r="H135">
        <v>1611.36</v>
      </c>
      <c r="I135">
        <v>1611.27</v>
      </c>
      <c r="J135">
        <v>1611.13</v>
      </c>
      <c r="K135">
        <v>1610.9</v>
      </c>
      <c r="L135">
        <v>1610.54</v>
      </c>
      <c r="M135" s="12"/>
    </row>
    <row r="136" spans="1:13" x14ac:dyDescent="0.15">
      <c r="A136">
        <v>655</v>
      </c>
      <c r="B136">
        <v>1611.95</v>
      </c>
      <c r="C136">
        <v>1611.86</v>
      </c>
      <c r="D136">
        <v>1611.78</v>
      </c>
      <c r="E136">
        <v>1611.69</v>
      </c>
      <c r="F136">
        <v>1611.6</v>
      </c>
      <c r="G136">
        <v>1611.52</v>
      </c>
      <c r="H136">
        <v>1611.43</v>
      </c>
      <c r="I136">
        <v>1611.35</v>
      </c>
      <c r="J136">
        <v>1611.24</v>
      </c>
      <c r="K136">
        <v>1611.07</v>
      </c>
      <c r="L136">
        <v>1610.78</v>
      </c>
      <c r="M136" s="12"/>
    </row>
    <row r="137" spans="1:13" x14ac:dyDescent="0.15">
      <c r="A137">
        <v>660</v>
      </c>
      <c r="B137">
        <v>1612.02</v>
      </c>
      <c r="C137">
        <v>1611.94</v>
      </c>
      <c r="D137">
        <v>1611.85</v>
      </c>
      <c r="E137">
        <v>1611.77</v>
      </c>
      <c r="F137">
        <v>1611.68</v>
      </c>
      <c r="G137">
        <v>1611.6</v>
      </c>
      <c r="H137">
        <v>1611.51</v>
      </c>
      <c r="I137">
        <v>1611.42</v>
      </c>
      <c r="J137">
        <v>1611.33</v>
      </c>
      <c r="K137">
        <v>1611.2</v>
      </c>
      <c r="L137">
        <v>1610.98</v>
      </c>
      <c r="M137" s="12"/>
    </row>
    <row r="138" spans="1:13" x14ac:dyDescent="0.15">
      <c r="A138">
        <v>665</v>
      </c>
      <c r="B138">
        <v>1612.1</v>
      </c>
      <c r="C138">
        <v>1612.01</v>
      </c>
      <c r="D138">
        <v>1611.93</v>
      </c>
      <c r="E138">
        <v>1611.84</v>
      </c>
      <c r="F138">
        <v>1611.76</v>
      </c>
      <c r="G138">
        <v>1611.67</v>
      </c>
      <c r="H138">
        <v>1611.59</v>
      </c>
      <c r="I138">
        <v>1611.5</v>
      </c>
      <c r="J138">
        <v>1611.41</v>
      </c>
      <c r="K138">
        <v>1611.31</v>
      </c>
      <c r="L138">
        <v>1611.14</v>
      </c>
      <c r="M138" s="12"/>
    </row>
    <row r="139" spans="1:13" x14ac:dyDescent="0.15">
      <c r="A139">
        <v>670</v>
      </c>
      <c r="B139">
        <v>1612.18</v>
      </c>
      <c r="C139">
        <v>1612.09</v>
      </c>
      <c r="D139">
        <v>1612</v>
      </c>
      <c r="E139">
        <v>1611.92</v>
      </c>
      <c r="F139">
        <v>1611.83</v>
      </c>
      <c r="G139">
        <v>1611.75</v>
      </c>
      <c r="H139">
        <v>1611.66</v>
      </c>
      <c r="I139">
        <v>1611.58</v>
      </c>
      <c r="J139">
        <v>1611.49</v>
      </c>
      <c r="K139">
        <v>1611.4</v>
      </c>
      <c r="L139">
        <v>1611.27</v>
      </c>
      <c r="M139" s="12"/>
    </row>
    <row r="140" spans="1:13" x14ac:dyDescent="0.15">
      <c r="A140">
        <v>675</v>
      </c>
      <c r="B140">
        <v>1612.25</v>
      </c>
      <c r="C140">
        <v>1612.17</v>
      </c>
      <c r="D140">
        <v>1612.08</v>
      </c>
      <c r="E140">
        <v>1612</v>
      </c>
      <c r="F140">
        <v>1611.91</v>
      </c>
      <c r="G140">
        <v>1611.82</v>
      </c>
      <c r="H140">
        <v>1611.74</v>
      </c>
      <c r="I140">
        <v>1611.65</v>
      </c>
      <c r="J140">
        <v>1611.57</v>
      </c>
      <c r="K140">
        <v>1611.48</v>
      </c>
      <c r="L140">
        <v>1611.37</v>
      </c>
      <c r="M140" s="12"/>
    </row>
    <row r="141" spans="1:13" x14ac:dyDescent="0.15">
      <c r="A141">
        <v>680</v>
      </c>
      <c r="B141">
        <v>1612.33</v>
      </c>
      <c r="C141">
        <v>1612.24</v>
      </c>
      <c r="D141">
        <v>1612.16</v>
      </c>
      <c r="E141">
        <v>1612.07</v>
      </c>
      <c r="F141">
        <v>1611.99</v>
      </c>
      <c r="G141">
        <v>1611.9</v>
      </c>
      <c r="H141">
        <v>1611.81</v>
      </c>
      <c r="I141">
        <v>1611.73</v>
      </c>
      <c r="J141">
        <v>1611.64</v>
      </c>
      <c r="K141">
        <v>1611.56</v>
      </c>
      <c r="L141">
        <v>1611.47</v>
      </c>
      <c r="M141" s="12"/>
    </row>
    <row r="142" spans="1:13" x14ac:dyDescent="0.15">
      <c r="A142">
        <v>685</v>
      </c>
      <c r="B142">
        <v>1612.4</v>
      </c>
      <c r="C142">
        <v>1612.32</v>
      </c>
      <c r="D142">
        <v>1612.23</v>
      </c>
      <c r="E142">
        <v>1612.15</v>
      </c>
      <c r="F142">
        <v>1612.06</v>
      </c>
      <c r="G142">
        <v>1611.98</v>
      </c>
      <c r="H142">
        <v>1611.89</v>
      </c>
      <c r="I142">
        <v>1611.8</v>
      </c>
      <c r="J142">
        <v>1611.72</v>
      </c>
      <c r="K142">
        <v>1611.63</v>
      </c>
      <c r="L142">
        <v>1611.55</v>
      </c>
      <c r="M142" s="12"/>
    </row>
    <row r="143" spans="1:13" x14ac:dyDescent="0.15">
      <c r="A143">
        <v>690</v>
      </c>
      <c r="B143">
        <v>1612.48</v>
      </c>
      <c r="C143">
        <v>1612.4</v>
      </c>
      <c r="D143">
        <v>1612.31</v>
      </c>
      <c r="E143">
        <v>1612.22</v>
      </c>
      <c r="F143">
        <v>1612.14</v>
      </c>
      <c r="G143">
        <v>1612.05</v>
      </c>
      <c r="H143">
        <v>1611.97</v>
      </c>
      <c r="I143">
        <v>1611.88</v>
      </c>
      <c r="J143">
        <v>1611.8</v>
      </c>
      <c r="K143">
        <v>1611.71</v>
      </c>
      <c r="L143">
        <v>1611.62</v>
      </c>
      <c r="M143" s="12"/>
    </row>
    <row r="144" spans="1:13" x14ac:dyDescent="0.15">
      <c r="A144">
        <v>695</v>
      </c>
      <c r="B144">
        <v>1612.56</v>
      </c>
      <c r="C144">
        <v>1612.47</v>
      </c>
      <c r="D144">
        <v>1612.39</v>
      </c>
      <c r="E144">
        <v>1612.3</v>
      </c>
      <c r="F144">
        <v>1612.21</v>
      </c>
      <c r="G144">
        <v>1612.13</v>
      </c>
      <c r="H144">
        <v>1612.04</v>
      </c>
      <c r="I144">
        <v>1611.96</v>
      </c>
      <c r="J144">
        <v>1611.87</v>
      </c>
      <c r="K144">
        <v>1611.79</v>
      </c>
      <c r="L144">
        <v>1611.7</v>
      </c>
      <c r="M144" s="12"/>
    </row>
    <row r="145" spans="1:13" x14ac:dyDescent="0.15">
      <c r="A145">
        <v>700</v>
      </c>
      <c r="B145">
        <v>1612.63</v>
      </c>
      <c r="C145">
        <v>1612.55</v>
      </c>
      <c r="D145">
        <v>1612.46</v>
      </c>
      <c r="E145">
        <v>1612.38</v>
      </c>
      <c r="F145">
        <v>1612.29</v>
      </c>
      <c r="G145">
        <v>1612.21</v>
      </c>
      <c r="H145">
        <v>1612.12</v>
      </c>
      <c r="I145">
        <v>1612.03</v>
      </c>
      <c r="J145">
        <v>1611.95</v>
      </c>
      <c r="K145">
        <v>1611.86</v>
      </c>
      <c r="L145">
        <v>1611.78</v>
      </c>
      <c r="M145" s="12"/>
    </row>
    <row r="146" spans="1:13" x14ac:dyDescent="0.15">
      <c r="A146">
        <v>705</v>
      </c>
      <c r="B146">
        <v>1612.71</v>
      </c>
      <c r="C146">
        <v>1612.62</v>
      </c>
      <c r="D146">
        <v>1612.54</v>
      </c>
      <c r="E146">
        <v>1612.45</v>
      </c>
      <c r="F146">
        <v>1612.37</v>
      </c>
      <c r="G146">
        <v>1612.28</v>
      </c>
      <c r="H146">
        <v>1612.2</v>
      </c>
      <c r="I146">
        <v>1612.11</v>
      </c>
      <c r="J146">
        <v>1612.02</v>
      </c>
      <c r="K146">
        <v>1611.94</v>
      </c>
      <c r="L146">
        <v>1611.85</v>
      </c>
      <c r="M146" s="12"/>
    </row>
    <row r="147" spans="1:13" x14ac:dyDescent="0.15">
      <c r="A147">
        <v>710</v>
      </c>
      <c r="B147">
        <v>1612.79</v>
      </c>
      <c r="C147">
        <v>1612.7</v>
      </c>
      <c r="D147">
        <v>1612.61</v>
      </c>
      <c r="E147">
        <v>1612.53</v>
      </c>
      <c r="F147">
        <v>1612.44</v>
      </c>
      <c r="G147">
        <v>1612.36</v>
      </c>
      <c r="H147">
        <v>1612.27</v>
      </c>
      <c r="I147">
        <v>1612.19</v>
      </c>
      <c r="J147">
        <v>1612.1</v>
      </c>
      <c r="K147">
        <v>1612.01</v>
      </c>
      <c r="L147">
        <v>1611.93</v>
      </c>
      <c r="M147" s="12"/>
    </row>
    <row r="148" spans="1:13" x14ac:dyDescent="0.15">
      <c r="A148">
        <v>715</v>
      </c>
      <c r="B148">
        <v>1612.86</v>
      </c>
      <c r="C148">
        <v>1612.78</v>
      </c>
      <c r="D148">
        <v>1612.69</v>
      </c>
      <c r="E148">
        <v>1612.61</v>
      </c>
      <c r="F148">
        <v>1612.52</v>
      </c>
      <c r="G148">
        <v>1612.43</v>
      </c>
      <c r="H148">
        <v>1612.35</v>
      </c>
      <c r="I148">
        <v>1612.26</v>
      </c>
      <c r="J148">
        <v>1612.18</v>
      </c>
      <c r="K148">
        <v>1612.09</v>
      </c>
      <c r="L148">
        <v>1612.01</v>
      </c>
      <c r="M148" s="12"/>
    </row>
    <row r="149" spans="1:13" x14ac:dyDescent="0.15">
      <c r="A149">
        <v>720</v>
      </c>
      <c r="B149">
        <v>1612.94</v>
      </c>
      <c r="C149">
        <v>1612.85</v>
      </c>
      <c r="D149">
        <v>1612.77</v>
      </c>
      <c r="E149">
        <v>1612.68</v>
      </c>
      <c r="F149">
        <v>1612.6</v>
      </c>
      <c r="G149">
        <v>1612.51</v>
      </c>
      <c r="H149">
        <v>1612.43</v>
      </c>
      <c r="I149">
        <v>1612.34</v>
      </c>
      <c r="J149">
        <v>1612.25</v>
      </c>
      <c r="K149">
        <v>1612.17</v>
      </c>
      <c r="L149">
        <v>1612.08</v>
      </c>
      <c r="M149" s="12"/>
    </row>
    <row r="150" spans="1:13" x14ac:dyDescent="0.15">
      <c r="A150">
        <v>725</v>
      </c>
      <c r="B150">
        <v>1613.01</v>
      </c>
      <c r="C150">
        <v>1612.93</v>
      </c>
      <c r="D150">
        <v>1612.84</v>
      </c>
      <c r="E150">
        <v>1612.76</v>
      </c>
      <c r="F150">
        <v>1612.67</v>
      </c>
      <c r="G150">
        <v>1612.59</v>
      </c>
      <c r="H150">
        <v>1612.5</v>
      </c>
      <c r="I150">
        <v>1612.42</v>
      </c>
      <c r="J150">
        <v>1612.33</v>
      </c>
      <c r="K150">
        <v>1612.24</v>
      </c>
      <c r="L150">
        <v>1612.16</v>
      </c>
      <c r="M150" s="12"/>
    </row>
    <row r="151" spans="1:13" x14ac:dyDescent="0.15">
      <c r="A151">
        <v>730</v>
      </c>
      <c r="B151">
        <v>1613.09</v>
      </c>
      <c r="C151">
        <v>1613.01</v>
      </c>
      <c r="D151">
        <v>1612.92</v>
      </c>
      <c r="E151">
        <v>1612.83</v>
      </c>
      <c r="F151">
        <v>1612.75</v>
      </c>
      <c r="G151">
        <v>1612.66</v>
      </c>
      <c r="H151">
        <v>1612.58</v>
      </c>
      <c r="I151">
        <v>1612.49</v>
      </c>
      <c r="J151">
        <v>1612.41</v>
      </c>
      <c r="K151">
        <v>1612.32</v>
      </c>
      <c r="L151">
        <v>1612.23</v>
      </c>
      <c r="M151" s="12"/>
    </row>
    <row r="152" spans="1:13" x14ac:dyDescent="0.15">
      <c r="A152">
        <v>735</v>
      </c>
      <c r="B152">
        <v>1613.17</v>
      </c>
      <c r="C152">
        <v>1613.08</v>
      </c>
      <c r="D152">
        <v>1613</v>
      </c>
      <c r="E152">
        <v>1612.91</v>
      </c>
      <c r="F152">
        <v>1612.83</v>
      </c>
      <c r="G152">
        <v>1612.74</v>
      </c>
      <c r="H152">
        <v>1612.65</v>
      </c>
      <c r="I152">
        <v>1612.57</v>
      </c>
      <c r="J152">
        <v>1612.48</v>
      </c>
      <c r="K152">
        <v>1612.4</v>
      </c>
      <c r="L152">
        <v>1612.31</v>
      </c>
      <c r="M152" s="12"/>
    </row>
    <row r="153" spans="1:13" x14ac:dyDescent="0.15">
      <c r="A153">
        <v>740</v>
      </c>
      <c r="B153">
        <v>1613.24</v>
      </c>
      <c r="C153">
        <v>1613.16</v>
      </c>
      <c r="D153">
        <v>1613.07</v>
      </c>
      <c r="E153">
        <v>1612.99</v>
      </c>
      <c r="F153">
        <v>1612.9</v>
      </c>
      <c r="G153">
        <v>1612.82</v>
      </c>
      <c r="H153">
        <v>1612.73</v>
      </c>
      <c r="I153">
        <v>1612.64</v>
      </c>
      <c r="J153">
        <v>1612.56</v>
      </c>
      <c r="K153">
        <v>1612.47</v>
      </c>
      <c r="L153">
        <v>1612.39</v>
      </c>
      <c r="M153" s="12"/>
    </row>
    <row r="154" spans="1:13" x14ac:dyDescent="0.15">
      <c r="A154">
        <v>745</v>
      </c>
      <c r="B154">
        <v>1613.32</v>
      </c>
      <c r="C154">
        <v>1613.23</v>
      </c>
      <c r="D154">
        <v>1613.15</v>
      </c>
      <c r="E154">
        <v>1613.06</v>
      </c>
      <c r="F154">
        <v>1612.98</v>
      </c>
      <c r="G154">
        <v>1612.89</v>
      </c>
      <c r="H154">
        <v>1612.81</v>
      </c>
      <c r="I154">
        <v>1612.72</v>
      </c>
      <c r="J154">
        <v>1612.63</v>
      </c>
      <c r="K154">
        <v>1612.55</v>
      </c>
      <c r="L154">
        <v>1612.46</v>
      </c>
      <c r="M154" s="12"/>
    </row>
    <row r="155" spans="1:13" x14ac:dyDescent="0.15">
      <c r="A155">
        <v>750</v>
      </c>
      <c r="B155">
        <v>1613.4</v>
      </c>
      <c r="C155">
        <v>1613.31</v>
      </c>
      <c r="D155">
        <v>1613.22</v>
      </c>
      <c r="E155">
        <v>1613.14</v>
      </c>
      <c r="F155">
        <v>1613.05</v>
      </c>
      <c r="G155">
        <v>1612.97</v>
      </c>
      <c r="H155">
        <v>1612.88</v>
      </c>
      <c r="I155">
        <v>1612.8</v>
      </c>
      <c r="J155">
        <v>1612.71</v>
      </c>
      <c r="K155">
        <v>1612.63</v>
      </c>
      <c r="L155">
        <v>1612.54</v>
      </c>
      <c r="M155" s="12"/>
    </row>
    <row r="156" spans="1:13" x14ac:dyDescent="0.15">
      <c r="A156">
        <v>755</v>
      </c>
      <c r="B156">
        <v>1613.47</v>
      </c>
      <c r="C156">
        <v>1613.39</v>
      </c>
      <c r="D156">
        <v>1613.3</v>
      </c>
      <c r="E156">
        <v>1613.22</v>
      </c>
      <c r="F156">
        <v>1613.13</v>
      </c>
      <c r="G156">
        <v>1613.04</v>
      </c>
      <c r="H156">
        <v>1612.96</v>
      </c>
      <c r="I156">
        <v>1612.87</v>
      </c>
      <c r="J156">
        <v>1612.79</v>
      </c>
      <c r="K156">
        <v>1612.7</v>
      </c>
      <c r="L156">
        <v>1612.62</v>
      </c>
      <c r="M156" s="12"/>
    </row>
    <row r="157" spans="1:13" x14ac:dyDescent="0.15">
      <c r="A157">
        <v>760</v>
      </c>
      <c r="B157">
        <v>1613.55</v>
      </c>
      <c r="C157">
        <v>1613.46</v>
      </c>
      <c r="D157">
        <v>1613.38</v>
      </c>
      <c r="E157">
        <v>1613.29</v>
      </c>
      <c r="F157">
        <v>1613.21</v>
      </c>
      <c r="G157">
        <v>1613.12</v>
      </c>
      <c r="H157">
        <v>1613.04</v>
      </c>
      <c r="I157">
        <v>1612.95</v>
      </c>
      <c r="J157">
        <v>1612.86</v>
      </c>
      <c r="K157">
        <v>1612.78</v>
      </c>
      <c r="L157">
        <v>1612.69</v>
      </c>
      <c r="M157" s="12"/>
    </row>
    <row r="158" spans="1:13" x14ac:dyDescent="0.15">
      <c r="A158">
        <v>765</v>
      </c>
      <c r="B158">
        <v>1613.63</v>
      </c>
      <c r="C158">
        <v>1613.54</v>
      </c>
      <c r="D158">
        <v>1613.45</v>
      </c>
      <c r="E158">
        <v>1613.37</v>
      </c>
      <c r="F158">
        <v>1613.28</v>
      </c>
      <c r="G158">
        <v>1613.2</v>
      </c>
      <c r="H158">
        <v>1613.11</v>
      </c>
      <c r="I158">
        <v>1613.03</v>
      </c>
      <c r="J158">
        <v>1612.94</v>
      </c>
      <c r="K158">
        <v>1612.85</v>
      </c>
      <c r="L158">
        <v>1612.77</v>
      </c>
      <c r="M158" s="12"/>
    </row>
    <row r="159" spans="1:13" x14ac:dyDescent="0.15">
      <c r="A159">
        <v>770</v>
      </c>
      <c r="B159">
        <v>1613.7</v>
      </c>
      <c r="C159">
        <v>1613.62</v>
      </c>
      <c r="D159">
        <v>1613.53</v>
      </c>
      <c r="E159">
        <v>1613.44</v>
      </c>
      <c r="F159">
        <v>1613.36</v>
      </c>
      <c r="G159">
        <v>1613.27</v>
      </c>
      <c r="H159">
        <v>1613.19</v>
      </c>
      <c r="I159">
        <v>1613.1</v>
      </c>
      <c r="J159">
        <v>1613.02</v>
      </c>
      <c r="K159">
        <v>1612.93</v>
      </c>
      <c r="L159">
        <v>1612.84</v>
      </c>
      <c r="M159" s="12"/>
    </row>
    <row r="160" spans="1:13" x14ac:dyDescent="0.15">
      <c r="A160">
        <v>775</v>
      </c>
      <c r="B160">
        <v>1613.78</v>
      </c>
      <c r="C160">
        <v>1613.69</v>
      </c>
      <c r="D160">
        <v>1613.61</v>
      </c>
      <c r="E160">
        <v>1613.52</v>
      </c>
      <c r="F160">
        <v>1613.44</v>
      </c>
      <c r="G160">
        <v>1613.35</v>
      </c>
      <c r="H160">
        <v>1613.26</v>
      </c>
      <c r="I160">
        <v>1613.18</v>
      </c>
      <c r="J160">
        <v>1613.09</v>
      </c>
      <c r="K160">
        <v>1613.01</v>
      </c>
      <c r="L160">
        <v>1612.92</v>
      </c>
      <c r="M160" s="12"/>
    </row>
    <row r="161" spans="1:13" x14ac:dyDescent="0.15">
      <c r="A161">
        <v>780</v>
      </c>
      <c r="B161">
        <v>1613.85</v>
      </c>
      <c r="C161">
        <v>1613.77</v>
      </c>
      <c r="D161">
        <v>1613.68</v>
      </c>
      <c r="E161">
        <v>1613.6</v>
      </c>
      <c r="F161">
        <v>1613.51</v>
      </c>
      <c r="G161">
        <v>1613.43</v>
      </c>
      <c r="H161">
        <v>1613.34</v>
      </c>
      <c r="I161">
        <v>1613.25</v>
      </c>
      <c r="J161">
        <v>1613.17</v>
      </c>
      <c r="K161">
        <v>1613.08</v>
      </c>
      <c r="L161">
        <v>1613</v>
      </c>
      <c r="M161" s="12"/>
    </row>
    <row r="162" spans="1:13" x14ac:dyDescent="0.15">
      <c r="A162">
        <v>785</v>
      </c>
      <c r="B162">
        <v>1613.93</v>
      </c>
      <c r="C162">
        <v>1613.84</v>
      </c>
      <c r="D162">
        <v>1613.76</v>
      </c>
      <c r="E162">
        <v>1613.67</v>
      </c>
      <c r="F162">
        <v>1613.59</v>
      </c>
      <c r="G162">
        <v>1613.5</v>
      </c>
      <c r="H162">
        <v>1613.42</v>
      </c>
      <c r="I162">
        <v>1613.33</v>
      </c>
      <c r="J162">
        <v>1613.24</v>
      </c>
      <c r="K162">
        <v>1613.16</v>
      </c>
      <c r="L162">
        <v>1613.07</v>
      </c>
      <c r="M162" s="12"/>
    </row>
    <row r="163" spans="1:13" x14ac:dyDescent="0.15">
      <c r="A163">
        <v>790</v>
      </c>
      <c r="B163">
        <v>1614.01</v>
      </c>
      <c r="C163">
        <v>1613.92</v>
      </c>
      <c r="D163">
        <v>1613.84</v>
      </c>
      <c r="E163">
        <v>1613.75</v>
      </c>
      <c r="F163">
        <v>1613.66</v>
      </c>
      <c r="G163">
        <v>1613.58</v>
      </c>
      <c r="H163">
        <v>1613.49</v>
      </c>
      <c r="I163">
        <v>1613.41</v>
      </c>
      <c r="J163">
        <v>1613.32</v>
      </c>
      <c r="K163">
        <v>1613.24</v>
      </c>
      <c r="L163">
        <v>1613.15</v>
      </c>
      <c r="M163" s="12"/>
    </row>
    <row r="164" spans="1:13" x14ac:dyDescent="0.15">
      <c r="A164">
        <v>795</v>
      </c>
      <c r="B164">
        <v>1614.08</v>
      </c>
      <c r="C164">
        <v>1614</v>
      </c>
      <c r="D164">
        <v>1613.91</v>
      </c>
      <c r="E164">
        <v>1613.83</v>
      </c>
      <c r="F164">
        <v>1613.74</v>
      </c>
      <c r="G164">
        <v>1613.65</v>
      </c>
      <c r="H164">
        <v>1613.57</v>
      </c>
      <c r="I164">
        <v>1613.48</v>
      </c>
      <c r="J164">
        <v>1613.4</v>
      </c>
      <c r="K164">
        <v>1613.31</v>
      </c>
      <c r="L164">
        <v>1613.23</v>
      </c>
      <c r="M164" s="12"/>
    </row>
    <row r="165" spans="1:13" x14ac:dyDescent="0.15">
      <c r="A165">
        <v>800</v>
      </c>
      <c r="B165">
        <v>1614.16</v>
      </c>
      <c r="C165">
        <v>1614.07</v>
      </c>
      <c r="D165">
        <v>1613.99</v>
      </c>
      <c r="E165">
        <v>1613.9</v>
      </c>
      <c r="F165">
        <v>1613.82</v>
      </c>
      <c r="G165">
        <v>1613.73</v>
      </c>
      <c r="H165">
        <v>1613.65</v>
      </c>
      <c r="I165">
        <v>1613.56</v>
      </c>
      <c r="J165">
        <v>1613.47</v>
      </c>
      <c r="K165">
        <v>1613.39</v>
      </c>
      <c r="L165">
        <v>1613.3</v>
      </c>
      <c r="M165" s="12"/>
    </row>
    <row r="166" spans="1:13" x14ac:dyDescent="0.15">
      <c r="A166">
        <v>805</v>
      </c>
      <c r="B166">
        <v>1614.24</v>
      </c>
      <c r="C166">
        <v>1614.15</v>
      </c>
      <c r="D166">
        <v>1614.06</v>
      </c>
      <c r="E166">
        <v>1613.98</v>
      </c>
      <c r="F166">
        <v>1613.89</v>
      </c>
      <c r="G166">
        <v>1613.81</v>
      </c>
      <c r="H166">
        <v>1613.72</v>
      </c>
      <c r="I166">
        <v>1613.64</v>
      </c>
      <c r="J166">
        <v>1613.55</v>
      </c>
      <c r="K166">
        <v>1613.46</v>
      </c>
      <c r="L166">
        <v>1613.38</v>
      </c>
      <c r="M166" s="12"/>
    </row>
    <row r="167" spans="1:13" x14ac:dyDescent="0.15">
      <c r="A167">
        <v>810</v>
      </c>
      <c r="B167">
        <v>1614.31</v>
      </c>
      <c r="C167">
        <v>1614.23</v>
      </c>
      <c r="D167">
        <v>1614.14</v>
      </c>
      <c r="E167">
        <v>1614.06</v>
      </c>
      <c r="F167">
        <v>1613.97</v>
      </c>
      <c r="G167">
        <v>1613.88</v>
      </c>
      <c r="H167">
        <v>1613.8</v>
      </c>
      <c r="I167">
        <v>1613.71</v>
      </c>
      <c r="J167">
        <v>1613.63</v>
      </c>
      <c r="K167">
        <v>1613.54</v>
      </c>
      <c r="L167">
        <v>1613.46</v>
      </c>
      <c r="M167" s="12"/>
    </row>
    <row r="168" spans="1:13" x14ac:dyDescent="0.15">
      <c r="A168">
        <v>815</v>
      </c>
      <c r="B168">
        <v>1614.39</v>
      </c>
      <c r="C168">
        <v>1614.3</v>
      </c>
      <c r="D168">
        <v>1614.22</v>
      </c>
      <c r="E168">
        <v>1614.13</v>
      </c>
      <c r="F168">
        <v>1614.05</v>
      </c>
      <c r="G168">
        <v>1613.96</v>
      </c>
      <c r="H168">
        <v>1613.87</v>
      </c>
      <c r="I168">
        <v>1613.79</v>
      </c>
      <c r="J168">
        <v>1613.7</v>
      </c>
      <c r="K168">
        <v>1613.62</v>
      </c>
      <c r="L168">
        <v>1613.53</v>
      </c>
      <c r="M168" s="12"/>
    </row>
    <row r="169" spans="1:13" x14ac:dyDescent="0.15">
      <c r="A169">
        <v>820</v>
      </c>
      <c r="B169">
        <v>1614.46</v>
      </c>
      <c r="C169">
        <v>1614.38</v>
      </c>
      <c r="D169">
        <v>1614.29</v>
      </c>
      <c r="E169">
        <v>1614.21</v>
      </c>
      <c r="F169">
        <v>1614.12</v>
      </c>
      <c r="G169">
        <v>1614.04</v>
      </c>
      <c r="H169">
        <v>1613.95</v>
      </c>
      <c r="I169">
        <v>1613.86</v>
      </c>
      <c r="J169">
        <v>1613.78</v>
      </c>
      <c r="K169">
        <v>1613.69</v>
      </c>
      <c r="L169">
        <v>1613.61</v>
      </c>
      <c r="M169" s="12"/>
    </row>
    <row r="170" spans="1:13" x14ac:dyDescent="0.15">
      <c r="A170">
        <v>825</v>
      </c>
      <c r="B170">
        <v>1614.54</v>
      </c>
      <c r="C170">
        <v>1614.45</v>
      </c>
      <c r="D170">
        <v>1614.37</v>
      </c>
      <c r="E170">
        <v>1614.28</v>
      </c>
      <c r="F170">
        <v>1614.2</v>
      </c>
      <c r="G170">
        <v>1614.11</v>
      </c>
      <c r="H170">
        <v>1614.03</v>
      </c>
      <c r="I170">
        <v>1613.94</v>
      </c>
      <c r="J170">
        <v>1613.86</v>
      </c>
      <c r="K170">
        <v>1613.77</v>
      </c>
      <c r="L170">
        <v>1613.68</v>
      </c>
      <c r="M170" s="12"/>
    </row>
    <row r="171" spans="1:13" x14ac:dyDescent="0.15">
      <c r="A171">
        <v>830</v>
      </c>
      <c r="B171">
        <v>1614.62</v>
      </c>
      <c r="C171">
        <v>1614.53</v>
      </c>
      <c r="D171">
        <v>1614.45</v>
      </c>
      <c r="E171">
        <v>1614.36</v>
      </c>
      <c r="F171">
        <v>1614.27</v>
      </c>
      <c r="G171">
        <v>1614.19</v>
      </c>
      <c r="H171">
        <v>1614.1</v>
      </c>
      <c r="I171">
        <v>1614.02</v>
      </c>
      <c r="J171">
        <v>1613.93</v>
      </c>
      <c r="K171">
        <v>1613.85</v>
      </c>
      <c r="L171">
        <v>1613.76</v>
      </c>
      <c r="M171" s="12"/>
    </row>
    <row r="172" spans="1:13" x14ac:dyDescent="0.15">
      <c r="A172">
        <v>835</v>
      </c>
      <c r="B172">
        <v>1614.69</v>
      </c>
      <c r="C172">
        <v>1614.61</v>
      </c>
      <c r="D172">
        <v>1614.52</v>
      </c>
      <c r="E172">
        <v>1614.44</v>
      </c>
      <c r="F172">
        <v>1614.35</v>
      </c>
      <c r="G172">
        <v>1614.27</v>
      </c>
      <c r="H172">
        <v>1614.18</v>
      </c>
      <c r="I172">
        <v>1614.09</v>
      </c>
      <c r="J172">
        <v>1614.01</v>
      </c>
      <c r="K172">
        <v>1613.92</v>
      </c>
      <c r="L172">
        <v>1613.84</v>
      </c>
      <c r="M172" s="12"/>
    </row>
    <row r="173" spans="1:13" x14ac:dyDescent="0.15">
      <c r="A173">
        <v>840</v>
      </c>
      <c r="B173">
        <v>1614.77</v>
      </c>
      <c r="C173">
        <v>1614.68</v>
      </c>
      <c r="D173">
        <v>1614.6</v>
      </c>
      <c r="E173">
        <v>1614.51</v>
      </c>
      <c r="F173">
        <v>1614.43</v>
      </c>
      <c r="G173">
        <v>1614.34</v>
      </c>
      <c r="H173">
        <v>1614.26</v>
      </c>
      <c r="I173">
        <v>1614.17</v>
      </c>
      <c r="J173">
        <v>1614.08</v>
      </c>
      <c r="K173">
        <v>1614</v>
      </c>
      <c r="L173">
        <v>1613.91</v>
      </c>
      <c r="M173" s="12"/>
    </row>
    <row r="174" spans="1:13" x14ac:dyDescent="0.15">
      <c r="A174">
        <v>845</v>
      </c>
      <c r="B174">
        <v>1614.85</v>
      </c>
      <c r="C174">
        <v>1614.76</v>
      </c>
      <c r="D174">
        <v>1614.67</v>
      </c>
      <c r="E174">
        <v>1614.59</v>
      </c>
      <c r="F174">
        <v>1614.5</v>
      </c>
      <c r="G174">
        <v>1614.42</v>
      </c>
      <c r="H174">
        <v>1614.33</v>
      </c>
      <c r="I174">
        <v>1614.25</v>
      </c>
      <c r="J174">
        <v>1614.16</v>
      </c>
      <c r="K174">
        <v>1614.07</v>
      </c>
      <c r="L174">
        <v>1613.99</v>
      </c>
      <c r="M174" s="12"/>
    </row>
    <row r="175" spans="1:13" x14ac:dyDescent="0.15">
      <c r="A175">
        <v>850</v>
      </c>
      <c r="B175">
        <v>1614.92</v>
      </c>
      <c r="C175">
        <v>1614.84</v>
      </c>
      <c r="D175">
        <v>1614.75</v>
      </c>
      <c r="E175">
        <v>1614.67</v>
      </c>
      <c r="F175">
        <v>1614.58</v>
      </c>
      <c r="G175">
        <v>1614.49</v>
      </c>
      <c r="H175">
        <v>1614.41</v>
      </c>
      <c r="I175">
        <v>1614.32</v>
      </c>
      <c r="J175">
        <v>1614.24</v>
      </c>
      <c r="K175">
        <v>1614.15</v>
      </c>
      <c r="L175">
        <v>1614.07</v>
      </c>
      <c r="M175" s="12"/>
    </row>
    <row r="176" spans="1:13" x14ac:dyDescent="0.15">
      <c r="A176">
        <v>855</v>
      </c>
      <c r="B176">
        <v>1615</v>
      </c>
      <c r="C176">
        <v>1614.91</v>
      </c>
      <c r="D176">
        <v>1614.83</v>
      </c>
      <c r="E176">
        <v>1614.74</v>
      </c>
      <c r="F176">
        <v>1614.66</v>
      </c>
      <c r="G176">
        <v>1614.57</v>
      </c>
      <c r="H176">
        <v>1614.48</v>
      </c>
      <c r="I176">
        <v>1614.4</v>
      </c>
      <c r="J176">
        <v>1614.31</v>
      </c>
      <c r="K176">
        <v>1614.23</v>
      </c>
      <c r="L176">
        <v>1614.14</v>
      </c>
      <c r="M176" s="12"/>
    </row>
    <row r="177" spans="1:13" x14ac:dyDescent="0.15">
      <c r="A177">
        <v>860</v>
      </c>
      <c r="B177">
        <v>1615.07</v>
      </c>
      <c r="C177">
        <v>1614.99</v>
      </c>
      <c r="D177">
        <v>1614.9</v>
      </c>
      <c r="E177">
        <v>1614.82</v>
      </c>
      <c r="F177">
        <v>1614.73</v>
      </c>
      <c r="G177">
        <v>1614.65</v>
      </c>
      <c r="H177">
        <v>1614.56</v>
      </c>
      <c r="I177">
        <v>1614.47</v>
      </c>
      <c r="J177">
        <v>1614.39</v>
      </c>
      <c r="K177">
        <v>1614.3</v>
      </c>
      <c r="L177">
        <v>1614.22</v>
      </c>
      <c r="M177" s="12"/>
    </row>
    <row r="178" spans="1:13" x14ac:dyDescent="0.15">
      <c r="A178">
        <v>865</v>
      </c>
      <c r="B178">
        <v>1615.15</v>
      </c>
      <c r="C178">
        <v>1615.07</v>
      </c>
      <c r="D178">
        <v>1614.98</v>
      </c>
      <c r="E178">
        <v>1614.89</v>
      </c>
      <c r="F178">
        <v>1614.81</v>
      </c>
      <c r="G178">
        <v>1614.72</v>
      </c>
      <c r="H178">
        <v>1614.64</v>
      </c>
      <c r="I178">
        <v>1614.55</v>
      </c>
      <c r="J178">
        <v>1614.47</v>
      </c>
      <c r="K178">
        <v>1614.38</v>
      </c>
      <c r="L178">
        <v>1614.29</v>
      </c>
      <c r="M178" s="12"/>
    </row>
    <row r="179" spans="1:13" x14ac:dyDescent="0.15">
      <c r="A179">
        <v>870</v>
      </c>
      <c r="B179">
        <v>1615.23</v>
      </c>
      <c r="C179">
        <v>1615.14</v>
      </c>
      <c r="D179">
        <v>1615.06</v>
      </c>
      <c r="E179">
        <v>1614.97</v>
      </c>
      <c r="F179">
        <v>1614.88</v>
      </c>
      <c r="G179">
        <v>1614.8</v>
      </c>
      <c r="H179">
        <v>1614.71</v>
      </c>
      <c r="I179">
        <v>1614.63</v>
      </c>
      <c r="J179">
        <v>1614.54</v>
      </c>
      <c r="K179">
        <v>1614.46</v>
      </c>
      <c r="L179">
        <v>1614.37</v>
      </c>
      <c r="M179" s="12"/>
    </row>
    <row r="180" spans="1:13" x14ac:dyDescent="0.15">
      <c r="A180">
        <v>875</v>
      </c>
      <c r="B180">
        <v>1615.3</v>
      </c>
      <c r="C180">
        <v>1615.22</v>
      </c>
      <c r="D180">
        <v>1615.13</v>
      </c>
      <c r="E180">
        <v>1615.05</v>
      </c>
      <c r="F180">
        <v>1614.96</v>
      </c>
      <c r="G180">
        <v>1614.88</v>
      </c>
      <c r="H180">
        <v>1614.79</v>
      </c>
      <c r="I180">
        <v>1614.7</v>
      </c>
      <c r="J180">
        <v>1614.62</v>
      </c>
      <c r="K180">
        <v>1614.53</v>
      </c>
      <c r="L180">
        <v>1614.45</v>
      </c>
      <c r="M180" s="12"/>
    </row>
    <row r="181" spans="1:13" x14ac:dyDescent="0.15">
      <c r="A181">
        <v>880</v>
      </c>
      <c r="B181">
        <v>1615.38</v>
      </c>
      <c r="C181">
        <v>1615.29</v>
      </c>
      <c r="D181">
        <v>1615.21</v>
      </c>
      <c r="E181">
        <v>1615.12</v>
      </c>
      <c r="F181">
        <v>1615.04</v>
      </c>
      <c r="G181">
        <v>1614.95</v>
      </c>
      <c r="H181">
        <v>1614.87</v>
      </c>
      <c r="I181">
        <v>1614.78</v>
      </c>
      <c r="J181">
        <v>1614.69</v>
      </c>
      <c r="K181">
        <v>1614.61</v>
      </c>
      <c r="L181">
        <v>1614.52</v>
      </c>
      <c r="M181" s="12"/>
    </row>
    <row r="182" spans="1:13" x14ac:dyDescent="0.15">
      <c r="A182">
        <v>885</v>
      </c>
      <c r="B182">
        <v>1615.46</v>
      </c>
      <c r="C182">
        <v>1615.37</v>
      </c>
      <c r="D182">
        <v>1615.28</v>
      </c>
      <c r="E182">
        <v>1615.2</v>
      </c>
      <c r="F182">
        <v>1615.11</v>
      </c>
      <c r="G182">
        <v>1615.03</v>
      </c>
      <c r="H182">
        <v>1614.94</v>
      </c>
      <c r="I182">
        <v>1614.86</v>
      </c>
      <c r="J182">
        <v>1614.77</v>
      </c>
      <c r="K182">
        <v>1614.69</v>
      </c>
      <c r="L182">
        <v>1614.6</v>
      </c>
      <c r="M182" s="12"/>
    </row>
    <row r="183" spans="1:13" x14ac:dyDescent="0.15">
      <c r="A183">
        <v>890</v>
      </c>
      <c r="B183">
        <v>1615.53</v>
      </c>
      <c r="C183">
        <v>1615.45</v>
      </c>
      <c r="D183">
        <v>1615.36</v>
      </c>
      <c r="E183">
        <v>1615.28</v>
      </c>
      <c r="F183">
        <v>1615.19</v>
      </c>
      <c r="G183">
        <v>1615.1</v>
      </c>
      <c r="H183">
        <v>1615.02</v>
      </c>
      <c r="I183">
        <v>1614.93</v>
      </c>
      <c r="J183">
        <v>1614.85</v>
      </c>
      <c r="K183">
        <v>1614.76</v>
      </c>
      <c r="L183">
        <v>1614.68</v>
      </c>
      <c r="M183" s="12"/>
    </row>
    <row r="184" spans="1:13" x14ac:dyDescent="0.15">
      <c r="A184">
        <v>895</v>
      </c>
      <c r="B184">
        <v>1615.61</v>
      </c>
      <c r="C184">
        <v>1615.52</v>
      </c>
      <c r="D184">
        <v>1615.44</v>
      </c>
      <c r="E184">
        <v>1615.35</v>
      </c>
      <c r="F184">
        <v>1615.27</v>
      </c>
      <c r="G184">
        <v>1615.18</v>
      </c>
      <c r="H184">
        <v>1615.1</v>
      </c>
      <c r="I184">
        <v>1615.01</v>
      </c>
      <c r="J184">
        <v>1614.92</v>
      </c>
      <c r="K184">
        <v>1614.84</v>
      </c>
      <c r="L184">
        <v>1614.75</v>
      </c>
      <c r="M184" s="12"/>
    </row>
    <row r="185" spans="1:13" x14ac:dyDescent="0.15">
      <c r="A185">
        <v>900</v>
      </c>
      <c r="B185">
        <v>1615.68</v>
      </c>
      <c r="C185">
        <v>1615.6</v>
      </c>
      <c r="D185">
        <v>1615.51</v>
      </c>
      <c r="E185">
        <v>1615.43</v>
      </c>
      <c r="F185">
        <v>1615.34</v>
      </c>
      <c r="G185">
        <v>1615.26</v>
      </c>
      <c r="H185">
        <v>1615.17</v>
      </c>
      <c r="I185">
        <v>1615.09</v>
      </c>
      <c r="J185">
        <v>1615</v>
      </c>
      <c r="K185">
        <v>1614.91</v>
      </c>
      <c r="L185">
        <v>1614.83</v>
      </c>
      <c r="M185" s="12"/>
    </row>
    <row r="186" spans="1:13" x14ac:dyDescent="0.15">
      <c r="A186">
        <v>905</v>
      </c>
      <c r="B186">
        <v>1615.76</v>
      </c>
      <c r="C186">
        <v>1615.68</v>
      </c>
      <c r="D186">
        <v>1615.59</v>
      </c>
      <c r="E186">
        <v>1615.5</v>
      </c>
      <c r="F186">
        <v>1615.42</v>
      </c>
      <c r="G186">
        <v>1615.33</v>
      </c>
      <c r="H186">
        <v>1615.25</v>
      </c>
      <c r="I186">
        <v>1615.16</v>
      </c>
      <c r="J186">
        <v>1615.08</v>
      </c>
      <c r="K186">
        <v>1614.99</v>
      </c>
      <c r="L186">
        <v>1614.9</v>
      </c>
      <c r="M186" s="12"/>
    </row>
    <row r="187" spans="1:13" x14ac:dyDescent="0.15">
      <c r="A187">
        <v>910</v>
      </c>
      <c r="B187">
        <v>1615.84</v>
      </c>
      <c r="C187">
        <v>1615.75</v>
      </c>
      <c r="D187">
        <v>1615.67</v>
      </c>
      <c r="E187">
        <v>1615.58</v>
      </c>
      <c r="F187">
        <v>1615.5</v>
      </c>
      <c r="G187">
        <v>1615.41</v>
      </c>
      <c r="H187">
        <v>1615.32</v>
      </c>
      <c r="I187">
        <v>1615.24</v>
      </c>
      <c r="J187">
        <v>1615.15</v>
      </c>
      <c r="K187">
        <v>1615.07</v>
      </c>
      <c r="L187">
        <v>1614.98</v>
      </c>
      <c r="M187" s="12"/>
    </row>
    <row r="188" spans="1:13" x14ac:dyDescent="0.15">
      <c r="A188">
        <v>915</v>
      </c>
      <c r="B188">
        <v>1615.91</v>
      </c>
      <c r="C188">
        <v>1615.83</v>
      </c>
      <c r="D188">
        <v>1615.74</v>
      </c>
      <c r="E188">
        <v>1615.66</v>
      </c>
      <c r="F188">
        <v>1615.57</v>
      </c>
      <c r="G188">
        <v>1615.49</v>
      </c>
      <c r="H188">
        <v>1615.4</v>
      </c>
      <c r="I188">
        <v>1615.31</v>
      </c>
      <c r="J188">
        <v>1615.23</v>
      </c>
      <c r="K188">
        <v>1615.14</v>
      </c>
      <c r="L188">
        <v>1615.06</v>
      </c>
      <c r="M188" s="12"/>
    </row>
    <row r="189" spans="1:13" x14ac:dyDescent="0.15">
      <c r="A189">
        <v>920</v>
      </c>
      <c r="B189">
        <v>1615.99</v>
      </c>
      <c r="C189">
        <v>1615.9</v>
      </c>
      <c r="D189">
        <v>1615.82</v>
      </c>
      <c r="E189">
        <v>1615.73</v>
      </c>
      <c r="F189">
        <v>1615.65</v>
      </c>
      <c r="G189">
        <v>1615.56</v>
      </c>
      <c r="H189">
        <v>1615.48</v>
      </c>
      <c r="I189">
        <v>1615.39</v>
      </c>
      <c r="J189">
        <v>1615.3</v>
      </c>
      <c r="K189">
        <v>1615.22</v>
      </c>
      <c r="L189">
        <v>1615.13</v>
      </c>
      <c r="M189" s="12"/>
    </row>
    <row r="190" spans="1:13" x14ac:dyDescent="0.15">
      <c r="A190">
        <v>925</v>
      </c>
      <c r="B190">
        <v>1616.07</v>
      </c>
      <c r="C190">
        <v>1615.98</v>
      </c>
      <c r="D190">
        <v>1615.9</v>
      </c>
      <c r="E190">
        <v>1615.81</v>
      </c>
      <c r="F190">
        <v>1615.72</v>
      </c>
      <c r="G190">
        <v>1615.64</v>
      </c>
      <c r="H190">
        <v>1615.55</v>
      </c>
      <c r="I190">
        <v>1615.47</v>
      </c>
      <c r="J190">
        <v>1615.38</v>
      </c>
      <c r="K190">
        <v>1615.3</v>
      </c>
      <c r="L190">
        <v>1615.21</v>
      </c>
      <c r="M190" s="12"/>
    </row>
    <row r="191" spans="1:13" x14ac:dyDescent="0.15">
      <c r="A191">
        <v>930</v>
      </c>
      <c r="B191">
        <v>1616.14</v>
      </c>
      <c r="C191">
        <v>1616.06</v>
      </c>
      <c r="D191">
        <v>1615.97</v>
      </c>
      <c r="E191">
        <v>1615.89</v>
      </c>
      <c r="F191">
        <v>1615.8</v>
      </c>
      <c r="G191">
        <v>1615.71</v>
      </c>
      <c r="H191">
        <v>1615.63</v>
      </c>
      <c r="I191">
        <v>1615.54</v>
      </c>
      <c r="J191">
        <v>1615.46</v>
      </c>
      <c r="K191">
        <v>1615.37</v>
      </c>
      <c r="L191">
        <v>1615.29</v>
      </c>
      <c r="M191" s="12"/>
    </row>
    <row r="192" spans="1:13" x14ac:dyDescent="0.15">
      <c r="A192">
        <v>935</v>
      </c>
      <c r="B192">
        <v>1616.22</v>
      </c>
      <c r="C192">
        <v>1616.13</v>
      </c>
      <c r="D192">
        <v>1616.05</v>
      </c>
      <c r="E192">
        <v>1615.96</v>
      </c>
      <c r="F192">
        <v>1615.88</v>
      </c>
      <c r="G192">
        <v>1615.79</v>
      </c>
      <c r="H192">
        <v>1615.71</v>
      </c>
      <c r="I192">
        <v>1615.62</v>
      </c>
      <c r="J192">
        <v>1615.53</v>
      </c>
      <c r="K192">
        <v>1615.45</v>
      </c>
      <c r="L192">
        <v>1615.36</v>
      </c>
    </row>
    <row r="193" spans="1:12" x14ac:dyDescent="0.15">
      <c r="A193">
        <v>940</v>
      </c>
      <c r="B193">
        <v>1616.3</v>
      </c>
      <c r="C193">
        <v>1616.21</v>
      </c>
      <c r="D193">
        <v>1616.12</v>
      </c>
      <c r="E193">
        <v>1616.04</v>
      </c>
      <c r="F193">
        <v>1615.95</v>
      </c>
      <c r="G193">
        <v>1615.87</v>
      </c>
      <c r="H193">
        <v>1615.78</v>
      </c>
      <c r="I193">
        <v>1615.7</v>
      </c>
      <c r="J193">
        <v>1615.61</v>
      </c>
      <c r="K193">
        <v>1615.52</v>
      </c>
      <c r="L193">
        <v>1615.44</v>
      </c>
    </row>
    <row r="194" spans="1:12" x14ac:dyDescent="0.15">
      <c r="A194">
        <v>945</v>
      </c>
      <c r="B194">
        <v>1616.37</v>
      </c>
      <c r="C194">
        <v>1616.29</v>
      </c>
      <c r="D194">
        <v>1616.2</v>
      </c>
      <c r="E194">
        <v>1616.11</v>
      </c>
      <c r="F194">
        <v>1616.03</v>
      </c>
      <c r="G194">
        <v>1615.94</v>
      </c>
      <c r="H194">
        <v>1615.86</v>
      </c>
      <c r="I194">
        <v>1615.77</v>
      </c>
      <c r="J194">
        <v>1615.69</v>
      </c>
      <c r="K194">
        <v>1615.6</v>
      </c>
      <c r="L194">
        <v>1615.52</v>
      </c>
    </row>
    <row r="195" spans="1:12" x14ac:dyDescent="0.15">
      <c r="A195">
        <v>950</v>
      </c>
      <c r="B195">
        <v>1616.45</v>
      </c>
      <c r="C195">
        <v>1616.36</v>
      </c>
      <c r="D195">
        <v>1616.28</v>
      </c>
      <c r="E195">
        <v>1616.19</v>
      </c>
      <c r="F195">
        <v>1616.11</v>
      </c>
      <c r="G195">
        <v>1616.02</v>
      </c>
      <c r="H195">
        <v>1615.93</v>
      </c>
      <c r="I195">
        <v>1615.85</v>
      </c>
      <c r="J195">
        <v>1615.76</v>
      </c>
      <c r="K195">
        <v>1615.68</v>
      </c>
      <c r="L195">
        <v>1615.59</v>
      </c>
    </row>
    <row r="196" spans="1:12" x14ac:dyDescent="0.15">
      <c r="A196">
        <v>955</v>
      </c>
      <c r="B196">
        <v>1616.52</v>
      </c>
      <c r="C196">
        <v>1616.44</v>
      </c>
      <c r="D196">
        <v>1616.35</v>
      </c>
      <c r="E196">
        <v>1616.27</v>
      </c>
      <c r="F196">
        <v>1616.18</v>
      </c>
      <c r="G196">
        <v>1616.1</v>
      </c>
      <c r="H196">
        <v>1616.01</v>
      </c>
      <c r="I196">
        <v>1615.92</v>
      </c>
      <c r="J196">
        <v>1615.84</v>
      </c>
      <c r="K196">
        <v>1615.75</v>
      </c>
      <c r="L196">
        <v>1615.67</v>
      </c>
    </row>
    <row r="197" spans="1:12" x14ac:dyDescent="0.15">
      <c r="A197">
        <v>960</v>
      </c>
      <c r="B197">
        <v>1616.6</v>
      </c>
      <c r="C197">
        <v>1616.51</v>
      </c>
      <c r="D197">
        <v>1616.43</v>
      </c>
      <c r="E197">
        <v>1616.34</v>
      </c>
      <c r="F197">
        <v>1616.26</v>
      </c>
      <c r="G197">
        <v>1616.17</v>
      </c>
      <c r="H197">
        <v>1616.09</v>
      </c>
      <c r="I197">
        <v>1616</v>
      </c>
      <c r="J197">
        <v>1615.92</v>
      </c>
      <c r="K197">
        <v>1615.83</v>
      </c>
      <c r="L197">
        <v>1615.74</v>
      </c>
    </row>
    <row r="198" spans="1:12" x14ac:dyDescent="0.15">
      <c r="A198">
        <v>965</v>
      </c>
      <c r="B198">
        <v>1616.68</v>
      </c>
      <c r="C198">
        <v>1616.59</v>
      </c>
      <c r="D198">
        <v>1616.51</v>
      </c>
      <c r="E198">
        <v>1616.42</v>
      </c>
      <c r="F198">
        <v>1616.33</v>
      </c>
      <c r="G198">
        <v>1616.25</v>
      </c>
      <c r="H198">
        <v>1616.16</v>
      </c>
      <c r="I198">
        <v>1616.08</v>
      </c>
      <c r="J198">
        <v>1615.99</v>
      </c>
      <c r="K198">
        <v>1615.91</v>
      </c>
      <c r="L198">
        <v>1615.82</v>
      </c>
    </row>
    <row r="199" spans="1:12" x14ac:dyDescent="0.15">
      <c r="A199">
        <v>970</v>
      </c>
      <c r="B199">
        <v>1616.75</v>
      </c>
      <c r="C199">
        <v>1616.67</v>
      </c>
      <c r="D199">
        <v>1616.58</v>
      </c>
      <c r="E199">
        <v>1616.5</v>
      </c>
      <c r="F199">
        <v>1616.41</v>
      </c>
      <c r="G199">
        <v>1616.33</v>
      </c>
      <c r="H199">
        <v>1616.24</v>
      </c>
      <c r="I199">
        <v>1616.15</v>
      </c>
      <c r="J199">
        <v>1616.07</v>
      </c>
      <c r="K199">
        <v>1615.98</v>
      </c>
      <c r="L199">
        <v>1615.9</v>
      </c>
    </row>
    <row r="200" spans="1:12" x14ac:dyDescent="0.15">
      <c r="A200">
        <v>975</v>
      </c>
      <c r="B200">
        <v>1616.83</v>
      </c>
      <c r="C200">
        <v>1616.74</v>
      </c>
      <c r="D200">
        <v>1616.66</v>
      </c>
      <c r="E200">
        <v>1616.57</v>
      </c>
      <c r="F200">
        <v>1616.49</v>
      </c>
      <c r="G200">
        <v>1616.4</v>
      </c>
      <c r="H200">
        <v>1616.32</v>
      </c>
      <c r="I200">
        <v>1616.23</v>
      </c>
      <c r="J200">
        <v>1616.14</v>
      </c>
      <c r="K200">
        <v>1616.06</v>
      </c>
      <c r="L200">
        <v>1615.97</v>
      </c>
    </row>
    <row r="201" spans="1:12" x14ac:dyDescent="0.15">
      <c r="A201">
        <v>980</v>
      </c>
      <c r="B201">
        <v>1616.91</v>
      </c>
      <c r="C201">
        <v>1616.82</v>
      </c>
      <c r="D201">
        <v>1616.73</v>
      </c>
      <c r="E201">
        <v>1616.65</v>
      </c>
      <c r="F201">
        <v>1616.56</v>
      </c>
      <c r="G201">
        <v>1616.48</v>
      </c>
      <c r="H201">
        <v>1616.39</v>
      </c>
      <c r="I201">
        <v>1616.31</v>
      </c>
      <c r="J201">
        <v>1616.22</v>
      </c>
      <c r="K201">
        <v>1616.13</v>
      </c>
      <c r="L201">
        <v>1616.05</v>
      </c>
    </row>
    <row r="202" spans="1:12" x14ac:dyDescent="0.15">
      <c r="A202">
        <v>985</v>
      </c>
      <c r="B202">
        <v>1616.98</v>
      </c>
      <c r="C202">
        <v>1616.9</v>
      </c>
      <c r="D202">
        <v>1616.81</v>
      </c>
      <c r="E202">
        <v>1616.73</v>
      </c>
      <c r="F202">
        <v>1616.64</v>
      </c>
      <c r="G202">
        <v>1616.55</v>
      </c>
      <c r="H202">
        <v>1616.47</v>
      </c>
      <c r="I202">
        <v>1616.38</v>
      </c>
      <c r="J202">
        <v>1616.3</v>
      </c>
      <c r="K202">
        <v>1616.21</v>
      </c>
      <c r="L202">
        <v>1616.13</v>
      </c>
    </row>
    <row r="203" spans="1:12" x14ac:dyDescent="0.15">
      <c r="A203">
        <v>990</v>
      </c>
      <c r="B203">
        <v>1617.06</v>
      </c>
      <c r="C203">
        <v>1616.97</v>
      </c>
      <c r="D203">
        <v>1616.89</v>
      </c>
      <c r="E203">
        <v>1616.8</v>
      </c>
      <c r="F203">
        <v>1616.72</v>
      </c>
      <c r="G203">
        <v>1616.63</v>
      </c>
      <c r="H203">
        <v>1616.54</v>
      </c>
      <c r="I203">
        <v>1616.46</v>
      </c>
      <c r="J203">
        <v>1616.37</v>
      </c>
      <c r="K203">
        <v>1616.29</v>
      </c>
      <c r="L203">
        <v>1616.2</v>
      </c>
    </row>
    <row r="204" spans="1:12" x14ac:dyDescent="0.15">
      <c r="A204">
        <v>995</v>
      </c>
      <c r="B204">
        <v>1617.13</v>
      </c>
      <c r="C204">
        <v>1617.05</v>
      </c>
      <c r="D204">
        <v>1616.96</v>
      </c>
      <c r="E204">
        <v>1616.88</v>
      </c>
      <c r="F204">
        <v>1616.79</v>
      </c>
      <c r="G204">
        <v>1616.71</v>
      </c>
      <c r="H204">
        <v>1616.62</v>
      </c>
      <c r="I204">
        <v>1616.53</v>
      </c>
      <c r="J204">
        <v>1616.45</v>
      </c>
      <c r="K204">
        <v>1616.36</v>
      </c>
      <c r="L204">
        <v>1616.28</v>
      </c>
    </row>
    <row r="205" spans="1:12" x14ac:dyDescent="0.15">
      <c r="A205">
        <v>1000</v>
      </c>
      <c r="B205">
        <v>1617.21</v>
      </c>
      <c r="C205">
        <v>1617.13</v>
      </c>
      <c r="D205">
        <v>1617.04</v>
      </c>
      <c r="E205">
        <v>1616.95</v>
      </c>
      <c r="F205">
        <v>1616.87</v>
      </c>
      <c r="G205">
        <v>1616.78</v>
      </c>
      <c r="H205">
        <v>1616.7</v>
      </c>
      <c r="I205">
        <v>1616.61</v>
      </c>
      <c r="J205">
        <v>1616.53</v>
      </c>
      <c r="K205">
        <v>1616.44</v>
      </c>
      <c r="L205">
        <v>1616.35</v>
      </c>
    </row>
    <row r="206" spans="1:12" x14ac:dyDescent="0.15">
      <c r="A206">
        <v>1005</v>
      </c>
      <c r="B206">
        <v>1617.29</v>
      </c>
      <c r="C206">
        <v>1617.2</v>
      </c>
      <c r="D206">
        <v>1617.12</v>
      </c>
      <c r="E206">
        <v>1617.03</v>
      </c>
      <c r="F206">
        <v>1616.94</v>
      </c>
      <c r="G206">
        <v>1616.86</v>
      </c>
      <c r="H206">
        <v>1616.77</v>
      </c>
      <c r="I206">
        <v>1616.69</v>
      </c>
      <c r="J206">
        <v>1616.6</v>
      </c>
      <c r="K206">
        <v>1616.52</v>
      </c>
      <c r="L206">
        <v>1616.43</v>
      </c>
    </row>
    <row r="207" spans="1:12" x14ac:dyDescent="0.15">
      <c r="A207">
        <v>1010</v>
      </c>
      <c r="B207">
        <v>1617.36</v>
      </c>
      <c r="C207">
        <v>1617.28</v>
      </c>
      <c r="D207">
        <v>1617.19</v>
      </c>
      <c r="E207">
        <v>1617.11</v>
      </c>
      <c r="F207">
        <v>1617.02</v>
      </c>
      <c r="G207">
        <v>1616.94</v>
      </c>
      <c r="H207">
        <v>1616.85</v>
      </c>
      <c r="I207">
        <v>1616.76</v>
      </c>
      <c r="J207">
        <v>1616.68</v>
      </c>
      <c r="K207">
        <v>1616.59</v>
      </c>
      <c r="L207">
        <v>1616.51</v>
      </c>
    </row>
    <row r="208" spans="1:12" x14ac:dyDescent="0.15">
      <c r="A208">
        <v>1015</v>
      </c>
      <c r="B208">
        <v>1617.44</v>
      </c>
      <c r="C208">
        <v>1617.35</v>
      </c>
      <c r="D208">
        <v>1617.27</v>
      </c>
      <c r="E208">
        <v>1617.18</v>
      </c>
      <c r="F208">
        <v>1617.1</v>
      </c>
      <c r="G208">
        <v>1617.01</v>
      </c>
      <c r="H208">
        <v>1616.93</v>
      </c>
      <c r="I208">
        <v>1616.84</v>
      </c>
      <c r="J208">
        <v>1616.75</v>
      </c>
      <c r="K208">
        <v>1616.67</v>
      </c>
      <c r="L208">
        <v>1616.58</v>
      </c>
    </row>
    <row r="209" spans="1:12" x14ac:dyDescent="0.15">
      <c r="A209">
        <v>1020</v>
      </c>
      <c r="B209">
        <v>1617.52</v>
      </c>
      <c r="C209">
        <v>1617.43</v>
      </c>
      <c r="D209">
        <v>1617.34</v>
      </c>
      <c r="E209">
        <v>1617.26</v>
      </c>
      <c r="F209">
        <v>1617.17</v>
      </c>
      <c r="G209">
        <v>1617.09</v>
      </c>
      <c r="H209">
        <v>1617</v>
      </c>
      <c r="I209">
        <v>1616.92</v>
      </c>
      <c r="J209">
        <v>1616.83</v>
      </c>
      <c r="K209">
        <v>1616.74</v>
      </c>
      <c r="L209">
        <v>1616.66</v>
      </c>
    </row>
    <row r="210" spans="1:12" x14ac:dyDescent="0.15">
      <c r="A210">
        <v>1025</v>
      </c>
      <c r="B210">
        <v>1617.59</v>
      </c>
      <c r="C210">
        <v>1617.51</v>
      </c>
      <c r="D210">
        <v>1617.42</v>
      </c>
      <c r="E210">
        <v>1617.34</v>
      </c>
      <c r="F210">
        <v>1617.25</v>
      </c>
      <c r="G210">
        <v>1617.16</v>
      </c>
      <c r="H210">
        <v>1617.08</v>
      </c>
      <c r="I210">
        <v>1616.99</v>
      </c>
      <c r="J210">
        <v>1616.91</v>
      </c>
      <c r="K210">
        <v>1616.82</v>
      </c>
      <c r="L210">
        <v>1616.74</v>
      </c>
    </row>
    <row r="211" spans="1:12" x14ac:dyDescent="0.15">
      <c r="A211">
        <v>1030</v>
      </c>
      <c r="B211">
        <v>1617.67</v>
      </c>
      <c r="C211">
        <v>1617.58</v>
      </c>
      <c r="D211">
        <v>1617.5</v>
      </c>
      <c r="E211">
        <v>1617.41</v>
      </c>
      <c r="F211">
        <v>1617.33</v>
      </c>
      <c r="G211">
        <v>1617.24</v>
      </c>
      <c r="H211">
        <v>1617.16</v>
      </c>
      <c r="I211">
        <v>1617.07</v>
      </c>
      <c r="J211">
        <v>1616.98</v>
      </c>
      <c r="K211">
        <v>1616.9</v>
      </c>
      <c r="L211">
        <v>1616.81</v>
      </c>
    </row>
    <row r="212" spans="1:12" x14ac:dyDescent="0.15">
      <c r="A212">
        <v>1035</v>
      </c>
      <c r="B212">
        <v>1617.74</v>
      </c>
      <c r="C212">
        <v>1617.66</v>
      </c>
      <c r="D212">
        <v>1617.57</v>
      </c>
      <c r="E212">
        <v>1617.49</v>
      </c>
      <c r="F212">
        <v>1617.4</v>
      </c>
      <c r="G212">
        <v>1617.32</v>
      </c>
      <c r="H212">
        <v>1617.23</v>
      </c>
      <c r="I212">
        <v>1617.15</v>
      </c>
      <c r="J212">
        <v>1617.06</v>
      </c>
      <c r="K212">
        <v>1616.97</v>
      </c>
      <c r="L212">
        <v>1616.89</v>
      </c>
    </row>
    <row r="213" spans="1:12" x14ac:dyDescent="0.15">
      <c r="A213">
        <v>1040</v>
      </c>
      <c r="B213">
        <v>1617.82</v>
      </c>
      <c r="C213">
        <v>1617.74</v>
      </c>
      <c r="D213">
        <v>1617.65</v>
      </c>
      <c r="E213">
        <v>1617.56</v>
      </c>
      <c r="F213">
        <v>1617.48</v>
      </c>
      <c r="G213">
        <v>1617.39</v>
      </c>
      <c r="H213">
        <v>1617.31</v>
      </c>
      <c r="I213">
        <v>1617.22</v>
      </c>
      <c r="J213">
        <v>1617.14</v>
      </c>
      <c r="K213">
        <v>1617.05</v>
      </c>
      <c r="L213">
        <v>1616.96</v>
      </c>
    </row>
    <row r="214" spans="1:12" x14ac:dyDescent="0.15">
      <c r="A214">
        <v>1045</v>
      </c>
      <c r="B214">
        <v>1617.9</v>
      </c>
      <c r="C214">
        <v>1617.81</v>
      </c>
      <c r="D214">
        <v>1617.73</v>
      </c>
      <c r="E214">
        <v>1617.64</v>
      </c>
      <c r="F214">
        <v>1617.55</v>
      </c>
      <c r="G214">
        <v>1617.47</v>
      </c>
      <c r="H214">
        <v>1617.38</v>
      </c>
      <c r="I214">
        <v>1617.3</v>
      </c>
      <c r="J214">
        <v>1617.21</v>
      </c>
      <c r="K214">
        <v>1617.13</v>
      </c>
      <c r="L214">
        <v>1617.04</v>
      </c>
    </row>
    <row r="215" spans="1:12" x14ac:dyDescent="0.15">
      <c r="A215">
        <v>1050</v>
      </c>
      <c r="B215">
        <v>1617.97</v>
      </c>
      <c r="C215">
        <v>1617.89</v>
      </c>
      <c r="D215">
        <v>1617.8</v>
      </c>
      <c r="E215">
        <v>1617.72</v>
      </c>
      <c r="F215">
        <v>1617.63</v>
      </c>
      <c r="G215">
        <v>1617.55</v>
      </c>
      <c r="H215">
        <v>1617.46</v>
      </c>
      <c r="I215">
        <v>1617.37</v>
      </c>
      <c r="J215">
        <v>1617.29</v>
      </c>
      <c r="K215">
        <v>1617.2</v>
      </c>
      <c r="L215">
        <v>1617.12</v>
      </c>
    </row>
    <row r="216" spans="1:12" x14ac:dyDescent="0.15">
      <c r="A216">
        <v>1055</v>
      </c>
      <c r="B216">
        <v>1618.05</v>
      </c>
      <c r="C216">
        <v>1617.96</v>
      </c>
      <c r="D216">
        <v>1617.88</v>
      </c>
      <c r="E216">
        <v>1617.79</v>
      </c>
      <c r="F216">
        <v>1617.71</v>
      </c>
      <c r="G216">
        <v>1617.62</v>
      </c>
      <c r="H216">
        <v>1617.54</v>
      </c>
      <c r="I216">
        <v>1617.45</v>
      </c>
      <c r="J216">
        <v>1617.36</v>
      </c>
      <c r="K216">
        <v>1617.28</v>
      </c>
      <c r="L216">
        <v>1617.19</v>
      </c>
    </row>
    <row r="217" spans="1:12" x14ac:dyDescent="0.15">
      <c r="A217">
        <v>1060</v>
      </c>
      <c r="B217">
        <v>1618.13</v>
      </c>
      <c r="C217">
        <v>1618.04</v>
      </c>
      <c r="D217">
        <v>1617.96</v>
      </c>
      <c r="E217">
        <v>1617.87</v>
      </c>
      <c r="F217">
        <v>1617.78</v>
      </c>
      <c r="G217">
        <v>1617.7</v>
      </c>
      <c r="H217">
        <v>1617.61</v>
      </c>
      <c r="I217">
        <v>1617.53</v>
      </c>
      <c r="J217">
        <v>1617.44</v>
      </c>
      <c r="K217">
        <v>1617.36</v>
      </c>
      <c r="L217">
        <v>1617.27</v>
      </c>
    </row>
    <row r="218" spans="1:12" x14ac:dyDescent="0.15">
      <c r="A218">
        <v>1065</v>
      </c>
      <c r="B218">
        <v>1618.2</v>
      </c>
      <c r="C218">
        <v>1618.12</v>
      </c>
      <c r="D218">
        <v>1618.03</v>
      </c>
      <c r="E218">
        <v>1617.95</v>
      </c>
      <c r="F218">
        <v>1617.86</v>
      </c>
      <c r="G218">
        <v>1617.77</v>
      </c>
      <c r="H218">
        <v>1617.69</v>
      </c>
      <c r="I218">
        <v>1617.6</v>
      </c>
      <c r="J218">
        <v>1617.52</v>
      </c>
      <c r="K218">
        <v>1617.43</v>
      </c>
      <c r="L218">
        <v>1617.35</v>
      </c>
    </row>
    <row r="219" spans="1:12" x14ac:dyDescent="0.15">
      <c r="A219">
        <v>1070</v>
      </c>
      <c r="B219">
        <v>1618.28</v>
      </c>
      <c r="C219">
        <v>1618.19</v>
      </c>
      <c r="D219">
        <v>1618.11</v>
      </c>
      <c r="E219">
        <v>1618.02</v>
      </c>
      <c r="F219">
        <v>1617.94</v>
      </c>
      <c r="G219">
        <v>1617.85</v>
      </c>
      <c r="H219">
        <v>1617.77</v>
      </c>
      <c r="I219">
        <v>1617.68</v>
      </c>
      <c r="J219">
        <v>1617.59</v>
      </c>
      <c r="K219">
        <v>1617.51</v>
      </c>
      <c r="L219">
        <v>1617.42</v>
      </c>
    </row>
    <row r="220" spans="1:12" x14ac:dyDescent="0.15">
      <c r="A220">
        <v>1075</v>
      </c>
      <c r="B220">
        <v>1618.35</v>
      </c>
      <c r="C220">
        <v>1618.27</v>
      </c>
      <c r="D220">
        <v>1618.18</v>
      </c>
      <c r="E220">
        <v>1618.1</v>
      </c>
      <c r="F220">
        <v>1618.01</v>
      </c>
      <c r="G220">
        <v>1617.93</v>
      </c>
      <c r="H220">
        <v>1617.84</v>
      </c>
      <c r="I220">
        <v>1617.76</v>
      </c>
      <c r="J220">
        <v>1617.67</v>
      </c>
      <c r="K220">
        <v>1617.58</v>
      </c>
      <c r="L220">
        <v>1617.5</v>
      </c>
    </row>
    <row r="221" spans="1:12" x14ac:dyDescent="0.15">
      <c r="A221">
        <v>1080</v>
      </c>
      <c r="B221">
        <v>1618.43</v>
      </c>
      <c r="C221">
        <v>1618.35</v>
      </c>
      <c r="D221">
        <v>1618.26</v>
      </c>
      <c r="E221">
        <v>1618.17</v>
      </c>
      <c r="F221">
        <v>1618.09</v>
      </c>
      <c r="G221">
        <v>1618</v>
      </c>
      <c r="H221">
        <v>1617.92</v>
      </c>
      <c r="I221">
        <v>1617.83</v>
      </c>
      <c r="J221">
        <v>1617.75</v>
      </c>
      <c r="K221">
        <v>1617.66</v>
      </c>
      <c r="L221">
        <v>1617.57</v>
      </c>
    </row>
    <row r="222" spans="1:12" x14ac:dyDescent="0.15">
      <c r="A222">
        <v>1085</v>
      </c>
      <c r="B222">
        <v>1618.51</v>
      </c>
      <c r="C222">
        <v>1618.42</v>
      </c>
      <c r="D222">
        <v>1618.34</v>
      </c>
      <c r="E222">
        <v>1618.25</v>
      </c>
      <c r="F222">
        <v>1618.17</v>
      </c>
      <c r="G222">
        <v>1618.08</v>
      </c>
      <c r="H222">
        <v>1617.99</v>
      </c>
      <c r="I222">
        <v>1617.91</v>
      </c>
      <c r="J222">
        <v>1617.82</v>
      </c>
      <c r="K222">
        <v>1617.74</v>
      </c>
      <c r="L222">
        <v>1617.65</v>
      </c>
    </row>
    <row r="223" spans="1:12" x14ac:dyDescent="0.15">
      <c r="A223">
        <v>1090</v>
      </c>
      <c r="B223">
        <v>1618.58</v>
      </c>
      <c r="C223">
        <v>1618.5</v>
      </c>
      <c r="D223">
        <v>1618.41</v>
      </c>
      <c r="E223">
        <v>1618.33</v>
      </c>
      <c r="F223">
        <v>1618.24</v>
      </c>
      <c r="G223">
        <v>1618.16</v>
      </c>
      <c r="H223">
        <v>1618.07</v>
      </c>
      <c r="I223">
        <v>1617.98</v>
      </c>
      <c r="J223">
        <v>1617.9</v>
      </c>
      <c r="K223">
        <v>1617.81</v>
      </c>
      <c r="L223">
        <v>1617.73</v>
      </c>
    </row>
    <row r="224" spans="1:12" x14ac:dyDescent="0.15">
      <c r="A224">
        <v>1095</v>
      </c>
      <c r="B224">
        <v>1618.66</v>
      </c>
      <c r="C224">
        <v>1618.57</v>
      </c>
      <c r="D224">
        <v>1618.49</v>
      </c>
      <c r="E224">
        <v>1618.4</v>
      </c>
      <c r="F224">
        <v>1618.32</v>
      </c>
      <c r="G224">
        <v>1618.23</v>
      </c>
      <c r="H224">
        <v>1618.15</v>
      </c>
      <c r="I224">
        <v>1618.06</v>
      </c>
      <c r="J224">
        <v>1617.97</v>
      </c>
      <c r="K224">
        <v>1617.89</v>
      </c>
      <c r="L224">
        <v>1617.8</v>
      </c>
    </row>
    <row r="225" spans="1:12" x14ac:dyDescent="0.15">
      <c r="A225">
        <v>1100</v>
      </c>
      <c r="B225">
        <v>1618.74</v>
      </c>
      <c r="C225">
        <v>1618.65</v>
      </c>
      <c r="D225">
        <v>1618.57</v>
      </c>
      <c r="E225">
        <v>1618.48</v>
      </c>
      <c r="F225">
        <v>1618.39</v>
      </c>
      <c r="G225">
        <v>1618.31</v>
      </c>
      <c r="H225">
        <v>1618.22</v>
      </c>
      <c r="I225">
        <v>1618.14</v>
      </c>
      <c r="J225">
        <v>1618.05</v>
      </c>
      <c r="K225">
        <v>1617.97</v>
      </c>
      <c r="L225">
        <v>1617.88</v>
      </c>
    </row>
    <row r="226" spans="1:12" x14ac:dyDescent="0.15">
      <c r="A226">
        <v>1105</v>
      </c>
      <c r="B226">
        <v>1618.81</v>
      </c>
      <c r="C226">
        <v>1618.73</v>
      </c>
      <c r="D226">
        <v>1618.64</v>
      </c>
      <c r="E226">
        <v>1618.56</v>
      </c>
      <c r="F226">
        <v>1618.47</v>
      </c>
      <c r="G226">
        <v>1618.39</v>
      </c>
      <c r="H226">
        <v>1618.3</v>
      </c>
      <c r="I226">
        <v>1618.21</v>
      </c>
      <c r="J226">
        <v>1618.13</v>
      </c>
      <c r="K226">
        <v>1618.04</v>
      </c>
      <c r="L226">
        <v>1617.96</v>
      </c>
    </row>
    <row r="227" spans="1:12" x14ac:dyDescent="0.15">
      <c r="A227">
        <v>1110</v>
      </c>
      <c r="B227">
        <v>1618.89</v>
      </c>
      <c r="C227">
        <v>1618.8</v>
      </c>
      <c r="D227">
        <v>1618.72</v>
      </c>
      <c r="E227">
        <v>1618.63</v>
      </c>
      <c r="F227">
        <v>1618.55</v>
      </c>
      <c r="G227">
        <v>1618.46</v>
      </c>
      <c r="H227">
        <v>1618.38</v>
      </c>
      <c r="I227">
        <v>1618.29</v>
      </c>
      <c r="J227">
        <v>1618.2</v>
      </c>
      <c r="K227">
        <v>1618.12</v>
      </c>
      <c r="L227">
        <v>1618.03</v>
      </c>
    </row>
    <row r="228" spans="1:12" x14ac:dyDescent="0.15">
      <c r="A228">
        <v>1115</v>
      </c>
      <c r="B228">
        <v>1618.97</v>
      </c>
      <c r="C228">
        <v>1618.88</v>
      </c>
      <c r="D228">
        <v>1618.79</v>
      </c>
      <c r="E228">
        <v>1618.71</v>
      </c>
      <c r="F228">
        <v>1618.62</v>
      </c>
      <c r="G228">
        <v>1618.54</v>
      </c>
      <c r="H228">
        <v>1618.45</v>
      </c>
      <c r="I228">
        <v>1618.37</v>
      </c>
      <c r="J228">
        <v>1618.28</v>
      </c>
      <c r="K228">
        <v>1618.19</v>
      </c>
      <c r="L228">
        <v>1618.11</v>
      </c>
    </row>
    <row r="229" spans="1:12" x14ac:dyDescent="0.15">
      <c r="A229">
        <v>1120</v>
      </c>
      <c r="B229">
        <v>1619.04</v>
      </c>
      <c r="C229">
        <v>1618.96</v>
      </c>
      <c r="D229">
        <v>1618.87</v>
      </c>
      <c r="E229">
        <v>1618.78</v>
      </c>
      <c r="F229">
        <v>1618.7</v>
      </c>
      <c r="G229">
        <v>1618.61</v>
      </c>
      <c r="H229">
        <v>1618.53</v>
      </c>
      <c r="I229">
        <v>1618.44</v>
      </c>
      <c r="J229">
        <v>1618.36</v>
      </c>
      <c r="K229">
        <v>1618.27</v>
      </c>
      <c r="L229">
        <v>1618.19</v>
      </c>
    </row>
    <row r="230" spans="1:12" x14ac:dyDescent="0.15">
      <c r="A230">
        <v>1125</v>
      </c>
      <c r="B230">
        <v>1619.12</v>
      </c>
      <c r="C230">
        <v>1619.03</v>
      </c>
      <c r="D230">
        <v>1618.95</v>
      </c>
      <c r="E230">
        <v>1618.86</v>
      </c>
      <c r="F230">
        <v>1618.78</v>
      </c>
      <c r="G230">
        <v>1618.69</v>
      </c>
      <c r="H230">
        <v>1618.6</v>
      </c>
      <c r="I230">
        <v>1618.52</v>
      </c>
      <c r="J230">
        <v>1618.43</v>
      </c>
      <c r="K230">
        <v>1618.35</v>
      </c>
      <c r="L230">
        <v>1618.26</v>
      </c>
    </row>
    <row r="231" spans="1:12" x14ac:dyDescent="0.15">
      <c r="A231">
        <v>1130</v>
      </c>
      <c r="B231">
        <v>1619.19</v>
      </c>
      <c r="C231">
        <v>1619.11</v>
      </c>
      <c r="D231">
        <v>1619.02</v>
      </c>
      <c r="E231">
        <v>1618.94</v>
      </c>
      <c r="F231">
        <v>1618.85</v>
      </c>
      <c r="G231">
        <v>1618.77</v>
      </c>
      <c r="H231">
        <v>1618.68</v>
      </c>
      <c r="I231">
        <v>1618.59</v>
      </c>
      <c r="J231">
        <v>1618.51</v>
      </c>
      <c r="K231">
        <v>1618.42</v>
      </c>
      <c r="L231">
        <v>1618.34</v>
      </c>
    </row>
    <row r="232" spans="1:12" x14ac:dyDescent="0.15">
      <c r="A232">
        <v>1135</v>
      </c>
      <c r="B232">
        <v>1619.27</v>
      </c>
      <c r="C232">
        <v>1619.18</v>
      </c>
      <c r="D232">
        <v>1619.1</v>
      </c>
      <c r="E232">
        <v>1619.01</v>
      </c>
      <c r="F232">
        <v>1618.93</v>
      </c>
      <c r="G232">
        <v>1618.84</v>
      </c>
      <c r="H232">
        <v>1618.76</v>
      </c>
      <c r="I232">
        <v>1618.67</v>
      </c>
      <c r="J232">
        <v>1618.59</v>
      </c>
      <c r="K232">
        <v>1618.5</v>
      </c>
      <c r="L232">
        <v>1618.41</v>
      </c>
    </row>
    <row r="233" spans="1:12" x14ac:dyDescent="0.15">
      <c r="A233">
        <v>1140</v>
      </c>
      <c r="B233">
        <v>1619.35</v>
      </c>
      <c r="C233">
        <v>1619.26</v>
      </c>
      <c r="D233">
        <v>1619.18</v>
      </c>
      <c r="E233">
        <v>1619.09</v>
      </c>
      <c r="F233">
        <v>1619</v>
      </c>
      <c r="G233">
        <v>1618.92</v>
      </c>
      <c r="H233">
        <v>1618.83</v>
      </c>
      <c r="I233">
        <v>1618.75</v>
      </c>
      <c r="J233">
        <v>1618.66</v>
      </c>
      <c r="K233">
        <v>1618.58</v>
      </c>
      <c r="L233">
        <v>1618.49</v>
      </c>
    </row>
    <row r="234" spans="1:12" x14ac:dyDescent="0.15">
      <c r="A234">
        <v>1145</v>
      </c>
      <c r="B234">
        <v>1619.42</v>
      </c>
      <c r="C234">
        <v>1619.34</v>
      </c>
      <c r="D234">
        <v>1619.25</v>
      </c>
      <c r="E234">
        <v>1619.17</v>
      </c>
      <c r="F234">
        <v>1619.08</v>
      </c>
      <c r="G234">
        <v>1619</v>
      </c>
      <c r="H234">
        <v>1618.91</v>
      </c>
      <c r="I234">
        <v>1618.82</v>
      </c>
      <c r="J234">
        <v>1618.74</v>
      </c>
      <c r="K234">
        <v>1618.65</v>
      </c>
      <c r="L234">
        <v>1618.57</v>
      </c>
    </row>
    <row r="235" spans="1:12" x14ac:dyDescent="0.15">
      <c r="A235">
        <v>1150</v>
      </c>
      <c r="B235">
        <v>1619.5</v>
      </c>
      <c r="C235">
        <v>1619.41</v>
      </c>
      <c r="D235">
        <v>1619.33</v>
      </c>
      <c r="E235">
        <v>1619.24</v>
      </c>
      <c r="F235">
        <v>1619.16</v>
      </c>
      <c r="G235">
        <v>1619.07</v>
      </c>
      <c r="H235">
        <v>1618.99</v>
      </c>
      <c r="I235">
        <v>1618.9</v>
      </c>
      <c r="J235">
        <v>1618.81</v>
      </c>
      <c r="K235">
        <v>1618.73</v>
      </c>
      <c r="L235">
        <v>1618.64</v>
      </c>
    </row>
    <row r="236" spans="1:12" x14ac:dyDescent="0.15">
      <c r="A236">
        <v>1155</v>
      </c>
      <c r="B236">
        <v>1619.58</v>
      </c>
      <c r="C236">
        <v>1619.49</v>
      </c>
      <c r="D236">
        <v>1619.4</v>
      </c>
      <c r="E236">
        <v>1619.32</v>
      </c>
      <c r="F236">
        <v>1619.23</v>
      </c>
      <c r="G236">
        <v>1619.15</v>
      </c>
      <c r="H236">
        <v>1619.06</v>
      </c>
      <c r="I236">
        <v>1618.98</v>
      </c>
      <c r="J236">
        <v>1618.89</v>
      </c>
      <c r="K236">
        <v>1618.8</v>
      </c>
      <c r="L236">
        <v>1618.72</v>
      </c>
    </row>
    <row r="237" spans="1:12" x14ac:dyDescent="0.15">
      <c r="A237">
        <v>1160</v>
      </c>
      <c r="B237">
        <v>1619.65</v>
      </c>
      <c r="C237">
        <v>1619.57</v>
      </c>
      <c r="D237">
        <v>1619.48</v>
      </c>
      <c r="E237">
        <v>1619.4</v>
      </c>
      <c r="F237">
        <v>1619.31</v>
      </c>
      <c r="G237">
        <v>1619.22</v>
      </c>
      <c r="H237">
        <v>1619.14</v>
      </c>
      <c r="I237">
        <v>1619.05</v>
      </c>
      <c r="J237">
        <v>1618.97</v>
      </c>
      <c r="K237">
        <v>1618.88</v>
      </c>
      <c r="L237">
        <v>1618.8</v>
      </c>
    </row>
    <row r="238" spans="1:12" x14ac:dyDescent="0.15">
      <c r="A238">
        <v>1165</v>
      </c>
      <c r="B238">
        <v>1619.73</v>
      </c>
      <c r="C238">
        <v>1619.64</v>
      </c>
      <c r="D238">
        <v>1619.56</v>
      </c>
      <c r="E238">
        <v>1619.47</v>
      </c>
      <c r="F238">
        <v>1619.39</v>
      </c>
      <c r="G238">
        <v>1619.3</v>
      </c>
      <c r="H238">
        <v>1619.21</v>
      </c>
      <c r="I238">
        <v>1619.13</v>
      </c>
      <c r="J238">
        <v>1619.04</v>
      </c>
      <c r="K238">
        <v>1618.96</v>
      </c>
      <c r="L238">
        <v>1618.87</v>
      </c>
    </row>
    <row r="239" spans="1:12" x14ac:dyDescent="0.15">
      <c r="A239">
        <v>1170</v>
      </c>
      <c r="B239">
        <v>1619.8</v>
      </c>
      <c r="C239">
        <v>1619.72</v>
      </c>
      <c r="D239">
        <v>1619.63</v>
      </c>
      <c r="E239">
        <v>1619.55</v>
      </c>
      <c r="F239">
        <v>1619.46</v>
      </c>
      <c r="G239">
        <v>1619.38</v>
      </c>
      <c r="H239">
        <v>1619.29</v>
      </c>
      <c r="I239">
        <v>1619.21</v>
      </c>
      <c r="J239">
        <v>1619.12</v>
      </c>
      <c r="K239">
        <v>1619.03</v>
      </c>
      <c r="L239">
        <v>1618.95</v>
      </c>
    </row>
    <row r="240" spans="1:12" x14ac:dyDescent="0.15">
      <c r="A240">
        <v>1175</v>
      </c>
      <c r="B240">
        <v>1619.88</v>
      </c>
      <c r="C240">
        <v>1619.8</v>
      </c>
      <c r="D240">
        <v>1619.71</v>
      </c>
      <c r="E240">
        <v>1619.62</v>
      </c>
      <c r="F240">
        <v>1619.54</v>
      </c>
      <c r="G240">
        <v>1619.45</v>
      </c>
      <c r="H240">
        <v>1619.37</v>
      </c>
      <c r="I240">
        <v>1619.28</v>
      </c>
      <c r="J240">
        <v>1619.2</v>
      </c>
      <c r="K240">
        <v>1619.11</v>
      </c>
      <c r="L240">
        <v>1619.02</v>
      </c>
    </row>
    <row r="241" spans="1:12" x14ac:dyDescent="0.15">
      <c r="A241">
        <v>1180</v>
      </c>
      <c r="B241">
        <v>1619.96</v>
      </c>
      <c r="C241">
        <v>1619.87</v>
      </c>
      <c r="D241">
        <v>1619.79</v>
      </c>
      <c r="E241">
        <v>1619.7</v>
      </c>
      <c r="F241">
        <v>1619.61</v>
      </c>
      <c r="G241">
        <v>1619.53</v>
      </c>
      <c r="H241">
        <v>1619.44</v>
      </c>
      <c r="I241">
        <v>1619.36</v>
      </c>
      <c r="J241">
        <v>1619.27</v>
      </c>
      <c r="K241">
        <v>1619.19</v>
      </c>
      <c r="L241">
        <v>1619.1</v>
      </c>
    </row>
    <row r="242" spans="1:12" x14ac:dyDescent="0.15">
      <c r="A242">
        <v>1185</v>
      </c>
      <c r="B242">
        <v>1620.03</v>
      </c>
      <c r="C242">
        <v>1619.95</v>
      </c>
      <c r="D242">
        <v>1619.86</v>
      </c>
      <c r="E242">
        <v>1619.78</v>
      </c>
      <c r="F242">
        <v>1619.69</v>
      </c>
      <c r="G242">
        <v>1619.61</v>
      </c>
      <c r="H242">
        <v>1619.52</v>
      </c>
      <c r="I242">
        <v>1619.43</v>
      </c>
      <c r="J242">
        <v>1619.35</v>
      </c>
      <c r="K242">
        <v>1619.26</v>
      </c>
      <c r="L242">
        <v>1619.18</v>
      </c>
    </row>
    <row r="243" spans="1:12" x14ac:dyDescent="0.15">
      <c r="A243">
        <v>1190</v>
      </c>
      <c r="B243">
        <v>1620.11</v>
      </c>
      <c r="C243">
        <v>1620.02</v>
      </c>
      <c r="D243">
        <v>1619.94</v>
      </c>
      <c r="E243">
        <v>1619.85</v>
      </c>
      <c r="F243">
        <v>1619.77</v>
      </c>
      <c r="G243">
        <v>1619.68</v>
      </c>
      <c r="H243">
        <v>1619.6</v>
      </c>
      <c r="I243">
        <v>1619.51</v>
      </c>
      <c r="J243">
        <v>1619.42</v>
      </c>
      <c r="K243">
        <v>1619.34</v>
      </c>
      <c r="L243">
        <v>1619.25</v>
      </c>
    </row>
    <row r="244" spans="1:12" x14ac:dyDescent="0.15">
      <c r="A244">
        <v>1195</v>
      </c>
      <c r="B244">
        <v>1620.19</v>
      </c>
      <c r="C244">
        <v>1620.1</v>
      </c>
      <c r="D244">
        <v>1620.01</v>
      </c>
      <c r="E244">
        <v>1619.93</v>
      </c>
      <c r="F244">
        <v>1619.84</v>
      </c>
      <c r="G244">
        <v>1619.76</v>
      </c>
      <c r="H244">
        <v>1619.67</v>
      </c>
      <c r="I244">
        <v>1619.59</v>
      </c>
      <c r="J244">
        <v>1619.5</v>
      </c>
      <c r="K244">
        <v>1619.42</v>
      </c>
      <c r="L244">
        <v>1619.33</v>
      </c>
    </row>
    <row r="245" spans="1:12" x14ac:dyDescent="0.15">
      <c r="A245">
        <v>1200</v>
      </c>
      <c r="B245">
        <v>1620.26</v>
      </c>
      <c r="C245">
        <v>1620.18</v>
      </c>
      <c r="D245">
        <v>1620.09</v>
      </c>
      <c r="E245">
        <v>1620.01</v>
      </c>
      <c r="F245">
        <v>1619.92</v>
      </c>
      <c r="G245">
        <v>1619.83</v>
      </c>
      <c r="H245">
        <v>1619.75</v>
      </c>
      <c r="I245">
        <v>1619.66</v>
      </c>
      <c r="J245">
        <v>1619.58</v>
      </c>
      <c r="K245">
        <v>1619.49</v>
      </c>
      <c r="L245">
        <v>1619.41</v>
      </c>
    </row>
    <row r="246" spans="1:12" x14ac:dyDescent="0.15">
      <c r="A246">
        <v>1205</v>
      </c>
      <c r="B246">
        <v>1620.34</v>
      </c>
      <c r="C246">
        <v>1620.25</v>
      </c>
      <c r="D246">
        <v>1620.17</v>
      </c>
      <c r="E246">
        <v>1620.08</v>
      </c>
      <c r="F246">
        <v>1620</v>
      </c>
      <c r="G246">
        <v>1619.91</v>
      </c>
      <c r="H246">
        <v>1619.83</v>
      </c>
      <c r="I246">
        <v>1619.74</v>
      </c>
      <c r="J246">
        <v>1619.65</v>
      </c>
      <c r="K246">
        <v>1619.57</v>
      </c>
      <c r="L246">
        <v>1619.48</v>
      </c>
    </row>
    <row r="247" spans="1:12" x14ac:dyDescent="0.15">
      <c r="A247">
        <v>1210</v>
      </c>
      <c r="B247">
        <v>1620.41</v>
      </c>
      <c r="C247">
        <v>1620.33</v>
      </c>
      <c r="D247">
        <v>1620.24</v>
      </c>
      <c r="E247">
        <v>1620.16</v>
      </c>
      <c r="F247">
        <v>1620.07</v>
      </c>
      <c r="G247">
        <v>1619.99</v>
      </c>
      <c r="H247">
        <v>1619.9</v>
      </c>
      <c r="I247">
        <v>1619.82</v>
      </c>
      <c r="J247">
        <v>1619.73</v>
      </c>
      <c r="K247">
        <v>1619.64</v>
      </c>
      <c r="L247">
        <v>1619.56</v>
      </c>
    </row>
    <row r="248" spans="1:12" x14ac:dyDescent="0.15">
      <c r="A248">
        <v>1215</v>
      </c>
      <c r="B248">
        <v>1620.49</v>
      </c>
      <c r="C248">
        <v>1620.41</v>
      </c>
      <c r="D248">
        <v>1620.32</v>
      </c>
      <c r="E248">
        <v>1620.23</v>
      </c>
      <c r="F248">
        <v>1620.15</v>
      </c>
      <c r="G248">
        <v>1620.06</v>
      </c>
      <c r="H248">
        <v>1619.98</v>
      </c>
      <c r="I248">
        <v>1619.89</v>
      </c>
      <c r="J248">
        <v>1619.81</v>
      </c>
      <c r="K248">
        <v>1619.72</v>
      </c>
      <c r="L248">
        <v>1619.63</v>
      </c>
    </row>
    <row r="249" spans="1:12" x14ac:dyDescent="0.15">
      <c r="A249">
        <v>1220</v>
      </c>
      <c r="B249">
        <v>1620.57</v>
      </c>
      <c r="C249">
        <v>1620.48</v>
      </c>
      <c r="D249">
        <v>1620.4</v>
      </c>
      <c r="E249">
        <v>1620.31</v>
      </c>
      <c r="F249">
        <v>1620.23</v>
      </c>
      <c r="G249">
        <v>1620.14</v>
      </c>
      <c r="H249">
        <v>1620.05</v>
      </c>
      <c r="I249">
        <v>1619.97</v>
      </c>
      <c r="J249">
        <v>1619.88</v>
      </c>
      <c r="K249">
        <v>1619.8</v>
      </c>
      <c r="L249">
        <v>1619.71</v>
      </c>
    </row>
    <row r="250" spans="1:12" x14ac:dyDescent="0.15">
      <c r="A250">
        <v>1225</v>
      </c>
      <c r="B250">
        <v>1620.64</v>
      </c>
      <c r="C250">
        <v>1620.56</v>
      </c>
      <c r="D250">
        <v>1620.47</v>
      </c>
      <c r="E250">
        <v>1620.39</v>
      </c>
      <c r="F250">
        <v>1620.3</v>
      </c>
      <c r="G250">
        <v>1620.22</v>
      </c>
      <c r="H250">
        <v>1620.13</v>
      </c>
      <c r="I250">
        <v>1620.04</v>
      </c>
      <c r="J250">
        <v>1619.96</v>
      </c>
      <c r="K250">
        <v>1619.87</v>
      </c>
      <c r="L250">
        <v>1619.79</v>
      </c>
    </row>
    <row r="251" spans="1:12" x14ac:dyDescent="0.15">
      <c r="A251">
        <v>1230</v>
      </c>
      <c r="B251">
        <v>1620.72</v>
      </c>
      <c r="C251">
        <v>1620.63</v>
      </c>
      <c r="D251">
        <v>1620.55</v>
      </c>
      <c r="E251">
        <v>1620.46</v>
      </c>
      <c r="F251">
        <v>1620.38</v>
      </c>
      <c r="G251">
        <v>1620.29</v>
      </c>
      <c r="H251">
        <v>1620.21</v>
      </c>
      <c r="I251">
        <v>1620.12</v>
      </c>
      <c r="J251">
        <v>1620.03</v>
      </c>
      <c r="K251">
        <v>1619.95</v>
      </c>
      <c r="L251">
        <v>1619.86</v>
      </c>
    </row>
    <row r="252" spans="1:12" x14ac:dyDescent="0.15">
      <c r="A252">
        <v>1235</v>
      </c>
      <c r="B252">
        <v>1620.8</v>
      </c>
      <c r="C252">
        <v>1620.71</v>
      </c>
      <c r="D252">
        <v>1620.63</v>
      </c>
      <c r="E252">
        <v>1620.54</v>
      </c>
      <c r="F252">
        <v>1620.45</v>
      </c>
      <c r="G252">
        <v>1620.37</v>
      </c>
      <c r="H252">
        <v>1620.28</v>
      </c>
      <c r="I252">
        <v>1620.2</v>
      </c>
      <c r="J252">
        <v>1620.11</v>
      </c>
      <c r="K252">
        <v>1620.03</v>
      </c>
      <c r="L252">
        <v>1619.94</v>
      </c>
    </row>
    <row r="253" spans="1:12" x14ac:dyDescent="0.15">
      <c r="A253">
        <v>1240</v>
      </c>
      <c r="B253">
        <v>1620.87</v>
      </c>
      <c r="C253">
        <v>1620.79</v>
      </c>
      <c r="D253">
        <v>1620.7</v>
      </c>
      <c r="E253">
        <v>1620.62</v>
      </c>
      <c r="F253">
        <v>1620.53</v>
      </c>
      <c r="G253">
        <v>1620.44</v>
      </c>
      <c r="H253">
        <v>1620.36</v>
      </c>
      <c r="I253">
        <v>1620.27</v>
      </c>
      <c r="J253">
        <v>1620.19</v>
      </c>
      <c r="K253">
        <v>1620.1</v>
      </c>
      <c r="L253">
        <v>1620.02</v>
      </c>
    </row>
    <row r="254" spans="1:12" x14ac:dyDescent="0.15">
      <c r="A254">
        <v>1245</v>
      </c>
      <c r="B254">
        <v>1620.95</v>
      </c>
      <c r="C254">
        <v>1620.86</v>
      </c>
      <c r="D254">
        <v>1620.78</v>
      </c>
      <c r="E254">
        <v>1620.69</v>
      </c>
      <c r="F254">
        <v>1620.61</v>
      </c>
      <c r="G254">
        <v>1620.52</v>
      </c>
      <c r="H254">
        <v>1620.44</v>
      </c>
      <c r="I254">
        <v>1620.35</v>
      </c>
      <c r="J254">
        <v>1620.26</v>
      </c>
      <c r="K254">
        <v>1620.18</v>
      </c>
      <c r="L254">
        <v>1620.09</v>
      </c>
    </row>
    <row r="255" spans="1:12" x14ac:dyDescent="0.15">
      <c r="A255">
        <v>1250</v>
      </c>
      <c r="B255">
        <v>1621.03</v>
      </c>
      <c r="C255">
        <v>1620.94</v>
      </c>
      <c r="D255">
        <v>1620.85</v>
      </c>
      <c r="E255">
        <v>1620.77</v>
      </c>
      <c r="F255">
        <v>1620.68</v>
      </c>
      <c r="G255">
        <v>1620.6</v>
      </c>
      <c r="H255">
        <v>1620.51</v>
      </c>
      <c r="I255">
        <v>1620.43</v>
      </c>
      <c r="J255">
        <v>1620.34</v>
      </c>
      <c r="K255">
        <v>1620.25</v>
      </c>
      <c r="L255">
        <v>1620.17</v>
      </c>
    </row>
    <row r="256" spans="1:12" x14ac:dyDescent="0.15">
      <c r="A256">
        <v>1255</v>
      </c>
      <c r="B256">
        <v>1621.1</v>
      </c>
      <c r="C256">
        <v>1621.02</v>
      </c>
      <c r="D256">
        <v>1620.93</v>
      </c>
      <c r="E256">
        <v>1620.84</v>
      </c>
      <c r="F256">
        <v>1620.76</v>
      </c>
      <c r="G256">
        <v>1620.67</v>
      </c>
      <c r="H256">
        <v>1620.59</v>
      </c>
      <c r="I256">
        <v>1620.5</v>
      </c>
      <c r="J256">
        <v>1620.42</v>
      </c>
      <c r="K256">
        <v>1620.33</v>
      </c>
      <c r="L256">
        <v>1620.24</v>
      </c>
    </row>
    <row r="257" spans="1:12" x14ac:dyDescent="0.15">
      <c r="A257">
        <v>1260</v>
      </c>
      <c r="B257">
        <v>1621.18</v>
      </c>
      <c r="C257">
        <v>1621.09</v>
      </c>
      <c r="D257">
        <v>1621.01</v>
      </c>
      <c r="E257">
        <v>1620.92</v>
      </c>
      <c r="F257">
        <v>1620.84</v>
      </c>
      <c r="G257">
        <v>1620.75</v>
      </c>
      <c r="H257">
        <v>1620.66</v>
      </c>
      <c r="I257">
        <v>1620.58</v>
      </c>
      <c r="J257">
        <v>1620.49</v>
      </c>
      <c r="K257">
        <v>1620.41</v>
      </c>
      <c r="L257">
        <v>1620.32</v>
      </c>
    </row>
    <row r="258" spans="1:12" x14ac:dyDescent="0.15">
      <c r="A258">
        <v>1265</v>
      </c>
      <c r="B258">
        <v>1621.25</v>
      </c>
      <c r="C258">
        <v>1621.17</v>
      </c>
      <c r="D258">
        <v>1621.08</v>
      </c>
      <c r="E258">
        <v>1621</v>
      </c>
      <c r="F258">
        <v>1620.91</v>
      </c>
      <c r="G258">
        <v>1620.83</v>
      </c>
      <c r="H258">
        <v>1620.74</v>
      </c>
      <c r="I258">
        <v>1620.65</v>
      </c>
      <c r="J258">
        <v>1620.57</v>
      </c>
      <c r="K258">
        <v>1620.48</v>
      </c>
      <c r="L258">
        <v>1620.4</v>
      </c>
    </row>
    <row r="259" spans="1:12" x14ac:dyDescent="0.15">
      <c r="A259">
        <v>1270</v>
      </c>
      <c r="B259">
        <v>1621.33</v>
      </c>
      <c r="C259">
        <v>1621.24</v>
      </c>
      <c r="D259">
        <v>1621.16</v>
      </c>
      <c r="E259">
        <v>1621.07</v>
      </c>
      <c r="F259">
        <v>1620.99</v>
      </c>
      <c r="G259">
        <v>1620.9</v>
      </c>
      <c r="H259">
        <v>1620.82</v>
      </c>
      <c r="I259">
        <v>1620.73</v>
      </c>
      <c r="J259">
        <v>1620.65</v>
      </c>
      <c r="K259">
        <v>1620.56</v>
      </c>
      <c r="L259">
        <v>1620.47</v>
      </c>
    </row>
    <row r="260" spans="1:12" x14ac:dyDescent="0.15">
      <c r="A260">
        <v>1275</v>
      </c>
      <c r="B260">
        <v>1621.41</v>
      </c>
      <c r="C260">
        <v>1621.32</v>
      </c>
      <c r="D260">
        <v>1621.24</v>
      </c>
      <c r="E260">
        <v>1621.15</v>
      </c>
      <c r="F260">
        <v>1621.06</v>
      </c>
      <c r="G260">
        <v>1620.98</v>
      </c>
      <c r="H260">
        <v>1620.89</v>
      </c>
      <c r="I260">
        <v>1620.81</v>
      </c>
      <c r="J260">
        <v>1620.72</v>
      </c>
      <c r="K260">
        <v>1620.64</v>
      </c>
      <c r="L260">
        <v>1620.55</v>
      </c>
    </row>
    <row r="261" spans="1:12" x14ac:dyDescent="0.15">
      <c r="A261">
        <v>1280</v>
      </c>
      <c r="B261">
        <v>1621.48</v>
      </c>
      <c r="C261">
        <v>1621.4</v>
      </c>
      <c r="D261">
        <v>1621.31</v>
      </c>
      <c r="E261">
        <v>1621.23</v>
      </c>
      <c r="F261">
        <v>1621.14</v>
      </c>
      <c r="G261">
        <v>1621.06</v>
      </c>
      <c r="H261">
        <v>1620.97</v>
      </c>
      <c r="I261">
        <v>1620.88</v>
      </c>
      <c r="J261">
        <v>1620.8</v>
      </c>
      <c r="K261">
        <v>1620.71</v>
      </c>
      <c r="L261">
        <v>1620.63</v>
      </c>
    </row>
    <row r="262" spans="1:12" x14ac:dyDescent="0.15">
      <c r="A262">
        <v>1285</v>
      </c>
      <c r="B262">
        <v>1621.56</v>
      </c>
      <c r="C262">
        <v>1621.47</v>
      </c>
      <c r="D262">
        <v>1621.39</v>
      </c>
      <c r="E262">
        <v>1621.3</v>
      </c>
      <c r="F262">
        <v>1621.22</v>
      </c>
      <c r="G262">
        <v>1621.13</v>
      </c>
      <c r="H262">
        <v>1621.05</v>
      </c>
      <c r="I262">
        <v>1620.96</v>
      </c>
      <c r="J262">
        <v>1620.87</v>
      </c>
      <c r="K262">
        <v>1620.79</v>
      </c>
      <c r="L262">
        <v>1620.7</v>
      </c>
    </row>
    <row r="263" spans="1:12" x14ac:dyDescent="0.15">
      <c r="A263">
        <v>1290</v>
      </c>
      <c r="B263">
        <v>1621.64</v>
      </c>
      <c r="C263">
        <v>1621.55</v>
      </c>
      <c r="D263">
        <v>1621.46</v>
      </c>
      <c r="E263">
        <v>1621.38</v>
      </c>
      <c r="F263">
        <v>1621.29</v>
      </c>
      <c r="G263">
        <v>1621.21</v>
      </c>
      <c r="H263">
        <v>1621.12</v>
      </c>
      <c r="I263">
        <v>1621.04</v>
      </c>
      <c r="J263">
        <v>1620.95</v>
      </c>
      <c r="K263">
        <v>1620.86</v>
      </c>
      <c r="L263">
        <v>1620.78</v>
      </c>
    </row>
    <row r="264" spans="1:12" x14ac:dyDescent="0.15">
      <c r="A264">
        <v>1295</v>
      </c>
      <c r="B264">
        <v>1621.71</v>
      </c>
      <c r="C264">
        <v>1621.63</v>
      </c>
      <c r="D264">
        <v>1621.54</v>
      </c>
      <c r="E264">
        <v>1621.46</v>
      </c>
      <c r="F264">
        <v>1621.37</v>
      </c>
      <c r="G264">
        <v>1621.28</v>
      </c>
      <c r="H264">
        <v>1621.2</v>
      </c>
      <c r="I264">
        <v>1621.11</v>
      </c>
      <c r="J264">
        <v>1621.03</v>
      </c>
      <c r="K264">
        <v>1620.94</v>
      </c>
      <c r="L264">
        <v>1620.86</v>
      </c>
    </row>
    <row r="265" spans="1:12" x14ac:dyDescent="0.15">
      <c r="A265">
        <v>1300</v>
      </c>
      <c r="B265">
        <v>1621.79</v>
      </c>
      <c r="C265">
        <v>1621.7</v>
      </c>
      <c r="D265">
        <v>1621.62</v>
      </c>
      <c r="E265">
        <v>1621.53</v>
      </c>
      <c r="F265">
        <v>1621.45</v>
      </c>
      <c r="G265">
        <v>1621.36</v>
      </c>
      <c r="H265">
        <v>1621.27</v>
      </c>
      <c r="I265">
        <v>1621.19</v>
      </c>
      <c r="J265">
        <v>1621.1</v>
      </c>
      <c r="K265">
        <v>1621.02</v>
      </c>
      <c r="L265">
        <v>1620.93</v>
      </c>
    </row>
    <row r="266" spans="1:12" x14ac:dyDescent="0.15">
      <c r="A266">
        <v>1305</v>
      </c>
      <c r="B266">
        <v>1621.86</v>
      </c>
      <c r="C266">
        <v>1621.78</v>
      </c>
      <c r="D266">
        <v>1621.69</v>
      </c>
      <c r="E266">
        <v>1621.61</v>
      </c>
      <c r="F266">
        <v>1621.52</v>
      </c>
      <c r="G266">
        <v>1621.44</v>
      </c>
      <c r="H266">
        <v>1621.35</v>
      </c>
      <c r="I266">
        <v>1621.27</v>
      </c>
      <c r="J266">
        <v>1621.18</v>
      </c>
      <c r="K266">
        <v>1621.09</v>
      </c>
      <c r="L266">
        <v>1621.01</v>
      </c>
    </row>
    <row r="267" spans="1:12" x14ac:dyDescent="0.15">
      <c r="A267">
        <v>1310</v>
      </c>
      <c r="B267">
        <v>1621.94</v>
      </c>
      <c r="C267">
        <v>1621.86</v>
      </c>
      <c r="D267">
        <v>1621.77</v>
      </c>
      <c r="E267">
        <v>1621.68</v>
      </c>
      <c r="F267">
        <v>1621.6</v>
      </c>
      <c r="G267">
        <v>1621.51</v>
      </c>
      <c r="H267">
        <v>1621.43</v>
      </c>
      <c r="I267">
        <v>1621.34</v>
      </c>
      <c r="J267">
        <v>1621.26</v>
      </c>
      <c r="K267">
        <v>1621.17</v>
      </c>
      <c r="L267">
        <v>1621.08</v>
      </c>
    </row>
    <row r="268" spans="1:12" x14ac:dyDescent="0.15">
      <c r="A268">
        <v>1315</v>
      </c>
      <c r="B268">
        <v>1622.02</v>
      </c>
      <c r="C268">
        <v>1621.93</v>
      </c>
      <c r="D268">
        <v>1621.85</v>
      </c>
      <c r="E268">
        <v>1621.76</v>
      </c>
      <c r="F268">
        <v>1621.67</v>
      </c>
      <c r="G268">
        <v>1621.59</v>
      </c>
      <c r="H268">
        <v>1621.5</v>
      </c>
      <c r="I268">
        <v>1621.42</v>
      </c>
      <c r="J268">
        <v>1621.33</v>
      </c>
      <c r="K268">
        <v>1621.25</v>
      </c>
      <c r="L268">
        <v>1621.16</v>
      </c>
    </row>
    <row r="269" spans="1:12" x14ac:dyDescent="0.15">
      <c r="A269">
        <v>1320</v>
      </c>
      <c r="B269">
        <v>1622.09</v>
      </c>
      <c r="C269">
        <v>1622.01</v>
      </c>
      <c r="D269">
        <v>1621.92</v>
      </c>
      <c r="E269">
        <v>1621.84</v>
      </c>
      <c r="F269">
        <v>1621.75</v>
      </c>
      <c r="G269">
        <v>1621.67</v>
      </c>
      <c r="H269">
        <v>1621.58</v>
      </c>
      <c r="I269">
        <v>1621.49</v>
      </c>
      <c r="J269">
        <v>1621.41</v>
      </c>
      <c r="K269">
        <v>1621.32</v>
      </c>
      <c r="L269">
        <v>1621.24</v>
      </c>
    </row>
    <row r="270" spans="1:12" x14ac:dyDescent="0.15">
      <c r="A270">
        <v>1325</v>
      </c>
      <c r="B270">
        <v>1622.17</v>
      </c>
      <c r="C270">
        <v>1622.08</v>
      </c>
      <c r="D270">
        <v>1622</v>
      </c>
      <c r="E270">
        <v>1621.91</v>
      </c>
      <c r="F270">
        <v>1621.83</v>
      </c>
      <c r="G270">
        <v>1621.74</v>
      </c>
      <c r="H270">
        <v>1621.66</v>
      </c>
      <c r="I270">
        <v>1621.57</v>
      </c>
      <c r="J270">
        <v>1621.48</v>
      </c>
      <c r="K270">
        <v>1621.4</v>
      </c>
      <c r="L270">
        <v>1621.31</v>
      </c>
    </row>
    <row r="271" spans="1:12" x14ac:dyDescent="0.15">
      <c r="A271">
        <v>1330</v>
      </c>
      <c r="B271">
        <v>1622.25</v>
      </c>
      <c r="C271">
        <v>1622.16</v>
      </c>
      <c r="D271">
        <v>1622.07</v>
      </c>
      <c r="E271">
        <v>1621.99</v>
      </c>
      <c r="F271">
        <v>1621.9</v>
      </c>
      <c r="G271">
        <v>1621.82</v>
      </c>
      <c r="H271">
        <v>1621.73</v>
      </c>
      <c r="I271">
        <v>1621.65</v>
      </c>
      <c r="J271">
        <v>1621.56</v>
      </c>
      <c r="K271">
        <v>1621.47</v>
      </c>
      <c r="L271">
        <v>1621.39</v>
      </c>
    </row>
    <row r="272" spans="1:12" x14ac:dyDescent="0.15">
      <c r="A272">
        <v>1335</v>
      </c>
      <c r="B272">
        <v>1622.32</v>
      </c>
      <c r="C272">
        <v>1622.24</v>
      </c>
      <c r="D272">
        <v>1622.15</v>
      </c>
      <c r="E272">
        <v>1622.07</v>
      </c>
      <c r="F272">
        <v>1621.98</v>
      </c>
      <c r="G272">
        <v>1621.89</v>
      </c>
      <c r="H272">
        <v>1621.81</v>
      </c>
      <c r="I272">
        <v>1621.72</v>
      </c>
      <c r="J272">
        <v>1621.64</v>
      </c>
      <c r="K272">
        <v>1621.55</v>
      </c>
      <c r="L272">
        <v>1621.47</v>
      </c>
    </row>
    <row r="273" spans="1:12" x14ac:dyDescent="0.15">
      <c r="A273">
        <v>1340</v>
      </c>
      <c r="B273">
        <v>1622.4</v>
      </c>
      <c r="C273">
        <v>1622.31</v>
      </c>
      <c r="D273">
        <v>1622.23</v>
      </c>
      <c r="E273">
        <v>1622.14</v>
      </c>
      <c r="F273">
        <v>1622.06</v>
      </c>
      <c r="G273">
        <v>1621.97</v>
      </c>
      <c r="H273">
        <v>1621.89</v>
      </c>
      <c r="I273">
        <v>1621.8</v>
      </c>
      <c r="J273">
        <v>1621.71</v>
      </c>
      <c r="K273">
        <v>1621.63</v>
      </c>
      <c r="L273">
        <v>1621.54</v>
      </c>
    </row>
    <row r="274" spans="1:12" x14ac:dyDescent="0.15">
      <c r="A274">
        <v>1345</v>
      </c>
      <c r="B274">
        <v>1622.47</v>
      </c>
      <c r="C274">
        <v>1622.39</v>
      </c>
      <c r="D274">
        <v>1622.3</v>
      </c>
      <c r="E274">
        <v>1622.22</v>
      </c>
      <c r="F274">
        <v>1622.13</v>
      </c>
      <c r="G274">
        <v>1622.05</v>
      </c>
      <c r="H274">
        <v>1621.96</v>
      </c>
      <c r="I274">
        <v>1621.88</v>
      </c>
      <c r="J274">
        <v>1621.79</v>
      </c>
      <c r="K274">
        <v>1621.7</v>
      </c>
      <c r="L274">
        <v>1621.62</v>
      </c>
    </row>
    <row r="275" spans="1:12" x14ac:dyDescent="0.15">
      <c r="A275">
        <v>1350</v>
      </c>
      <c r="B275">
        <v>1622.55</v>
      </c>
      <c r="C275">
        <v>1622.47</v>
      </c>
      <c r="D275">
        <v>1622.38</v>
      </c>
      <c r="E275">
        <v>1622.29</v>
      </c>
      <c r="F275">
        <v>1622.21</v>
      </c>
      <c r="G275">
        <v>1622.12</v>
      </c>
      <c r="H275">
        <v>1622.04</v>
      </c>
      <c r="I275">
        <v>1621.95</v>
      </c>
      <c r="J275">
        <v>1621.87</v>
      </c>
      <c r="K275">
        <v>1621.78</v>
      </c>
      <c r="L275">
        <v>1621.69</v>
      </c>
    </row>
    <row r="276" spans="1:12" x14ac:dyDescent="0.15">
      <c r="A276">
        <v>1355</v>
      </c>
      <c r="B276">
        <v>1622.63</v>
      </c>
      <c r="C276">
        <v>1622.54</v>
      </c>
      <c r="D276">
        <v>1622.46</v>
      </c>
      <c r="E276">
        <v>1622.37</v>
      </c>
      <c r="F276">
        <v>1622.29</v>
      </c>
      <c r="G276">
        <v>1622.2</v>
      </c>
      <c r="H276">
        <v>1622.11</v>
      </c>
      <c r="I276">
        <v>1622.03</v>
      </c>
      <c r="J276">
        <v>1621.94</v>
      </c>
      <c r="K276">
        <v>1621.86</v>
      </c>
      <c r="L276">
        <v>1621.77</v>
      </c>
    </row>
    <row r="277" spans="1:12" x14ac:dyDescent="0.15">
      <c r="A277">
        <v>1360</v>
      </c>
      <c r="B277">
        <v>1622.7</v>
      </c>
      <c r="C277">
        <v>1622.62</v>
      </c>
      <c r="D277">
        <v>1622.53</v>
      </c>
      <c r="E277">
        <v>1622.45</v>
      </c>
      <c r="F277">
        <v>1622.36</v>
      </c>
      <c r="G277">
        <v>1622.28</v>
      </c>
      <c r="H277">
        <v>1622.19</v>
      </c>
      <c r="I277">
        <v>1622.1</v>
      </c>
      <c r="J277">
        <v>1622.02</v>
      </c>
      <c r="K277">
        <v>1621.93</v>
      </c>
      <c r="L277">
        <v>1621.85</v>
      </c>
    </row>
    <row r="278" spans="1:12" x14ac:dyDescent="0.15">
      <c r="A278">
        <v>1365</v>
      </c>
      <c r="B278">
        <v>1622.78</v>
      </c>
      <c r="C278">
        <v>1622.69</v>
      </c>
      <c r="D278">
        <v>1622.61</v>
      </c>
      <c r="E278">
        <v>1622.52</v>
      </c>
      <c r="F278">
        <v>1622.44</v>
      </c>
      <c r="G278">
        <v>1622.35</v>
      </c>
      <c r="H278">
        <v>1622.27</v>
      </c>
      <c r="I278">
        <v>1622.18</v>
      </c>
      <c r="J278">
        <v>1622.09</v>
      </c>
      <c r="K278">
        <v>1622.01</v>
      </c>
      <c r="L278">
        <v>1621.92</v>
      </c>
    </row>
    <row r="279" spans="1:12" x14ac:dyDescent="0.15">
      <c r="A279">
        <v>1370</v>
      </c>
      <c r="B279">
        <v>1622.86</v>
      </c>
      <c r="C279">
        <v>1622.77</v>
      </c>
      <c r="D279">
        <v>1622.69</v>
      </c>
      <c r="E279">
        <v>1622.6</v>
      </c>
      <c r="F279">
        <v>1622.51</v>
      </c>
      <c r="G279">
        <v>1622.43</v>
      </c>
      <c r="H279">
        <v>1622.34</v>
      </c>
      <c r="I279">
        <v>1622.26</v>
      </c>
      <c r="J279">
        <v>1622.17</v>
      </c>
      <c r="K279">
        <v>1622.09</v>
      </c>
      <c r="L279">
        <v>1622</v>
      </c>
    </row>
    <row r="280" spans="1:12" x14ac:dyDescent="0.15">
      <c r="A280">
        <v>1375</v>
      </c>
      <c r="B280">
        <v>1622.93</v>
      </c>
      <c r="C280">
        <v>1622.85</v>
      </c>
      <c r="D280">
        <v>1622.76</v>
      </c>
      <c r="E280">
        <v>1622.68</v>
      </c>
      <c r="F280">
        <v>1622.59</v>
      </c>
      <c r="G280">
        <v>1622.5</v>
      </c>
      <c r="H280">
        <v>1622.42</v>
      </c>
      <c r="I280">
        <v>1622.33</v>
      </c>
      <c r="J280">
        <v>1622.25</v>
      </c>
      <c r="K280">
        <v>1622.16</v>
      </c>
      <c r="L280">
        <v>1622.08</v>
      </c>
    </row>
    <row r="281" spans="1:12" x14ac:dyDescent="0.15">
      <c r="A281">
        <v>1380</v>
      </c>
      <c r="B281">
        <v>1623.01</v>
      </c>
      <c r="C281">
        <v>1622.92</v>
      </c>
      <c r="D281">
        <v>1622.84</v>
      </c>
      <c r="E281">
        <v>1622.75</v>
      </c>
      <c r="F281">
        <v>1622.67</v>
      </c>
      <c r="G281">
        <v>1622.58</v>
      </c>
      <c r="H281">
        <v>1622.5</v>
      </c>
      <c r="I281">
        <v>1622.41</v>
      </c>
      <c r="J281">
        <v>1622.32</v>
      </c>
      <c r="K281">
        <v>1622.24</v>
      </c>
      <c r="L281">
        <v>1622.15</v>
      </c>
    </row>
    <row r="282" spans="1:12" x14ac:dyDescent="0.15">
      <c r="A282">
        <v>1385</v>
      </c>
      <c r="B282">
        <v>1623.08</v>
      </c>
      <c r="C282">
        <v>1623</v>
      </c>
      <c r="D282">
        <v>1622.91</v>
      </c>
      <c r="E282">
        <v>1622.83</v>
      </c>
      <c r="F282">
        <v>1622.74</v>
      </c>
      <c r="G282">
        <v>1622.66</v>
      </c>
      <c r="H282">
        <v>1622.57</v>
      </c>
      <c r="I282">
        <v>1622.49</v>
      </c>
      <c r="J282">
        <v>1622.4</v>
      </c>
      <c r="K282">
        <v>1622.31</v>
      </c>
      <c r="L282">
        <v>1622.23</v>
      </c>
    </row>
    <row r="283" spans="1:12" x14ac:dyDescent="0.15">
      <c r="A283">
        <v>1390</v>
      </c>
      <c r="B283">
        <v>1623.16</v>
      </c>
      <c r="C283">
        <v>1623.08</v>
      </c>
      <c r="D283">
        <v>1622.99</v>
      </c>
      <c r="E283">
        <v>1622.9</v>
      </c>
      <c r="F283">
        <v>1622.82</v>
      </c>
      <c r="G283">
        <v>1622.73</v>
      </c>
      <c r="H283">
        <v>1622.65</v>
      </c>
      <c r="I283">
        <v>1622.56</v>
      </c>
      <c r="J283">
        <v>1622.48</v>
      </c>
      <c r="K283">
        <v>1622.39</v>
      </c>
      <c r="L283">
        <v>1622.3</v>
      </c>
    </row>
    <row r="284" spans="1:12" x14ac:dyDescent="0.15">
      <c r="A284">
        <v>1395</v>
      </c>
      <c r="B284">
        <v>1623.24</v>
      </c>
      <c r="C284">
        <v>1623.15</v>
      </c>
      <c r="D284">
        <v>1623.07</v>
      </c>
      <c r="E284">
        <v>1622.98</v>
      </c>
      <c r="F284">
        <v>1622.9</v>
      </c>
      <c r="G284">
        <v>1622.81</v>
      </c>
      <c r="H284">
        <v>1622.72</v>
      </c>
      <c r="I284">
        <v>1622.64</v>
      </c>
      <c r="J284">
        <v>1622.55</v>
      </c>
      <c r="K284">
        <v>1622.47</v>
      </c>
      <c r="L284">
        <v>1622.38</v>
      </c>
    </row>
    <row r="285" spans="1:12" x14ac:dyDescent="0.15">
      <c r="A285">
        <v>1400</v>
      </c>
      <c r="B285">
        <v>1623.31</v>
      </c>
      <c r="C285">
        <v>1623.23</v>
      </c>
      <c r="D285">
        <v>1623.14</v>
      </c>
      <c r="E285">
        <v>1623.06</v>
      </c>
      <c r="F285">
        <v>1622.97</v>
      </c>
      <c r="G285">
        <v>1622.89</v>
      </c>
      <c r="H285">
        <v>1622.8</v>
      </c>
      <c r="I285">
        <v>1622.72</v>
      </c>
      <c r="J285">
        <v>1622.63</v>
      </c>
      <c r="K285">
        <v>1622.54</v>
      </c>
      <c r="L285">
        <v>1622.46</v>
      </c>
    </row>
    <row r="286" spans="1:12" x14ac:dyDescent="0.15">
      <c r="A286">
        <v>1405</v>
      </c>
      <c r="B286">
        <v>1623.39</v>
      </c>
      <c r="C286">
        <v>1623.3</v>
      </c>
      <c r="D286">
        <v>1623.22</v>
      </c>
      <c r="E286">
        <v>1623.13</v>
      </c>
      <c r="F286">
        <v>1623.05</v>
      </c>
      <c r="G286">
        <v>1622.96</v>
      </c>
      <c r="H286">
        <v>1622.88</v>
      </c>
      <c r="I286">
        <v>1622.79</v>
      </c>
      <c r="J286">
        <v>1622.7</v>
      </c>
      <c r="K286">
        <v>1622.62</v>
      </c>
      <c r="L286">
        <v>1622.53</v>
      </c>
    </row>
    <row r="287" spans="1:12" x14ac:dyDescent="0.15">
      <c r="A287">
        <v>1410</v>
      </c>
      <c r="B287">
        <v>1623.47</v>
      </c>
      <c r="C287">
        <v>1623.38</v>
      </c>
      <c r="D287">
        <v>1623.3</v>
      </c>
      <c r="E287">
        <v>1623.21</v>
      </c>
      <c r="F287">
        <v>1623.12</v>
      </c>
      <c r="G287">
        <v>1623.04</v>
      </c>
      <c r="H287">
        <v>1622.95</v>
      </c>
      <c r="I287">
        <v>1622.87</v>
      </c>
      <c r="J287">
        <v>1622.78</v>
      </c>
      <c r="K287">
        <v>1622.7</v>
      </c>
      <c r="L287">
        <v>1622.61</v>
      </c>
    </row>
    <row r="288" spans="1:12" x14ac:dyDescent="0.15">
      <c r="A288">
        <v>1415</v>
      </c>
      <c r="B288">
        <v>1623.54</v>
      </c>
      <c r="C288">
        <v>1623.46</v>
      </c>
      <c r="D288">
        <v>1623.37</v>
      </c>
      <c r="E288">
        <v>1623.29</v>
      </c>
      <c r="F288">
        <v>1623.2</v>
      </c>
      <c r="G288">
        <v>1623.12</v>
      </c>
      <c r="H288">
        <v>1623.03</v>
      </c>
      <c r="I288">
        <v>1622.94</v>
      </c>
      <c r="J288">
        <v>1622.86</v>
      </c>
      <c r="K288">
        <v>1622.77</v>
      </c>
      <c r="L288">
        <v>1622.69</v>
      </c>
    </row>
    <row r="289" spans="1:12" x14ac:dyDescent="0.15">
      <c r="A289">
        <v>1420</v>
      </c>
      <c r="B289">
        <v>1623.62</v>
      </c>
      <c r="C289">
        <v>1623.53</v>
      </c>
      <c r="D289">
        <v>1623.45</v>
      </c>
      <c r="E289">
        <v>1623.36</v>
      </c>
      <c r="F289">
        <v>1623.28</v>
      </c>
      <c r="G289">
        <v>1623.19</v>
      </c>
      <c r="H289">
        <v>1623.11</v>
      </c>
      <c r="I289">
        <v>1623.02</v>
      </c>
      <c r="J289">
        <v>1622.93</v>
      </c>
      <c r="K289">
        <v>1622.85</v>
      </c>
      <c r="L289">
        <v>1622.76</v>
      </c>
    </row>
    <row r="290" spans="1:12" x14ac:dyDescent="0.15">
      <c r="A290">
        <v>1425</v>
      </c>
      <c r="B290">
        <v>1623.7</v>
      </c>
      <c r="C290">
        <v>1623.61</v>
      </c>
      <c r="D290">
        <v>1623.52</v>
      </c>
      <c r="E290">
        <v>1623.44</v>
      </c>
      <c r="F290">
        <v>1623.35</v>
      </c>
      <c r="G290">
        <v>1623.27</v>
      </c>
      <c r="H290">
        <v>1623.18</v>
      </c>
      <c r="I290">
        <v>1623.1</v>
      </c>
      <c r="J290">
        <v>1623.01</v>
      </c>
      <c r="K290">
        <v>1622.92</v>
      </c>
      <c r="L290">
        <v>1622.84</v>
      </c>
    </row>
    <row r="291" spans="1:12" x14ac:dyDescent="0.15">
      <c r="A291">
        <v>1430</v>
      </c>
      <c r="B291">
        <v>1623.77</v>
      </c>
      <c r="C291">
        <v>1623.69</v>
      </c>
      <c r="D291">
        <v>1623.6</v>
      </c>
      <c r="E291">
        <v>1623.52</v>
      </c>
      <c r="F291">
        <v>1623.43</v>
      </c>
      <c r="G291">
        <v>1623.34</v>
      </c>
      <c r="H291">
        <v>1623.26</v>
      </c>
      <c r="I291">
        <v>1623.17</v>
      </c>
      <c r="J291">
        <v>1623.09</v>
      </c>
      <c r="K291">
        <v>1623</v>
      </c>
      <c r="L291">
        <v>1622.92</v>
      </c>
    </row>
    <row r="292" spans="1:12" x14ac:dyDescent="0.15">
      <c r="A292">
        <v>1435</v>
      </c>
      <c r="B292">
        <v>1623.85</v>
      </c>
      <c r="C292">
        <v>1623.76</v>
      </c>
      <c r="D292">
        <v>1623.68</v>
      </c>
      <c r="E292">
        <v>1623.59</v>
      </c>
      <c r="F292">
        <v>1623.51</v>
      </c>
      <c r="G292">
        <v>1623.42</v>
      </c>
      <c r="H292">
        <v>1623.33</v>
      </c>
      <c r="I292">
        <v>1623.25</v>
      </c>
      <c r="J292">
        <v>1623.16</v>
      </c>
      <c r="K292">
        <v>1623.08</v>
      </c>
      <c r="L292">
        <v>1622.99</v>
      </c>
    </row>
    <row r="293" spans="1:12" x14ac:dyDescent="0.15">
      <c r="A293">
        <v>1440</v>
      </c>
      <c r="B293">
        <v>1623.92</v>
      </c>
      <c r="C293">
        <v>1623.84</v>
      </c>
      <c r="D293">
        <v>1623.75</v>
      </c>
      <c r="E293">
        <v>1623.67</v>
      </c>
      <c r="F293">
        <v>1623.58</v>
      </c>
      <c r="G293">
        <v>1623.5</v>
      </c>
      <c r="H293">
        <v>1623.41</v>
      </c>
      <c r="I293">
        <v>1623.33</v>
      </c>
      <c r="J293">
        <v>1623.24</v>
      </c>
      <c r="K293">
        <v>1623.15</v>
      </c>
      <c r="L293">
        <v>1623.07</v>
      </c>
    </row>
    <row r="294" spans="1:12" x14ac:dyDescent="0.15">
      <c r="A294">
        <v>1445</v>
      </c>
      <c r="B294">
        <v>1624</v>
      </c>
      <c r="C294">
        <v>1623.91</v>
      </c>
      <c r="D294">
        <v>1623.83</v>
      </c>
      <c r="E294">
        <v>1623.74</v>
      </c>
      <c r="F294">
        <v>1623.66</v>
      </c>
      <c r="G294">
        <v>1623.57</v>
      </c>
      <c r="H294">
        <v>1623.49</v>
      </c>
      <c r="I294">
        <v>1623.4</v>
      </c>
      <c r="J294">
        <v>1623.32</v>
      </c>
      <c r="K294">
        <v>1623.23</v>
      </c>
      <c r="L294">
        <v>1623.14</v>
      </c>
    </row>
    <row r="295" spans="1:12" x14ac:dyDescent="0.15">
      <c r="A295">
        <v>1450</v>
      </c>
      <c r="B295">
        <v>1624.08</v>
      </c>
      <c r="C295">
        <v>1623.99</v>
      </c>
      <c r="D295">
        <v>1623.91</v>
      </c>
      <c r="E295">
        <v>1623.82</v>
      </c>
      <c r="F295">
        <v>1623.73</v>
      </c>
      <c r="G295">
        <v>1623.65</v>
      </c>
      <c r="H295">
        <v>1623.56</v>
      </c>
      <c r="I295">
        <v>1623.48</v>
      </c>
      <c r="J295">
        <v>1623.39</v>
      </c>
      <c r="K295">
        <v>1623.31</v>
      </c>
      <c r="L295">
        <v>1623.22</v>
      </c>
    </row>
    <row r="296" spans="1:12" x14ac:dyDescent="0.15">
      <c r="A296">
        <v>1455</v>
      </c>
      <c r="B296">
        <v>1624.15</v>
      </c>
      <c r="C296">
        <v>1624.07</v>
      </c>
      <c r="D296">
        <v>1623.98</v>
      </c>
      <c r="E296">
        <v>1623.9</v>
      </c>
      <c r="F296">
        <v>1623.81</v>
      </c>
      <c r="G296">
        <v>1623.73</v>
      </c>
      <c r="H296">
        <v>1623.64</v>
      </c>
      <c r="I296">
        <v>1623.55</v>
      </c>
      <c r="J296">
        <v>1623.47</v>
      </c>
      <c r="K296">
        <v>1623.38</v>
      </c>
      <c r="L296">
        <v>1623.3</v>
      </c>
    </row>
    <row r="297" spans="1:12" x14ac:dyDescent="0.15">
      <c r="A297">
        <v>1460</v>
      </c>
      <c r="B297">
        <v>1624.23</v>
      </c>
      <c r="C297">
        <v>1624.14</v>
      </c>
      <c r="D297">
        <v>1624.06</v>
      </c>
      <c r="E297">
        <v>1623.97</v>
      </c>
      <c r="F297">
        <v>1623.89</v>
      </c>
      <c r="G297">
        <v>1623.8</v>
      </c>
      <c r="H297">
        <v>1623.72</v>
      </c>
      <c r="I297">
        <v>1623.63</v>
      </c>
      <c r="J297">
        <v>1623.54</v>
      </c>
      <c r="K297">
        <v>1623.46</v>
      </c>
      <c r="L297">
        <v>1623.37</v>
      </c>
    </row>
    <row r="298" spans="1:12" x14ac:dyDescent="0.15">
      <c r="A298">
        <v>1465</v>
      </c>
      <c r="B298">
        <v>1624.31</v>
      </c>
      <c r="C298">
        <v>1624.22</v>
      </c>
      <c r="D298">
        <v>1624.13</v>
      </c>
      <c r="E298">
        <v>1624.05</v>
      </c>
      <c r="F298">
        <v>1623.96</v>
      </c>
      <c r="G298">
        <v>1623.88</v>
      </c>
      <c r="H298">
        <v>1623.79</v>
      </c>
      <c r="I298">
        <v>1623.71</v>
      </c>
      <c r="J298">
        <v>1623.62</v>
      </c>
      <c r="K298">
        <v>1623.53</v>
      </c>
      <c r="L298">
        <v>1623.45</v>
      </c>
    </row>
    <row r="299" spans="1:12" x14ac:dyDescent="0.15">
      <c r="A299">
        <v>1470</v>
      </c>
      <c r="B299">
        <v>1624.38</v>
      </c>
      <c r="C299">
        <v>1624.3</v>
      </c>
      <c r="D299">
        <v>1624.21</v>
      </c>
      <c r="E299">
        <v>1624.13</v>
      </c>
      <c r="F299">
        <v>1624.04</v>
      </c>
      <c r="G299">
        <v>1623.95</v>
      </c>
      <c r="H299">
        <v>1623.87</v>
      </c>
      <c r="I299">
        <v>1623.78</v>
      </c>
      <c r="J299">
        <v>1623.7</v>
      </c>
      <c r="K299">
        <v>1623.61</v>
      </c>
      <c r="L299">
        <v>1623.53</v>
      </c>
    </row>
    <row r="300" spans="1:12" x14ac:dyDescent="0.15">
      <c r="A300">
        <v>1475</v>
      </c>
      <c r="B300">
        <v>1624.46</v>
      </c>
      <c r="C300">
        <v>1624.37</v>
      </c>
      <c r="D300">
        <v>1624.29</v>
      </c>
      <c r="E300">
        <v>1624.2</v>
      </c>
      <c r="F300">
        <v>1624.12</v>
      </c>
      <c r="G300">
        <v>1624.03</v>
      </c>
      <c r="H300">
        <v>1623.94</v>
      </c>
      <c r="I300">
        <v>1623.86</v>
      </c>
      <c r="J300">
        <v>1623.77</v>
      </c>
      <c r="K300">
        <v>1623.69</v>
      </c>
      <c r="L300">
        <v>1623.6</v>
      </c>
    </row>
    <row r="301" spans="1:12" x14ac:dyDescent="0.15">
      <c r="A301">
        <v>1480</v>
      </c>
      <c r="B301">
        <v>1624.54</v>
      </c>
      <c r="C301">
        <v>1624.45</v>
      </c>
      <c r="D301">
        <v>1624.36</v>
      </c>
      <c r="E301">
        <v>1624.28</v>
      </c>
      <c r="F301">
        <v>1624.19</v>
      </c>
      <c r="G301">
        <v>1624.11</v>
      </c>
      <c r="H301">
        <v>1624.02</v>
      </c>
      <c r="I301">
        <v>1623.94</v>
      </c>
      <c r="J301">
        <v>1623.85</v>
      </c>
      <c r="K301">
        <v>1623.76</v>
      </c>
      <c r="L301">
        <v>1623.68</v>
      </c>
    </row>
    <row r="302" spans="1:12" x14ac:dyDescent="0.15">
      <c r="A302">
        <v>1485</v>
      </c>
      <c r="B302">
        <v>1624.68</v>
      </c>
      <c r="C302">
        <v>1624.53</v>
      </c>
      <c r="D302">
        <v>1624.44</v>
      </c>
      <c r="E302">
        <v>1624.35</v>
      </c>
      <c r="F302">
        <v>1624.27</v>
      </c>
      <c r="G302">
        <v>1624.18</v>
      </c>
      <c r="H302">
        <v>1624.1</v>
      </c>
      <c r="I302">
        <v>1624.01</v>
      </c>
      <c r="J302">
        <v>1623.93</v>
      </c>
      <c r="K302">
        <v>1623.84</v>
      </c>
      <c r="L302">
        <v>1623.75</v>
      </c>
    </row>
    <row r="303" spans="1:12" x14ac:dyDescent="0.15">
      <c r="A303">
        <v>1490</v>
      </c>
      <c r="B303">
        <v>1624.91</v>
      </c>
      <c r="C303">
        <v>1624.61</v>
      </c>
      <c r="D303">
        <v>1624.52</v>
      </c>
      <c r="E303">
        <v>1624.43</v>
      </c>
      <c r="F303">
        <v>1624.34</v>
      </c>
      <c r="G303">
        <v>1624.26</v>
      </c>
      <c r="H303">
        <v>1624.17</v>
      </c>
      <c r="I303">
        <v>1624.09</v>
      </c>
      <c r="J303">
        <v>1624</v>
      </c>
      <c r="K303">
        <v>1623.92</v>
      </c>
      <c r="L303">
        <v>1623.83</v>
      </c>
    </row>
    <row r="304" spans="1:12" x14ac:dyDescent="0.15">
      <c r="A304">
        <v>1495</v>
      </c>
      <c r="B304">
        <v>1625.28</v>
      </c>
      <c r="C304">
        <v>1624.77</v>
      </c>
      <c r="D304">
        <v>1624.59</v>
      </c>
      <c r="E304">
        <v>1624.51</v>
      </c>
      <c r="F304">
        <v>1624.42</v>
      </c>
      <c r="G304">
        <v>1624.34</v>
      </c>
      <c r="H304">
        <v>1624.25</v>
      </c>
      <c r="I304">
        <v>1624.16</v>
      </c>
      <c r="J304">
        <v>1624.08</v>
      </c>
      <c r="K304">
        <v>1623.99</v>
      </c>
      <c r="L304">
        <v>1623.91</v>
      </c>
    </row>
    <row r="305" spans="1:12" x14ac:dyDescent="0.15">
      <c r="A305">
        <v>1500</v>
      </c>
      <c r="B305">
        <v>1625.85</v>
      </c>
      <c r="C305">
        <v>1625.1</v>
      </c>
      <c r="D305">
        <v>1624.71</v>
      </c>
      <c r="E305">
        <v>1624.59</v>
      </c>
      <c r="F305">
        <v>1624.5</v>
      </c>
      <c r="G305">
        <v>1624.41</v>
      </c>
      <c r="H305">
        <v>1624.33</v>
      </c>
      <c r="I305">
        <v>1624.24</v>
      </c>
      <c r="J305">
        <v>1624.16</v>
      </c>
      <c r="K305">
        <v>1624.07</v>
      </c>
      <c r="L305">
        <v>1623.98</v>
      </c>
    </row>
    <row r="306" spans="1:12" x14ac:dyDescent="0.15">
      <c r="A306">
        <v>1505</v>
      </c>
      <c r="B306">
        <v>1626.63</v>
      </c>
      <c r="C306">
        <v>1625.64</v>
      </c>
      <c r="D306">
        <v>1625.01</v>
      </c>
      <c r="E306">
        <v>1624.72</v>
      </c>
      <c r="F306">
        <v>1624.6</v>
      </c>
      <c r="G306">
        <v>1624.51</v>
      </c>
      <c r="H306">
        <v>1624.42</v>
      </c>
      <c r="I306">
        <v>1624.33</v>
      </c>
      <c r="J306">
        <v>1624.24</v>
      </c>
      <c r="K306">
        <v>1624.15</v>
      </c>
      <c r="L306">
        <v>1624.07</v>
      </c>
    </row>
    <row r="307" spans="1:12" x14ac:dyDescent="0.15">
      <c r="A307">
        <v>1510</v>
      </c>
      <c r="B307">
        <v>1627.61</v>
      </c>
      <c r="C307">
        <v>1626.39</v>
      </c>
      <c r="D307">
        <v>1625.52</v>
      </c>
      <c r="E307">
        <v>1625</v>
      </c>
      <c r="F307">
        <v>1624.78</v>
      </c>
      <c r="G307">
        <v>1624.65</v>
      </c>
      <c r="H307">
        <v>1624.54</v>
      </c>
      <c r="I307">
        <v>1624.45</v>
      </c>
      <c r="J307">
        <v>1624.35</v>
      </c>
      <c r="K307">
        <v>1624.26</v>
      </c>
      <c r="L307">
        <v>1624.17</v>
      </c>
    </row>
    <row r="308" spans="1:12" x14ac:dyDescent="0.15">
      <c r="A308">
        <v>1515</v>
      </c>
      <c r="B308">
        <v>1628.8</v>
      </c>
      <c r="C308">
        <v>1627.35</v>
      </c>
      <c r="D308">
        <v>1626.25</v>
      </c>
      <c r="E308">
        <v>1625.49</v>
      </c>
      <c r="F308">
        <v>1625.07</v>
      </c>
      <c r="G308">
        <v>1624.87</v>
      </c>
      <c r="H308">
        <v>1624.73</v>
      </c>
      <c r="I308">
        <v>1624.61</v>
      </c>
      <c r="J308">
        <v>1624.5</v>
      </c>
      <c r="K308">
        <v>1624.39</v>
      </c>
      <c r="L308">
        <v>1624.3</v>
      </c>
    </row>
    <row r="309" spans="1:12" x14ac:dyDescent="0.15">
      <c r="A309">
        <v>1520</v>
      </c>
      <c r="B309">
        <v>1630.2</v>
      </c>
      <c r="C309">
        <v>1628.52</v>
      </c>
      <c r="D309">
        <v>1627.18</v>
      </c>
      <c r="E309">
        <v>1626.18</v>
      </c>
      <c r="F309">
        <v>1625.55</v>
      </c>
      <c r="G309">
        <v>1625.21</v>
      </c>
      <c r="H309">
        <v>1624.99</v>
      </c>
      <c r="I309">
        <v>1624.84</v>
      </c>
      <c r="J309">
        <v>1624.69</v>
      </c>
      <c r="K309">
        <v>1624.57</v>
      </c>
      <c r="L309">
        <v>1624.46</v>
      </c>
    </row>
    <row r="310" spans="1:12" x14ac:dyDescent="0.15">
      <c r="A310">
        <v>1525</v>
      </c>
      <c r="B310">
        <v>1631.81</v>
      </c>
      <c r="C310">
        <v>1629.89</v>
      </c>
      <c r="D310">
        <v>1628.32</v>
      </c>
      <c r="E310">
        <v>1627.09</v>
      </c>
      <c r="F310">
        <v>1626.22</v>
      </c>
      <c r="G310">
        <v>1625.68</v>
      </c>
      <c r="H310">
        <v>1625.37</v>
      </c>
      <c r="I310">
        <v>1625.15</v>
      </c>
      <c r="J310">
        <v>1624.97</v>
      </c>
      <c r="K310">
        <v>1624.82</v>
      </c>
      <c r="L310">
        <v>1624.68</v>
      </c>
    </row>
    <row r="311" spans="1:12" x14ac:dyDescent="0.15">
      <c r="A311">
        <v>1530</v>
      </c>
      <c r="B311">
        <v>1633.64</v>
      </c>
      <c r="C311">
        <v>1631.48</v>
      </c>
      <c r="D311">
        <v>1629.67</v>
      </c>
      <c r="E311">
        <v>1628.21</v>
      </c>
      <c r="F311">
        <v>1627.1</v>
      </c>
      <c r="G311">
        <v>1626.34</v>
      </c>
      <c r="H311">
        <v>1625.87</v>
      </c>
      <c r="I311">
        <v>1625.56</v>
      </c>
      <c r="J311">
        <v>1625.33</v>
      </c>
      <c r="K311">
        <v>1625.14</v>
      </c>
      <c r="L311">
        <v>1624.97</v>
      </c>
    </row>
    <row r="312" spans="1:12" x14ac:dyDescent="0.15">
      <c r="A312">
        <v>1535</v>
      </c>
      <c r="B312">
        <v>1635.67</v>
      </c>
      <c r="C312">
        <v>1633.27</v>
      </c>
      <c r="D312">
        <v>1631.23</v>
      </c>
      <c r="E312">
        <v>1629.54</v>
      </c>
      <c r="F312">
        <v>1628.19</v>
      </c>
      <c r="G312">
        <v>1627.19</v>
      </c>
      <c r="H312">
        <v>1626.53</v>
      </c>
      <c r="I312">
        <v>1626.1</v>
      </c>
      <c r="J312">
        <v>1625.78</v>
      </c>
      <c r="K312">
        <v>1625.53</v>
      </c>
      <c r="L312">
        <v>1625.33</v>
      </c>
    </row>
    <row r="313" spans="1:12" x14ac:dyDescent="0.15">
      <c r="A313">
        <v>1540</v>
      </c>
      <c r="B313">
        <v>1637.91</v>
      </c>
      <c r="C313">
        <v>1635.28</v>
      </c>
      <c r="D313">
        <v>1633</v>
      </c>
      <c r="E313">
        <v>1631.08</v>
      </c>
      <c r="F313">
        <v>1629.49</v>
      </c>
      <c r="G313">
        <v>1628.25</v>
      </c>
      <c r="H313">
        <v>1627.37</v>
      </c>
      <c r="I313">
        <v>1626.78</v>
      </c>
      <c r="J313">
        <v>1626.37</v>
      </c>
      <c r="K313">
        <v>1626.04</v>
      </c>
      <c r="L313">
        <v>1625.77</v>
      </c>
    </row>
    <row r="314" spans="1:12" x14ac:dyDescent="0.15">
      <c r="A314">
        <v>1545</v>
      </c>
      <c r="B314">
        <v>1640.37</v>
      </c>
      <c r="C314">
        <v>1637.49</v>
      </c>
      <c r="D314">
        <v>1634.98</v>
      </c>
      <c r="E314">
        <v>1632.82</v>
      </c>
      <c r="F314">
        <v>1631</v>
      </c>
      <c r="G314">
        <v>1629.53</v>
      </c>
      <c r="H314">
        <v>1628.41</v>
      </c>
      <c r="I314">
        <v>1627.63</v>
      </c>
      <c r="J314">
        <v>1627.08</v>
      </c>
      <c r="K314">
        <v>1626.66</v>
      </c>
      <c r="L314">
        <v>1626.32</v>
      </c>
    </row>
    <row r="315" spans="1:12" x14ac:dyDescent="0.15">
      <c r="A315">
        <v>1550</v>
      </c>
      <c r="B315">
        <v>1643.05</v>
      </c>
      <c r="C315">
        <v>1639.92</v>
      </c>
      <c r="D315">
        <v>1637.17</v>
      </c>
      <c r="E315">
        <v>1634.77</v>
      </c>
      <c r="F315">
        <v>1632.72</v>
      </c>
      <c r="G315">
        <v>1631.01</v>
      </c>
      <c r="H315">
        <v>1629.66</v>
      </c>
      <c r="I315">
        <v>1628.65</v>
      </c>
      <c r="J315">
        <v>1627.93</v>
      </c>
      <c r="K315">
        <v>1627.4</v>
      </c>
      <c r="L315">
        <v>1626.99</v>
      </c>
    </row>
    <row r="316" spans="1:12" x14ac:dyDescent="0.15">
      <c r="A316">
        <v>1555</v>
      </c>
      <c r="B316">
        <v>1645.93</v>
      </c>
      <c r="C316">
        <v>1642.57</v>
      </c>
      <c r="D316">
        <v>1639.57</v>
      </c>
      <c r="E316">
        <v>1636.93</v>
      </c>
      <c r="F316">
        <v>1634.65</v>
      </c>
      <c r="G316">
        <v>1632.71</v>
      </c>
      <c r="H316">
        <v>1631.12</v>
      </c>
      <c r="I316">
        <v>1629.87</v>
      </c>
      <c r="J316">
        <v>1628.97</v>
      </c>
      <c r="K316">
        <v>1628.29</v>
      </c>
      <c r="L316">
        <v>1627.77</v>
      </c>
    </row>
    <row r="317" spans="1:12" x14ac:dyDescent="0.15">
      <c r="A317">
        <v>1560</v>
      </c>
      <c r="B317">
        <v>1649.04</v>
      </c>
      <c r="C317">
        <v>1645.43</v>
      </c>
      <c r="D317">
        <v>1642.19</v>
      </c>
      <c r="E317">
        <v>1639.31</v>
      </c>
      <c r="F317">
        <v>1636.79</v>
      </c>
      <c r="G317">
        <v>1634.61</v>
      </c>
      <c r="H317">
        <v>1632.79</v>
      </c>
      <c r="I317">
        <v>1631.31</v>
      </c>
      <c r="J317">
        <v>1630.18</v>
      </c>
      <c r="K317">
        <v>1629.34</v>
      </c>
      <c r="L317">
        <v>1628.69</v>
      </c>
    </row>
    <row r="318" spans="1:12" x14ac:dyDescent="0.15">
      <c r="A318">
        <v>1565</v>
      </c>
      <c r="B318">
        <v>1652.36</v>
      </c>
      <c r="C318">
        <v>1648.51</v>
      </c>
      <c r="D318">
        <v>1645.02</v>
      </c>
      <c r="E318">
        <v>1641.9</v>
      </c>
      <c r="F318">
        <v>1639.14</v>
      </c>
      <c r="G318">
        <v>1636.73</v>
      </c>
      <c r="H318">
        <v>1634.67</v>
      </c>
      <c r="I318">
        <v>1632.96</v>
      </c>
      <c r="J318">
        <v>1631.6</v>
      </c>
      <c r="K318">
        <v>1630.57</v>
      </c>
      <c r="L318">
        <v>1629.76</v>
      </c>
    </row>
    <row r="319" spans="1:12" x14ac:dyDescent="0.15">
      <c r="A319">
        <v>1570</v>
      </c>
      <c r="B319">
        <v>1655.9</v>
      </c>
      <c r="C319">
        <v>1651.8</v>
      </c>
      <c r="D319">
        <v>1648.07</v>
      </c>
      <c r="E319">
        <v>1644.71</v>
      </c>
      <c r="F319">
        <v>1641.71</v>
      </c>
      <c r="G319">
        <v>1639.06</v>
      </c>
      <c r="H319">
        <v>1636.77</v>
      </c>
      <c r="I319">
        <v>1634.82</v>
      </c>
      <c r="J319">
        <v>1633.22</v>
      </c>
      <c r="K319">
        <v>1631.97</v>
      </c>
      <c r="L319">
        <v>1631</v>
      </c>
    </row>
    <row r="320" spans="1:12" x14ac:dyDescent="0.15">
      <c r="A320">
        <v>1575</v>
      </c>
      <c r="B320">
        <v>1659.65</v>
      </c>
      <c r="C320">
        <v>1655.31</v>
      </c>
      <c r="D320">
        <v>1651.34</v>
      </c>
      <c r="E320">
        <v>1647.73</v>
      </c>
      <c r="F320">
        <v>1644.49</v>
      </c>
      <c r="G320">
        <v>1641.61</v>
      </c>
      <c r="H320">
        <v>1639.08</v>
      </c>
      <c r="I320">
        <v>1636.9</v>
      </c>
      <c r="J320">
        <v>1635.06</v>
      </c>
      <c r="K320">
        <v>1633.58</v>
      </c>
      <c r="L320">
        <v>1632.42</v>
      </c>
    </row>
    <row r="321" spans="1:12" x14ac:dyDescent="0.15">
      <c r="A321">
        <v>1580</v>
      </c>
      <c r="B321">
        <v>1663.62</v>
      </c>
      <c r="C321">
        <v>1659.04</v>
      </c>
      <c r="D321">
        <v>1654.82</v>
      </c>
      <c r="E321">
        <v>1650.97</v>
      </c>
      <c r="F321">
        <v>1647.49</v>
      </c>
      <c r="G321">
        <v>1644.37</v>
      </c>
      <c r="H321">
        <v>1641.6</v>
      </c>
      <c r="I321">
        <v>1639.18</v>
      </c>
      <c r="J321">
        <v>1637.12</v>
      </c>
      <c r="K321">
        <v>1635.39</v>
      </c>
      <c r="L321">
        <v>1634.01</v>
      </c>
    </row>
    <row r="322" spans="1:12" x14ac:dyDescent="0.15">
      <c r="A322">
        <v>1585</v>
      </c>
      <c r="B322">
        <v>1667.81</v>
      </c>
      <c r="C322">
        <v>1662.98</v>
      </c>
      <c r="D322">
        <v>1658.52</v>
      </c>
      <c r="E322">
        <v>1654.43</v>
      </c>
      <c r="F322">
        <v>1650.7</v>
      </c>
      <c r="G322">
        <v>1647.34</v>
      </c>
      <c r="H322">
        <v>1644.34</v>
      </c>
      <c r="I322">
        <v>1641.68</v>
      </c>
      <c r="J322">
        <v>1639.38</v>
      </c>
      <c r="K322">
        <v>1637.42</v>
      </c>
      <c r="L322">
        <v>1635.82</v>
      </c>
    </row>
    <row r="323" spans="1:12" x14ac:dyDescent="0.15">
      <c r="A323">
        <v>1590</v>
      </c>
      <c r="B323">
        <v>1672.21</v>
      </c>
      <c r="C323">
        <v>1667.14</v>
      </c>
      <c r="D323">
        <v>1662.44</v>
      </c>
      <c r="E323">
        <v>1658.1</v>
      </c>
      <c r="F323">
        <v>1654.13</v>
      </c>
      <c r="G323">
        <v>1650.53</v>
      </c>
      <c r="H323">
        <v>1647.29</v>
      </c>
      <c r="I323">
        <v>1644.4</v>
      </c>
      <c r="J323">
        <v>1641.86</v>
      </c>
      <c r="K323">
        <v>1639.67</v>
      </c>
      <c r="L323">
        <v>1637.82</v>
      </c>
    </row>
    <row r="324" spans="1:12" x14ac:dyDescent="0.15">
      <c r="A324">
        <v>1595</v>
      </c>
      <c r="B324">
        <v>1676.83</v>
      </c>
      <c r="C324">
        <v>1671.52</v>
      </c>
      <c r="D324">
        <v>1666.57</v>
      </c>
      <c r="E324">
        <v>1661.99</v>
      </c>
      <c r="F324">
        <v>1657.78</v>
      </c>
      <c r="G324">
        <v>1653.93</v>
      </c>
      <c r="H324">
        <v>1650.45</v>
      </c>
      <c r="I324">
        <v>1647.32</v>
      </c>
      <c r="J324">
        <v>1644.55</v>
      </c>
      <c r="K324">
        <v>1642.12</v>
      </c>
      <c r="L324">
        <v>1640.05</v>
      </c>
    </row>
    <row r="325" spans="1:12" x14ac:dyDescent="0.15">
      <c r="A325">
        <v>1600</v>
      </c>
      <c r="B325">
        <v>1681.67</v>
      </c>
      <c r="C325">
        <v>1676.11</v>
      </c>
      <c r="D325">
        <v>1670.92</v>
      </c>
      <c r="E325">
        <v>1666.1</v>
      </c>
      <c r="F325">
        <v>1661.64</v>
      </c>
      <c r="G325">
        <v>1657.55</v>
      </c>
      <c r="H325">
        <v>1653.82</v>
      </c>
      <c r="I325">
        <v>1650.46</v>
      </c>
      <c r="J325">
        <v>1647.45</v>
      </c>
      <c r="K325">
        <v>1644.79</v>
      </c>
      <c r="L325">
        <v>1642.48</v>
      </c>
    </row>
    <row r="326" spans="1:12" x14ac:dyDescent="0.15">
      <c r="A326">
        <v>1605</v>
      </c>
      <c r="B326">
        <v>1686.72</v>
      </c>
      <c r="C326">
        <v>1680.92</v>
      </c>
      <c r="D326">
        <v>1675.49</v>
      </c>
      <c r="E326">
        <v>1670.43</v>
      </c>
      <c r="F326">
        <v>1665.72</v>
      </c>
      <c r="G326">
        <v>1661.39</v>
      </c>
      <c r="H326">
        <v>1657.42</v>
      </c>
      <c r="I326">
        <v>1653.81</v>
      </c>
      <c r="J326">
        <v>1650.57</v>
      </c>
      <c r="K326">
        <v>1647.67</v>
      </c>
      <c r="L326">
        <v>1645.12</v>
      </c>
    </row>
    <row r="327" spans="1:12" x14ac:dyDescent="0.15">
      <c r="A327">
        <v>1610</v>
      </c>
      <c r="B327">
        <v>1691.99</v>
      </c>
      <c r="C327">
        <v>1685.95</v>
      </c>
      <c r="D327">
        <v>1680.27</v>
      </c>
      <c r="E327">
        <v>1674.97</v>
      </c>
      <c r="F327">
        <v>1670.02</v>
      </c>
      <c r="G327">
        <v>1665.44</v>
      </c>
      <c r="H327">
        <v>1661.23</v>
      </c>
      <c r="I327">
        <v>1657.38</v>
      </c>
      <c r="J327">
        <v>1653.9</v>
      </c>
      <c r="K327">
        <v>1650.77</v>
      </c>
      <c r="L327">
        <v>1647.98</v>
      </c>
    </row>
    <row r="328" spans="1:12" x14ac:dyDescent="0.15">
      <c r="A328">
        <v>1615</v>
      </c>
      <c r="B328">
        <v>1697.47</v>
      </c>
      <c r="C328">
        <v>1691.19</v>
      </c>
      <c r="D328">
        <v>1685.27</v>
      </c>
      <c r="E328">
        <v>1679.72</v>
      </c>
      <c r="F328">
        <v>1674.54</v>
      </c>
      <c r="G328">
        <v>1669.71</v>
      </c>
      <c r="H328">
        <v>1665.26</v>
      </c>
      <c r="I328">
        <v>1661.17</v>
      </c>
      <c r="J328">
        <v>1657.44</v>
      </c>
      <c r="K328">
        <v>1654.07</v>
      </c>
      <c r="L328">
        <v>1651.06</v>
      </c>
    </row>
    <row r="329" spans="1:12" x14ac:dyDescent="0.15">
      <c r="A329">
        <v>1620</v>
      </c>
      <c r="B329">
        <v>1703.18</v>
      </c>
      <c r="C329">
        <v>1696.65</v>
      </c>
      <c r="D329">
        <v>1690.49</v>
      </c>
      <c r="E329">
        <v>1684.7</v>
      </c>
      <c r="F329">
        <v>1679.26</v>
      </c>
      <c r="G329">
        <v>1674.2</v>
      </c>
      <c r="H329">
        <v>1669.5</v>
      </c>
      <c r="I329">
        <v>1665.17</v>
      </c>
      <c r="J329">
        <v>1661.2</v>
      </c>
      <c r="K329">
        <v>1657.59</v>
      </c>
      <c r="L329">
        <v>1654.34</v>
      </c>
    </row>
    <row r="330" spans="1:12" x14ac:dyDescent="0.15">
      <c r="A330">
        <v>1625</v>
      </c>
      <c r="B330">
        <v>1709.09</v>
      </c>
      <c r="C330">
        <v>1702.32</v>
      </c>
      <c r="D330">
        <v>1695.92</v>
      </c>
      <c r="E330">
        <v>1689.88</v>
      </c>
      <c r="F330">
        <v>1684.21</v>
      </c>
      <c r="G330">
        <v>1678.9</v>
      </c>
      <c r="H330">
        <v>1673.96</v>
      </c>
      <c r="I330">
        <v>1669.38</v>
      </c>
      <c r="J330">
        <v>1665.17</v>
      </c>
      <c r="K330">
        <v>1661.33</v>
      </c>
      <c r="L330">
        <v>1657.84</v>
      </c>
    </row>
    <row r="331" spans="1:12" x14ac:dyDescent="0.15">
      <c r="A331">
        <v>1630</v>
      </c>
      <c r="B331">
        <v>1715.23</v>
      </c>
      <c r="C331">
        <v>1708.22</v>
      </c>
      <c r="D331">
        <v>1701.57</v>
      </c>
      <c r="E331">
        <v>1695.29</v>
      </c>
      <c r="F331">
        <v>1689.37</v>
      </c>
      <c r="G331">
        <v>1683.82</v>
      </c>
      <c r="H331">
        <v>1678.64</v>
      </c>
      <c r="I331">
        <v>1673.82</v>
      </c>
      <c r="J331">
        <v>1669.36</v>
      </c>
      <c r="K331">
        <v>1665.27</v>
      </c>
      <c r="L331">
        <v>1661.55</v>
      </c>
    </row>
    <row r="332" spans="1:12" x14ac:dyDescent="0.15">
      <c r="A332">
        <v>1635</v>
      </c>
      <c r="B332">
        <v>1721.58</v>
      </c>
      <c r="C332">
        <v>1714.33</v>
      </c>
      <c r="D332">
        <v>1707.44</v>
      </c>
      <c r="E332">
        <v>1700.91</v>
      </c>
      <c r="F332">
        <v>1694.75</v>
      </c>
      <c r="G332">
        <v>1688.96</v>
      </c>
      <c r="H332">
        <v>1683.53</v>
      </c>
      <c r="I332">
        <v>1678.47</v>
      </c>
      <c r="J332">
        <v>1673.77</v>
      </c>
      <c r="K332">
        <v>1669.44</v>
      </c>
      <c r="L332">
        <v>1665.47</v>
      </c>
    </row>
    <row r="333" spans="1:12" x14ac:dyDescent="0.15">
      <c r="A333">
        <v>1640</v>
      </c>
      <c r="B333">
        <v>1728.15</v>
      </c>
      <c r="C333">
        <v>1720.65</v>
      </c>
      <c r="D333">
        <v>1713.52</v>
      </c>
      <c r="E333">
        <v>1706.75</v>
      </c>
      <c r="F333">
        <v>1700.35</v>
      </c>
      <c r="G333">
        <v>1694.31</v>
      </c>
      <c r="H333">
        <v>1688.64</v>
      </c>
      <c r="I333">
        <v>1683.33</v>
      </c>
      <c r="J333">
        <v>1678.39</v>
      </c>
      <c r="K333">
        <v>1673.82</v>
      </c>
      <c r="L333">
        <v>1669.61</v>
      </c>
    </row>
    <row r="334" spans="1:12" x14ac:dyDescent="0.15">
      <c r="A334">
        <v>1645</v>
      </c>
      <c r="B334">
        <v>1734.93</v>
      </c>
      <c r="C334">
        <v>1727.19</v>
      </c>
      <c r="D334">
        <v>1719.82</v>
      </c>
      <c r="E334">
        <v>1712.81</v>
      </c>
      <c r="F334">
        <v>1706.16</v>
      </c>
      <c r="G334">
        <v>1699.88</v>
      </c>
      <c r="H334">
        <v>1693.97</v>
      </c>
      <c r="I334">
        <v>1688.42</v>
      </c>
      <c r="J334">
        <v>1683.23</v>
      </c>
      <c r="K334">
        <v>1678.42</v>
      </c>
      <c r="L334">
        <v>1673.96</v>
      </c>
    </row>
    <row r="335" spans="1:12" x14ac:dyDescent="0.15">
      <c r="A335">
        <v>1650</v>
      </c>
      <c r="B335">
        <v>1741.94</v>
      </c>
      <c r="C335">
        <v>1733.95</v>
      </c>
      <c r="D335">
        <v>1726.33</v>
      </c>
      <c r="E335">
        <v>1719.08</v>
      </c>
      <c r="F335">
        <v>1712.19</v>
      </c>
      <c r="G335">
        <v>1705.67</v>
      </c>
      <c r="H335">
        <v>1699.51</v>
      </c>
      <c r="I335">
        <v>1693.72</v>
      </c>
      <c r="J335">
        <v>1688.29</v>
      </c>
      <c r="K335">
        <v>1683.23</v>
      </c>
      <c r="L335">
        <v>1678.53</v>
      </c>
    </row>
    <row r="336" spans="1:12" x14ac:dyDescent="0.15">
      <c r="A336">
        <v>1655</v>
      </c>
      <c r="B336">
        <v>1749.15</v>
      </c>
      <c r="C336">
        <v>1740.93</v>
      </c>
      <c r="D336">
        <v>1733.06</v>
      </c>
      <c r="E336">
        <v>1725.57</v>
      </c>
      <c r="F336">
        <v>1718.44</v>
      </c>
      <c r="G336">
        <v>1711.67</v>
      </c>
      <c r="H336">
        <v>1705.27</v>
      </c>
      <c r="I336">
        <v>1699.23</v>
      </c>
      <c r="J336">
        <v>1693.56</v>
      </c>
      <c r="K336">
        <v>1688.26</v>
      </c>
      <c r="L336">
        <v>1683.32</v>
      </c>
    </row>
    <row r="337" spans="1:12" x14ac:dyDescent="0.15">
      <c r="A337">
        <v>1660</v>
      </c>
      <c r="B337">
        <v>1756.59</v>
      </c>
      <c r="C337">
        <v>1748.12</v>
      </c>
      <c r="D337">
        <v>1740.01</v>
      </c>
      <c r="E337">
        <v>1732.27</v>
      </c>
      <c r="F337">
        <v>1724.9</v>
      </c>
      <c r="G337">
        <v>1717.89</v>
      </c>
      <c r="H337">
        <v>1711.25</v>
      </c>
      <c r="I337">
        <v>1704.97</v>
      </c>
      <c r="J337">
        <v>1699.05</v>
      </c>
      <c r="K337">
        <v>1693.51</v>
      </c>
      <c r="L337">
        <v>1688.32</v>
      </c>
    </row>
    <row r="338" spans="1:12" x14ac:dyDescent="0.15">
      <c r="A338">
        <v>1665</v>
      </c>
      <c r="B338">
        <v>1764.24</v>
      </c>
      <c r="C338">
        <v>1755.52</v>
      </c>
      <c r="D338">
        <v>1747.18</v>
      </c>
      <c r="E338">
        <v>1739.19</v>
      </c>
      <c r="F338">
        <v>1731.58</v>
      </c>
      <c r="G338">
        <v>1724.32</v>
      </c>
      <c r="H338">
        <v>1717.44</v>
      </c>
      <c r="I338">
        <v>1710.92</v>
      </c>
      <c r="J338">
        <v>1704.76</v>
      </c>
      <c r="K338">
        <v>1698.97</v>
      </c>
      <c r="L338">
        <v>1693.54</v>
      </c>
    </row>
    <row r="339" spans="1:12" x14ac:dyDescent="0.15">
      <c r="A339">
        <v>1670</v>
      </c>
      <c r="B339">
        <v>1772.11</v>
      </c>
      <c r="C339">
        <v>1763.15</v>
      </c>
      <c r="D339">
        <v>1754.56</v>
      </c>
      <c r="E339">
        <v>1746.33</v>
      </c>
      <c r="F339">
        <v>1738.47</v>
      </c>
      <c r="G339">
        <v>1730.98</v>
      </c>
      <c r="H339">
        <v>1723.85</v>
      </c>
      <c r="I339">
        <v>1717.08</v>
      </c>
      <c r="J339">
        <v>1710.68</v>
      </c>
      <c r="K339">
        <v>1704.65</v>
      </c>
      <c r="L339">
        <v>1698.98</v>
      </c>
    </row>
    <row r="340" spans="1:12" x14ac:dyDescent="0.15">
      <c r="A340">
        <v>1675</v>
      </c>
      <c r="B340">
        <v>1780.19</v>
      </c>
      <c r="C340">
        <v>1770.99</v>
      </c>
      <c r="D340">
        <v>1762.16</v>
      </c>
      <c r="E340">
        <v>1753.69</v>
      </c>
      <c r="F340">
        <v>1745.58</v>
      </c>
      <c r="G340">
        <v>1737.84</v>
      </c>
      <c r="H340">
        <v>1730.47</v>
      </c>
      <c r="I340">
        <v>1723.46</v>
      </c>
      <c r="J340">
        <v>1716.82</v>
      </c>
      <c r="K340">
        <v>1710.54</v>
      </c>
      <c r="L340">
        <v>1704.63</v>
      </c>
    </row>
    <row r="341" spans="1:12" x14ac:dyDescent="0.15">
      <c r="A341">
        <v>1680</v>
      </c>
      <c r="B341">
        <v>1788.49</v>
      </c>
      <c r="C341">
        <v>1779.05</v>
      </c>
      <c r="D341">
        <v>1769.97</v>
      </c>
      <c r="E341">
        <v>1761.26</v>
      </c>
      <c r="F341">
        <v>1752.91</v>
      </c>
      <c r="G341">
        <v>1744.93</v>
      </c>
      <c r="H341">
        <v>1737.31</v>
      </c>
      <c r="I341">
        <v>1730.06</v>
      </c>
      <c r="J341">
        <v>1723.18</v>
      </c>
      <c r="K341">
        <v>1716.66</v>
      </c>
      <c r="L341">
        <v>1710.5</v>
      </c>
    </row>
    <row r="342" spans="1:12" x14ac:dyDescent="0.15">
      <c r="A342">
        <v>1685</v>
      </c>
      <c r="B342">
        <v>1797.01</v>
      </c>
      <c r="C342">
        <v>1787.32</v>
      </c>
      <c r="D342">
        <v>1778</v>
      </c>
      <c r="E342">
        <v>1769.05</v>
      </c>
      <c r="F342">
        <v>1760.46</v>
      </c>
      <c r="G342">
        <v>1752.23</v>
      </c>
      <c r="H342">
        <v>1744.37</v>
      </c>
      <c r="I342">
        <v>1736.88</v>
      </c>
      <c r="J342">
        <v>1729.75</v>
      </c>
      <c r="K342">
        <v>1722.99</v>
      </c>
      <c r="L342">
        <v>1716.59</v>
      </c>
    </row>
    <row r="343" spans="1:12" x14ac:dyDescent="0.15">
      <c r="A343">
        <v>1690</v>
      </c>
      <c r="B343">
        <v>1805.74</v>
      </c>
      <c r="C343">
        <v>1795.81</v>
      </c>
      <c r="D343">
        <v>1786.25</v>
      </c>
      <c r="E343">
        <v>1777.05</v>
      </c>
      <c r="F343">
        <v>1768.22</v>
      </c>
      <c r="G343">
        <v>1759.75</v>
      </c>
      <c r="H343">
        <v>1751.65</v>
      </c>
      <c r="I343">
        <v>1743.91</v>
      </c>
      <c r="J343">
        <v>1736.54</v>
      </c>
      <c r="K343">
        <v>1729.53</v>
      </c>
      <c r="L343">
        <v>1722.89</v>
      </c>
    </row>
    <row r="344" spans="1:12" x14ac:dyDescent="0.15">
      <c r="A344">
        <v>1695</v>
      </c>
      <c r="B344">
        <v>1814.69</v>
      </c>
      <c r="C344">
        <v>1804.52</v>
      </c>
      <c r="D344">
        <v>1794.71</v>
      </c>
      <c r="E344">
        <v>1785.27</v>
      </c>
      <c r="F344">
        <v>1776.19</v>
      </c>
      <c r="G344">
        <v>1767.48</v>
      </c>
      <c r="H344">
        <v>1759.14</v>
      </c>
      <c r="I344">
        <v>1751.16</v>
      </c>
      <c r="J344">
        <v>1743.54</v>
      </c>
      <c r="K344">
        <v>1736.29</v>
      </c>
      <c r="L344">
        <v>1729.41</v>
      </c>
    </row>
    <row r="345" spans="1:12" x14ac:dyDescent="0.15">
      <c r="A345">
        <v>1700</v>
      </c>
      <c r="B345">
        <v>1823.86</v>
      </c>
      <c r="C345">
        <v>1813.44</v>
      </c>
      <c r="D345">
        <v>1803.39</v>
      </c>
      <c r="E345">
        <v>1793.71</v>
      </c>
      <c r="F345">
        <v>1784.39</v>
      </c>
      <c r="G345">
        <v>1775.43</v>
      </c>
      <c r="H345">
        <v>1766.85</v>
      </c>
      <c r="I345">
        <v>1758.62</v>
      </c>
      <c r="J345">
        <v>1750.77</v>
      </c>
      <c r="K345">
        <v>1743.27</v>
      </c>
      <c r="L345">
        <v>1736.15</v>
      </c>
    </row>
    <row r="346" spans="1:12" x14ac:dyDescent="0.15">
      <c r="A346">
        <v>1705</v>
      </c>
      <c r="B346">
        <v>1833.24</v>
      </c>
      <c r="C346">
        <v>1822.58</v>
      </c>
      <c r="D346">
        <v>1812.29</v>
      </c>
      <c r="E346">
        <v>1802.36</v>
      </c>
      <c r="F346">
        <v>1792.8</v>
      </c>
      <c r="G346">
        <v>1783.6</v>
      </c>
      <c r="H346">
        <v>1774.77</v>
      </c>
      <c r="I346">
        <v>1766.3</v>
      </c>
      <c r="J346">
        <v>1758.2</v>
      </c>
      <c r="K346">
        <v>1750.47</v>
      </c>
      <c r="L346">
        <v>1743.1</v>
      </c>
    </row>
    <row r="347" spans="1:12" x14ac:dyDescent="0.15">
      <c r="A347">
        <v>1710</v>
      </c>
      <c r="B347">
        <v>1842.84</v>
      </c>
      <c r="C347">
        <v>1831.94</v>
      </c>
      <c r="D347">
        <v>1821.4</v>
      </c>
      <c r="E347">
        <v>1811.23</v>
      </c>
      <c r="F347">
        <v>1801.43</v>
      </c>
      <c r="G347">
        <v>1791.99</v>
      </c>
      <c r="H347">
        <v>1782.91</v>
      </c>
      <c r="I347">
        <v>1774.2</v>
      </c>
      <c r="J347">
        <v>1765.86</v>
      </c>
      <c r="K347">
        <v>1757.88</v>
      </c>
      <c r="L347">
        <v>1750.27</v>
      </c>
    </row>
    <row r="348" spans="1:12" x14ac:dyDescent="0.15">
      <c r="A348">
        <v>1715</v>
      </c>
      <c r="B348">
        <v>1852.65</v>
      </c>
      <c r="C348">
        <v>1841.51</v>
      </c>
      <c r="D348">
        <v>1830.73</v>
      </c>
      <c r="E348">
        <v>1820.32</v>
      </c>
      <c r="F348">
        <v>1810.27</v>
      </c>
      <c r="G348">
        <v>1800.59</v>
      </c>
      <c r="H348">
        <v>1791.27</v>
      </c>
      <c r="I348">
        <v>1782.32</v>
      </c>
      <c r="J348">
        <v>1773.73</v>
      </c>
      <c r="K348">
        <v>1765.51</v>
      </c>
      <c r="L348">
        <v>1757.65</v>
      </c>
    </row>
    <row r="349" spans="1:12" x14ac:dyDescent="0.15">
      <c r="A349">
        <v>1720</v>
      </c>
      <c r="B349">
        <v>1862.69</v>
      </c>
      <c r="C349">
        <v>1851.3</v>
      </c>
      <c r="D349">
        <v>1840.28</v>
      </c>
      <c r="E349">
        <v>1829.62</v>
      </c>
      <c r="F349">
        <v>1819.33</v>
      </c>
      <c r="G349">
        <v>1809.4</v>
      </c>
      <c r="H349">
        <v>1799.84</v>
      </c>
      <c r="I349">
        <v>1790.65</v>
      </c>
      <c r="J349">
        <v>1781.82</v>
      </c>
      <c r="K349">
        <v>1773.35</v>
      </c>
      <c r="L349">
        <v>1765.25</v>
      </c>
    </row>
    <row r="350" spans="1:12" x14ac:dyDescent="0.15">
      <c r="A350">
        <v>1725</v>
      </c>
      <c r="B350">
        <v>1872.94</v>
      </c>
      <c r="C350">
        <v>1861.3</v>
      </c>
      <c r="D350">
        <v>1850.04</v>
      </c>
      <c r="E350">
        <v>1839.14</v>
      </c>
      <c r="F350">
        <v>1828.61</v>
      </c>
      <c r="G350">
        <v>1818.44</v>
      </c>
      <c r="H350">
        <v>1808.63</v>
      </c>
      <c r="I350">
        <v>1799.19</v>
      </c>
      <c r="J350">
        <v>1790.12</v>
      </c>
      <c r="K350">
        <v>1781.41</v>
      </c>
      <c r="L350">
        <v>1773.07</v>
      </c>
    </row>
    <row r="351" spans="1:12" x14ac:dyDescent="0.15">
      <c r="A351">
        <v>1730</v>
      </c>
      <c r="B351">
        <v>1883.4</v>
      </c>
      <c r="C351">
        <v>1871.53</v>
      </c>
      <c r="D351">
        <v>1860.02</v>
      </c>
      <c r="E351">
        <v>1848.88</v>
      </c>
      <c r="F351">
        <v>1838.1</v>
      </c>
      <c r="G351">
        <v>1827.69</v>
      </c>
      <c r="H351">
        <v>1817.64</v>
      </c>
      <c r="I351">
        <v>1807.96</v>
      </c>
      <c r="J351">
        <v>1798.64</v>
      </c>
      <c r="K351">
        <v>1789.69</v>
      </c>
      <c r="L351">
        <v>1781.11</v>
      </c>
    </row>
    <row r="352" spans="1:12" x14ac:dyDescent="0.15">
      <c r="A352">
        <v>1735</v>
      </c>
      <c r="B352">
        <v>1894.08</v>
      </c>
      <c r="C352">
        <v>1881.97</v>
      </c>
      <c r="D352">
        <v>1870.22</v>
      </c>
      <c r="E352">
        <v>1858.83</v>
      </c>
      <c r="F352">
        <v>1847.81</v>
      </c>
      <c r="G352">
        <v>1837.15</v>
      </c>
      <c r="H352">
        <v>1826.86</v>
      </c>
      <c r="I352">
        <v>1816.94</v>
      </c>
      <c r="J352">
        <v>1807.38</v>
      </c>
      <c r="K352">
        <v>1798.19</v>
      </c>
      <c r="L352">
        <v>1789.36</v>
      </c>
    </row>
    <row r="353" spans="1:12" x14ac:dyDescent="0.15">
      <c r="A353">
        <v>1740</v>
      </c>
      <c r="B353">
        <v>1904.98</v>
      </c>
      <c r="C353">
        <v>1892.62</v>
      </c>
      <c r="D353">
        <v>1880.63</v>
      </c>
      <c r="E353">
        <v>1869</v>
      </c>
      <c r="F353">
        <v>1857.73</v>
      </c>
      <c r="G353">
        <v>1846.84</v>
      </c>
      <c r="H353">
        <v>1836.3</v>
      </c>
      <c r="I353">
        <v>1826.14</v>
      </c>
      <c r="J353">
        <v>1816.33</v>
      </c>
      <c r="K353">
        <v>1806.9</v>
      </c>
      <c r="L353">
        <v>1797.82</v>
      </c>
    </row>
    <row r="354" spans="1:12" x14ac:dyDescent="0.15">
      <c r="A354">
        <v>1745</v>
      </c>
      <c r="B354">
        <v>1916.1</v>
      </c>
      <c r="C354">
        <v>1903.49</v>
      </c>
      <c r="D354">
        <v>1891.26</v>
      </c>
      <c r="E354">
        <v>1879.38</v>
      </c>
      <c r="F354">
        <v>1867.88</v>
      </c>
      <c r="G354">
        <v>1856.74</v>
      </c>
      <c r="H354">
        <v>1845.96</v>
      </c>
      <c r="I354">
        <v>1835.55</v>
      </c>
      <c r="J354">
        <v>1825.5</v>
      </c>
      <c r="K354">
        <v>1815.82</v>
      </c>
      <c r="L354">
        <v>1806.51</v>
      </c>
    </row>
    <row r="355" spans="1:12" x14ac:dyDescent="0.15">
      <c r="A355">
        <v>1750</v>
      </c>
      <c r="B355">
        <v>1927.43</v>
      </c>
      <c r="C355">
        <v>1914.58</v>
      </c>
      <c r="D355">
        <v>1902.1</v>
      </c>
      <c r="E355">
        <v>1889.99</v>
      </c>
      <c r="F355">
        <v>1878.24</v>
      </c>
      <c r="G355">
        <v>1866.85</v>
      </c>
      <c r="H355">
        <v>1855.83</v>
      </c>
      <c r="I355">
        <v>1845.18</v>
      </c>
      <c r="J355">
        <v>1834.89</v>
      </c>
      <c r="K355">
        <v>1824.97</v>
      </c>
      <c r="L355">
        <v>1815.41</v>
      </c>
    </row>
    <row r="356" spans="1:12" x14ac:dyDescent="0.15">
      <c r="A356">
        <v>1755</v>
      </c>
      <c r="B356">
        <v>1938.97</v>
      </c>
      <c r="C356">
        <v>1925.89</v>
      </c>
      <c r="D356">
        <v>1913.16</v>
      </c>
      <c r="E356">
        <v>1900.81</v>
      </c>
      <c r="F356">
        <v>1888.81</v>
      </c>
      <c r="G356">
        <v>1877.18</v>
      </c>
      <c r="H356">
        <v>1865.92</v>
      </c>
      <c r="I356">
        <v>1855.03</v>
      </c>
      <c r="J356">
        <v>1844.49</v>
      </c>
      <c r="K356">
        <v>1834.33</v>
      </c>
      <c r="L356">
        <v>1824.53</v>
      </c>
    </row>
    <row r="357" spans="1:12" x14ac:dyDescent="0.15">
      <c r="A357">
        <v>1760</v>
      </c>
      <c r="B357">
        <v>1950.74</v>
      </c>
      <c r="C357">
        <v>1937.41</v>
      </c>
      <c r="D357">
        <v>1924.44</v>
      </c>
      <c r="E357">
        <v>1911.84</v>
      </c>
      <c r="F357">
        <v>1899.6</v>
      </c>
      <c r="G357">
        <v>1887.73</v>
      </c>
      <c r="H357">
        <v>1876.23</v>
      </c>
      <c r="I357">
        <v>1865.09</v>
      </c>
      <c r="J357">
        <v>1854.31</v>
      </c>
      <c r="K357">
        <v>1843.9</v>
      </c>
      <c r="L357">
        <v>1833.86</v>
      </c>
    </row>
    <row r="358" spans="1:12" x14ac:dyDescent="0.15">
      <c r="A358">
        <v>1765</v>
      </c>
      <c r="B358">
        <v>1962.72</v>
      </c>
      <c r="C358">
        <v>1949.15</v>
      </c>
      <c r="D358">
        <v>1935.94</v>
      </c>
      <c r="E358">
        <v>1923.09</v>
      </c>
      <c r="F358">
        <v>1910.61</v>
      </c>
      <c r="G358">
        <v>1898.5</v>
      </c>
      <c r="H358">
        <v>1886.75</v>
      </c>
      <c r="I358">
        <v>1875.37</v>
      </c>
      <c r="J358">
        <v>1864.35</v>
      </c>
      <c r="K358">
        <v>1853.7</v>
      </c>
      <c r="L358">
        <v>1843.41</v>
      </c>
    </row>
    <row r="359" spans="1:12" x14ac:dyDescent="0.15">
      <c r="A359">
        <v>1770</v>
      </c>
      <c r="B359">
        <v>1974.92</v>
      </c>
      <c r="C359">
        <v>1961.1</v>
      </c>
      <c r="D359">
        <v>1947.65</v>
      </c>
      <c r="E359">
        <v>1934.56</v>
      </c>
      <c r="F359">
        <v>1921.84</v>
      </c>
      <c r="G359">
        <v>1909.48</v>
      </c>
      <c r="H359">
        <v>1897.49</v>
      </c>
      <c r="I359">
        <v>1885.86</v>
      </c>
      <c r="J359">
        <v>1874.6</v>
      </c>
      <c r="K359">
        <v>1863.71</v>
      </c>
      <c r="L359">
        <v>1853.18</v>
      </c>
    </row>
    <row r="360" spans="1:12" x14ac:dyDescent="0.15">
      <c r="A360">
        <v>1775</v>
      </c>
      <c r="B360">
        <v>1987.33</v>
      </c>
      <c r="C360">
        <v>1973.27</v>
      </c>
      <c r="D360">
        <v>1959.58</v>
      </c>
      <c r="E360">
        <v>1946.25</v>
      </c>
      <c r="F360">
        <v>1933.28</v>
      </c>
      <c r="G360">
        <v>1920.68</v>
      </c>
      <c r="H360">
        <v>1908.44</v>
      </c>
      <c r="I360">
        <v>1896.58</v>
      </c>
      <c r="J360">
        <v>1885.07</v>
      </c>
      <c r="K360">
        <v>1873.93</v>
      </c>
      <c r="L360">
        <v>1863.16</v>
      </c>
    </row>
    <row r="361" spans="1:12" x14ac:dyDescent="0.15">
      <c r="A361">
        <v>1780</v>
      </c>
      <c r="B361">
        <v>1999.96</v>
      </c>
      <c r="C361">
        <v>1985.66</v>
      </c>
      <c r="D361">
        <v>1971.72</v>
      </c>
      <c r="E361">
        <v>1958.15</v>
      </c>
      <c r="F361">
        <v>1944.94</v>
      </c>
      <c r="G361">
        <v>1932.09</v>
      </c>
      <c r="H361">
        <v>1919.62</v>
      </c>
      <c r="I361">
        <v>1907.51</v>
      </c>
      <c r="J361">
        <v>1895.76</v>
      </c>
      <c r="K361">
        <v>1884.38</v>
      </c>
      <c r="L361">
        <v>1873.36</v>
      </c>
    </row>
    <row r="362" spans="1:12" x14ac:dyDescent="0.15">
      <c r="A362">
        <v>1785</v>
      </c>
      <c r="B362">
        <v>2012.81</v>
      </c>
      <c r="C362">
        <v>1998.26</v>
      </c>
      <c r="D362">
        <v>1984.08</v>
      </c>
      <c r="E362">
        <v>1970.26</v>
      </c>
      <c r="F362">
        <v>1956.81</v>
      </c>
      <c r="G362">
        <v>1943.73</v>
      </c>
      <c r="H362">
        <v>1931</v>
      </c>
      <c r="I362">
        <v>1918.65</v>
      </c>
      <c r="J362">
        <v>1906.66</v>
      </c>
      <c r="K362">
        <v>1895.04</v>
      </c>
      <c r="L362">
        <v>1883.78</v>
      </c>
    </row>
    <row r="363" spans="1:12" x14ac:dyDescent="0.15">
      <c r="A363">
        <v>1790</v>
      </c>
      <c r="B363">
        <v>2025.87</v>
      </c>
      <c r="C363">
        <v>2011.08</v>
      </c>
      <c r="D363">
        <v>1996.66</v>
      </c>
      <c r="E363">
        <v>1982.6</v>
      </c>
      <c r="F363">
        <v>1968.9</v>
      </c>
      <c r="G363">
        <v>1955.57</v>
      </c>
      <c r="H363">
        <v>1942.61</v>
      </c>
      <c r="I363">
        <v>1930.01</v>
      </c>
      <c r="J363">
        <v>1917.78</v>
      </c>
      <c r="K363">
        <v>1905.91</v>
      </c>
      <c r="L363">
        <v>1894.41</v>
      </c>
    </row>
    <row r="364" spans="1:12" x14ac:dyDescent="0.15">
      <c r="A364">
        <v>1795</v>
      </c>
      <c r="B364">
        <v>2039.15</v>
      </c>
      <c r="C364">
        <v>2024.12</v>
      </c>
      <c r="D364">
        <v>2009.45</v>
      </c>
      <c r="E364">
        <v>1995.15</v>
      </c>
      <c r="F364">
        <v>1981.21</v>
      </c>
      <c r="G364">
        <v>1967.64</v>
      </c>
      <c r="H364">
        <v>1954.43</v>
      </c>
      <c r="I364">
        <v>1941.59</v>
      </c>
      <c r="J364">
        <v>1929.11</v>
      </c>
      <c r="K364">
        <v>1917</v>
      </c>
      <c r="L364">
        <v>1905.26</v>
      </c>
    </row>
    <row r="365" spans="1:12" x14ac:dyDescent="0.15">
      <c r="A365">
        <v>1800</v>
      </c>
      <c r="B365">
        <v>2052.65</v>
      </c>
      <c r="C365">
        <v>2037.37</v>
      </c>
      <c r="D365">
        <v>2022.46</v>
      </c>
      <c r="E365">
        <v>2007.92</v>
      </c>
      <c r="F365">
        <v>1993.73</v>
      </c>
      <c r="G365">
        <v>1979.92</v>
      </c>
      <c r="H365">
        <v>1966.47</v>
      </c>
      <c r="I365">
        <v>1953.38</v>
      </c>
      <c r="J365">
        <v>1940.67</v>
      </c>
      <c r="K365">
        <v>1928.31</v>
      </c>
      <c r="L365">
        <v>1916.32</v>
      </c>
    </row>
    <row r="366" spans="1:12" x14ac:dyDescent="0.15">
      <c r="A366">
        <v>1805</v>
      </c>
      <c r="B366">
        <v>2066.36</v>
      </c>
      <c r="C366">
        <v>2050.84</v>
      </c>
      <c r="D366">
        <v>2035.69</v>
      </c>
      <c r="E366">
        <v>2020.9</v>
      </c>
      <c r="F366">
        <v>2006.48</v>
      </c>
      <c r="G366">
        <v>1992.42</v>
      </c>
      <c r="H366">
        <v>1978.72</v>
      </c>
      <c r="I366">
        <v>1965.4</v>
      </c>
      <c r="J366">
        <v>1952.43</v>
      </c>
      <c r="K366">
        <v>1939.84</v>
      </c>
      <c r="L366">
        <v>1927.61</v>
      </c>
    </row>
    <row r="367" spans="1:12" x14ac:dyDescent="0.15">
      <c r="A367">
        <v>1810</v>
      </c>
      <c r="B367">
        <v>2080.29</v>
      </c>
      <c r="C367">
        <v>2064.5300000000002</v>
      </c>
      <c r="D367">
        <v>2049.13</v>
      </c>
      <c r="E367">
        <v>2034.1</v>
      </c>
      <c r="F367">
        <v>2019.43</v>
      </c>
      <c r="G367">
        <v>2005.13</v>
      </c>
      <c r="H367">
        <v>1991.2</v>
      </c>
      <c r="I367">
        <v>1977.62</v>
      </c>
      <c r="J367">
        <v>1964.42</v>
      </c>
      <c r="K367">
        <v>1951.58</v>
      </c>
      <c r="L367">
        <v>1939.1</v>
      </c>
    </row>
    <row r="368" spans="1:12" x14ac:dyDescent="0.15">
      <c r="A368">
        <v>1815</v>
      </c>
      <c r="B368">
        <v>2094.44</v>
      </c>
      <c r="C368">
        <v>2078.4299999999998</v>
      </c>
      <c r="D368">
        <v>2062.79</v>
      </c>
      <c r="E368">
        <v>2047.52</v>
      </c>
      <c r="F368">
        <v>2032.61</v>
      </c>
      <c r="G368">
        <v>2018.06</v>
      </c>
      <c r="H368">
        <v>2003.88</v>
      </c>
      <c r="I368">
        <v>1990.07</v>
      </c>
      <c r="J368">
        <v>1976.62</v>
      </c>
      <c r="K368">
        <v>1963.54</v>
      </c>
      <c r="L368">
        <v>1950.82</v>
      </c>
    </row>
    <row r="369" spans="1:12" x14ac:dyDescent="0.15">
      <c r="A369">
        <v>1820</v>
      </c>
      <c r="B369">
        <v>2108.8000000000002</v>
      </c>
      <c r="C369">
        <v>2092.5500000000002</v>
      </c>
      <c r="D369">
        <v>2076.67</v>
      </c>
      <c r="E369">
        <v>2061.15</v>
      </c>
      <c r="F369">
        <v>2046</v>
      </c>
      <c r="G369">
        <v>2031.21</v>
      </c>
      <c r="H369">
        <v>2016.79</v>
      </c>
      <c r="I369">
        <v>2002.73</v>
      </c>
      <c r="J369">
        <v>1989.04</v>
      </c>
      <c r="K369">
        <v>1975.71</v>
      </c>
      <c r="L369">
        <v>1962.75</v>
      </c>
    </row>
    <row r="370" spans="1:12" x14ac:dyDescent="0.15">
      <c r="A370">
        <v>1825</v>
      </c>
      <c r="B370">
        <v>2123.38</v>
      </c>
      <c r="C370">
        <v>2106.89</v>
      </c>
      <c r="D370">
        <v>2090.7600000000002</v>
      </c>
      <c r="E370">
        <v>2075</v>
      </c>
      <c r="F370">
        <v>2059.6</v>
      </c>
      <c r="G370">
        <v>2044.57</v>
      </c>
      <c r="H370">
        <v>2029.91</v>
      </c>
      <c r="I370">
        <v>2015.61</v>
      </c>
      <c r="J370">
        <v>2001.67</v>
      </c>
      <c r="K370">
        <v>1988.1</v>
      </c>
      <c r="L370">
        <v>1974.9</v>
      </c>
    </row>
    <row r="371" spans="1:12" x14ac:dyDescent="0.15">
      <c r="A371">
        <v>1830</v>
      </c>
      <c r="B371">
        <v>2138.17</v>
      </c>
      <c r="C371">
        <v>2121.44</v>
      </c>
      <c r="D371">
        <v>2105.0700000000002</v>
      </c>
      <c r="E371">
        <v>2089.0700000000002</v>
      </c>
      <c r="F371">
        <v>2073.4299999999998</v>
      </c>
      <c r="G371">
        <v>2058.15</v>
      </c>
      <c r="H371">
        <v>2043.24</v>
      </c>
      <c r="I371">
        <v>2028.7</v>
      </c>
      <c r="J371">
        <v>2014.52</v>
      </c>
      <c r="K371">
        <v>2000.71</v>
      </c>
      <c r="L371">
        <v>1987.26</v>
      </c>
    </row>
    <row r="372" spans="1:12" x14ac:dyDescent="0.15">
      <c r="A372">
        <v>1835</v>
      </c>
      <c r="B372">
        <v>2153.19</v>
      </c>
      <c r="C372">
        <v>2136.21</v>
      </c>
      <c r="D372">
        <v>2119.6</v>
      </c>
      <c r="E372">
        <v>2103.35</v>
      </c>
      <c r="F372">
        <v>2087.4699999999998</v>
      </c>
      <c r="G372">
        <v>2071.9499999999998</v>
      </c>
      <c r="H372">
        <v>2056.8000000000002</v>
      </c>
      <c r="I372">
        <v>2042.01</v>
      </c>
      <c r="J372">
        <v>2027.59</v>
      </c>
      <c r="K372">
        <v>2013.54</v>
      </c>
      <c r="L372">
        <v>1999.85</v>
      </c>
    </row>
    <row r="373" spans="1:12" x14ac:dyDescent="0.15">
      <c r="A373">
        <v>1840</v>
      </c>
      <c r="B373">
        <v>2168.41</v>
      </c>
      <c r="C373">
        <v>2151.19</v>
      </c>
      <c r="D373">
        <v>2134.34</v>
      </c>
      <c r="E373">
        <v>2117.85</v>
      </c>
      <c r="F373">
        <v>2101.7199999999998</v>
      </c>
      <c r="G373">
        <v>2085.96</v>
      </c>
      <c r="H373">
        <v>2070.5700000000002</v>
      </c>
      <c r="I373">
        <v>2055.54</v>
      </c>
      <c r="J373">
        <v>2040.88</v>
      </c>
      <c r="K373">
        <v>2026.58</v>
      </c>
      <c r="L373">
        <v>2012.64</v>
      </c>
    </row>
    <row r="374" spans="1:12" x14ac:dyDescent="0.15">
      <c r="A374">
        <v>1845</v>
      </c>
      <c r="B374">
        <v>2183.86</v>
      </c>
      <c r="C374">
        <v>2166.4</v>
      </c>
      <c r="D374">
        <v>2149.3000000000002</v>
      </c>
      <c r="E374">
        <v>2132.56</v>
      </c>
      <c r="F374">
        <v>2116.1999999999998</v>
      </c>
      <c r="G374">
        <v>2100.19</v>
      </c>
      <c r="H374">
        <v>2084.5500000000002</v>
      </c>
      <c r="I374">
        <v>2069.2800000000002</v>
      </c>
      <c r="J374">
        <v>2054.38</v>
      </c>
      <c r="K374">
        <v>2039.83</v>
      </c>
      <c r="L374">
        <v>2025.66</v>
      </c>
    </row>
    <row r="375" spans="1:12" x14ac:dyDescent="0.15">
      <c r="A375">
        <v>1850</v>
      </c>
      <c r="B375">
        <v>2199.52</v>
      </c>
      <c r="C375">
        <v>2181.81</v>
      </c>
      <c r="D375">
        <v>2164.4699999999998</v>
      </c>
      <c r="E375">
        <v>2147.4899999999998</v>
      </c>
      <c r="F375">
        <v>2130.88</v>
      </c>
      <c r="G375">
        <v>2114.64</v>
      </c>
      <c r="H375">
        <v>2098.7600000000002</v>
      </c>
      <c r="I375">
        <v>2083.2399999999998</v>
      </c>
      <c r="J375">
        <v>2068.09</v>
      </c>
      <c r="K375">
        <v>2053.31</v>
      </c>
      <c r="L375">
        <v>2038.89</v>
      </c>
    </row>
    <row r="376" spans="1:12" x14ac:dyDescent="0.15">
      <c r="A376">
        <v>1855</v>
      </c>
      <c r="B376">
        <v>2215.4</v>
      </c>
      <c r="C376">
        <v>2197.4499999999998</v>
      </c>
      <c r="D376">
        <v>2179.86</v>
      </c>
      <c r="E376">
        <v>2162.64</v>
      </c>
      <c r="F376">
        <v>2145.79</v>
      </c>
      <c r="G376">
        <v>2129.3000000000002</v>
      </c>
      <c r="H376">
        <v>2113.1799999999998</v>
      </c>
      <c r="I376">
        <v>2097.42</v>
      </c>
      <c r="J376">
        <v>2082.0300000000002</v>
      </c>
      <c r="K376">
        <v>2067</v>
      </c>
      <c r="L376">
        <v>2052.34</v>
      </c>
    </row>
    <row r="377" spans="1:12" x14ac:dyDescent="0.15">
      <c r="A377">
        <v>1860</v>
      </c>
      <c r="B377">
        <v>2231.4899999999998</v>
      </c>
      <c r="C377">
        <v>2213.3000000000002</v>
      </c>
      <c r="D377">
        <v>2195.4699999999998</v>
      </c>
      <c r="E377">
        <v>2178.0100000000002</v>
      </c>
      <c r="F377">
        <v>2160.91</v>
      </c>
      <c r="G377">
        <v>2144.1799999999998</v>
      </c>
      <c r="H377">
        <v>2127.81</v>
      </c>
      <c r="I377">
        <v>2111.81</v>
      </c>
      <c r="J377">
        <v>2096.17</v>
      </c>
      <c r="K377">
        <v>2080.9</v>
      </c>
      <c r="L377">
        <v>2066</v>
      </c>
    </row>
    <row r="378" spans="1:12" x14ac:dyDescent="0.15">
      <c r="A378">
        <v>1865</v>
      </c>
      <c r="B378">
        <v>2247.8000000000002</v>
      </c>
      <c r="C378">
        <v>2229.37</v>
      </c>
      <c r="D378">
        <v>2211.3000000000002</v>
      </c>
      <c r="E378">
        <v>2193.59</v>
      </c>
      <c r="F378">
        <v>2176.25</v>
      </c>
      <c r="G378">
        <v>2159.2800000000002</v>
      </c>
      <c r="H378">
        <v>2142.67</v>
      </c>
      <c r="I378">
        <v>2126.42</v>
      </c>
      <c r="J378">
        <v>2110.54</v>
      </c>
      <c r="K378">
        <v>2095.0300000000002</v>
      </c>
      <c r="L378">
        <v>2079.88</v>
      </c>
    </row>
    <row r="379" spans="1:12" x14ac:dyDescent="0.15">
      <c r="A379">
        <v>1870</v>
      </c>
      <c r="B379">
        <v>2264.33</v>
      </c>
      <c r="C379">
        <v>2245.65</v>
      </c>
      <c r="D379">
        <v>2227.34</v>
      </c>
      <c r="E379">
        <v>2209.39</v>
      </c>
      <c r="F379">
        <v>2191.81</v>
      </c>
      <c r="G379">
        <v>2174.59</v>
      </c>
      <c r="H379">
        <v>2157.73</v>
      </c>
      <c r="I379">
        <v>2141.25</v>
      </c>
      <c r="J379">
        <v>2125.13</v>
      </c>
      <c r="K379">
        <v>2109.37</v>
      </c>
      <c r="L379">
        <v>2093.98</v>
      </c>
    </row>
    <row r="380" spans="1:12" x14ac:dyDescent="0.15">
      <c r="A380">
        <v>1875</v>
      </c>
      <c r="B380">
        <v>2281.0700000000002</v>
      </c>
      <c r="C380">
        <v>2262.15</v>
      </c>
      <c r="D380">
        <v>2243.6</v>
      </c>
      <c r="E380">
        <v>2225.4</v>
      </c>
      <c r="F380">
        <v>2207.58</v>
      </c>
      <c r="G380">
        <v>2190.12</v>
      </c>
      <c r="H380">
        <v>2173.02</v>
      </c>
      <c r="I380">
        <v>2156.29</v>
      </c>
      <c r="J380">
        <v>2139.92</v>
      </c>
      <c r="K380">
        <v>2123.92</v>
      </c>
      <c r="L380">
        <v>2108.29</v>
      </c>
    </row>
    <row r="381" spans="1:12" x14ac:dyDescent="0.15">
      <c r="A381">
        <v>1880</v>
      </c>
      <c r="B381">
        <v>2298.04</v>
      </c>
      <c r="C381">
        <v>2278.87</v>
      </c>
      <c r="D381">
        <v>2260.0700000000002</v>
      </c>
      <c r="E381">
        <v>2241.64</v>
      </c>
      <c r="F381">
        <v>2223.56</v>
      </c>
      <c r="G381">
        <v>2205.86</v>
      </c>
      <c r="H381">
        <v>2188.52</v>
      </c>
      <c r="I381">
        <v>2171.5500000000002</v>
      </c>
      <c r="J381">
        <v>2154.94</v>
      </c>
      <c r="K381">
        <v>2138.6999999999998</v>
      </c>
      <c r="L381">
        <v>2122.8200000000002</v>
      </c>
    </row>
    <row r="382" spans="1:12" x14ac:dyDescent="0.15">
      <c r="A382">
        <v>1885</v>
      </c>
      <c r="B382">
        <v>2315.21</v>
      </c>
      <c r="C382">
        <v>2295.8000000000002</v>
      </c>
      <c r="D382">
        <v>2276.7600000000002</v>
      </c>
      <c r="E382">
        <v>2258.08</v>
      </c>
      <c r="F382">
        <v>2239.77</v>
      </c>
      <c r="G382">
        <v>2221.8200000000002</v>
      </c>
      <c r="H382">
        <v>2204.2399999999998</v>
      </c>
      <c r="I382">
        <v>2187.02</v>
      </c>
      <c r="J382">
        <v>2170.17</v>
      </c>
      <c r="K382">
        <v>2153.69</v>
      </c>
      <c r="L382">
        <v>2137.5700000000002</v>
      </c>
    </row>
    <row r="383" spans="1:12" x14ac:dyDescent="0.15">
      <c r="A383">
        <v>1890</v>
      </c>
      <c r="B383">
        <v>2332.61</v>
      </c>
      <c r="C383">
        <v>2312.9499999999998</v>
      </c>
      <c r="D383">
        <v>2293.67</v>
      </c>
      <c r="E383">
        <v>2274.75</v>
      </c>
      <c r="F383">
        <v>2256.19</v>
      </c>
      <c r="G383">
        <v>2238</v>
      </c>
      <c r="H383">
        <v>2220.1799999999998</v>
      </c>
      <c r="I383">
        <v>2202.7199999999998</v>
      </c>
      <c r="J383">
        <v>2185.62</v>
      </c>
      <c r="K383">
        <v>2168.89</v>
      </c>
      <c r="L383">
        <v>2152.5300000000002</v>
      </c>
    </row>
    <row r="384" spans="1:12" x14ac:dyDescent="0.15">
      <c r="A384">
        <v>1895</v>
      </c>
      <c r="B384">
        <v>2350.2199999999998</v>
      </c>
      <c r="C384">
        <v>2330.3200000000002</v>
      </c>
      <c r="D384">
        <v>2310.79</v>
      </c>
      <c r="E384">
        <v>2291.63</v>
      </c>
      <c r="F384">
        <v>2272.83</v>
      </c>
      <c r="G384">
        <v>2254.4</v>
      </c>
      <c r="H384">
        <v>2236.33</v>
      </c>
      <c r="I384">
        <v>2218.62</v>
      </c>
      <c r="J384">
        <v>2201.29</v>
      </c>
      <c r="K384">
        <v>2184.31</v>
      </c>
      <c r="L384">
        <v>2167.71</v>
      </c>
    </row>
    <row r="385" spans="1:12" x14ac:dyDescent="0.15">
      <c r="A385">
        <v>1900</v>
      </c>
      <c r="B385">
        <v>2368.04</v>
      </c>
      <c r="C385">
        <v>2347.9</v>
      </c>
      <c r="D385">
        <v>2328.13</v>
      </c>
      <c r="E385">
        <v>2308.7199999999998</v>
      </c>
      <c r="F385">
        <v>2289.6799999999998</v>
      </c>
      <c r="G385">
        <v>2271.0100000000002</v>
      </c>
      <c r="H385">
        <v>2252.69</v>
      </c>
      <c r="I385">
        <v>2234.75</v>
      </c>
      <c r="J385">
        <v>2217.17</v>
      </c>
      <c r="K385">
        <v>2199.9499999999998</v>
      </c>
      <c r="L385">
        <v>2183.1</v>
      </c>
    </row>
    <row r="386" spans="1:12" x14ac:dyDescent="0.15">
      <c r="A386">
        <v>1905</v>
      </c>
      <c r="B386">
        <v>2386.09</v>
      </c>
      <c r="C386">
        <v>2365.71</v>
      </c>
      <c r="D386">
        <v>2345.69</v>
      </c>
      <c r="E386">
        <v>2326.04</v>
      </c>
      <c r="F386">
        <v>2306.75</v>
      </c>
      <c r="G386">
        <v>2287.83</v>
      </c>
      <c r="H386">
        <v>2269.2800000000002</v>
      </c>
      <c r="I386">
        <v>2251.09</v>
      </c>
      <c r="J386">
        <v>2233.27</v>
      </c>
      <c r="K386">
        <v>2215.81</v>
      </c>
      <c r="L386">
        <v>2198.7199999999998</v>
      </c>
    </row>
    <row r="387" spans="1:12" x14ac:dyDescent="0.15">
      <c r="A387">
        <v>1910</v>
      </c>
      <c r="B387">
        <v>2404.35</v>
      </c>
      <c r="C387">
        <v>2383.7199999999998</v>
      </c>
      <c r="D387">
        <v>2363.46</v>
      </c>
      <c r="E387">
        <v>2343.5700000000002</v>
      </c>
      <c r="F387">
        <v>2324.04</v>
      </c>
      <c r="G387">
        <v>2304.88</v>
      </c>
      <c r="H387">
        <v>2286.08</v>
      </c>
      <c r="I387">
        <v>2267.65</v>
      </c>
      <c r="J387">
        <v>2249.58</v>
      </c>
      <c r="K387">
        <v>2231.88</v>
      </c>
      <c r="L387">
        <v>2214.54</v>
      </c>
    </row>
    <row r="388" spans="1:12" x14ac:dyDescent="0.15">
      <c r="A388">
        <v>1915</v>
      </c>
      <c r="B388">
        <v>2422.8200000000002</v>
      </c>
      <c r="C388">
        <v>2401.9499999999998</v>
      </c>
      <c r="D388">
        <v>2381.4499999999998</v>
      </c>
      <c r="E388">
        <v>2361.3200000000002</v>
      </c>
      <c r="F388">
        <v>2341.54</v>
      </c>
      <c r="G388">
        <v>2322.14</v>
      </c>
      <c r="H388">
        <v>2303.1</v>
      </c>
      <c r="I388">
        <v>2284.42</v>
      </c>
      <c r="J388">
        <v>2266.11</v>
      </c>
      <c r="K388">
        <v>2248.17</v>
      </c>
      <c r="L388">
        <v>2230.59</v>
      </c>
    </row>
    <row r="389" spans="1:12" x14ac:dyDescent="0.15">
      <c r="A389">
        <v>1920</v>
      </c>
      <c r="B389">
        <v>2441.5100000000002</v>
      </c>
      <c r="C389">
        <v>2420.4</v>
      </c>
      <c r="D389">
        <v>2399.66</v>
      </c>
      <c r="E389">
        <v>2379.2800000000002</v>
      </c>
      <c r="F389">
        <v>2359.2600000000002</v>
      </c>
      <c r="G389">
        <v>2339.62</v>
      </c>
      <c r="H389">
        <v>2320.33</v>
      </c>
      <c r="I389">
        <v>2301.41</v>
      </c>
      <c r="J389">
        <v>2282.86</v>
      </c>
      <c r="K389">
        <v>2264.67</v>
      </c>
      <c r="L389">
        <v>2246.85</v>
      </c>
    </row>
    <row r="390" spans="1:12" x14ac:dyDescent="0.15">
      <c r="A390">
        <v>1925</v>
      </c>
      <c r="B390">
        <v>2460.42</v>
      </c>
      <c r="C390">
        <v>2439.0700000000002</v>
      </c>
      <c r="D390">
        <v>2418.08</v>
      </c>
      <c r="E390">
        <v>2397.46</v>
      </c>
      <c r="F390">
        <v>2377.1999999999998</v>
      </c>
      <c r="G390">
        <v>2357.31</v>
      </c>
      <c r="H390">
        <v>2337.7800000000002</v>
      </c>
      <c r="I390">
        <v>2318.62</v>
      </c>
      <c r="J390">
        <v>2299.83</v>
      </c>
      <c r="K390">
        <v>2281.39</v>
      </c>
      <c r="L390">
        <v>2263.33</v>
      </c>
    </row>
    <row r="391" spans="1:12" x14ac:dyDescent="0.15">
      <c r="A391">
        <v>1930</v>
      </c>
      <c r="B391">
        <v>2479.5500000000002</v>
      </c>
      <c r="C391">
        <v>2457.9499999999998</v>
      </c>
      <c r="D391">
        <v>2436.7199999999998</v>
      </c>
      <c r="E391">
        <v>2415.86</v>
      </c>
      <c r="F391">
        <v>2395.35</v>
      </c>
      <c r="G391">
        <v>2375.2199999999998</v>
      </c>
      <c r="H391">
        <v>2355.4499999999998</v>
      </c>
      <c r="I391">
        <v>2336.0500000000002</v>
      </c>
      <c r="J391">
        <v>2317.0100000000002</v>
      </c>
      <c r="K391">
        <v>2298.33</v>
      </c>
      <c r="L391">
        <v>2280.02</v>
      </c>
    </row>
    <row r="392" spans="1:12" x14ac:dyDescent="0.15">
      <c r="A392">
        <v>1935</v>
      </c>
      <c r="B392">
        <v>2498.89</v>
      </c>
      <c r="C392">
        <v>2477.0500000000002</v>
      </c>
      <c r="D392">
        <v>2455.58</v>
      </c>
      <c r="E392">
        <v>2434.4699999999998</v>
      </c>
      <c r="F392">
        <v>2413.7199999999998</v>
      </c>
      <c r="G392">
        <v>2393.35</v>
      </c>
      <c r="H392">
        <v>2373.33</v>
      </c>
      <c r="I392">
        <v>2353.69</v>
      </c>
      <c r="J392">
        <v>2334.4</v>
      </c>
      <c r="K392">
        <v>2315.4899999999998</v>
      </c>
      <c r="L392">
        <v>2296.94</v>
      </c>
    </row>
    <row r="393" spans="1:12" x14ac:dyDescent="0.15">
      <c r="A393">
        <v>1940</v>
      </c>
      <c r="B393">
        <v>2518.4499999999998</v>
      </c>
      <c r="C393">
        <v>2496.37</v>
      </c>
      <c r="D393">
        <v>2474.65</v>
      </c>
      <c r="E393">
        <v>2453.3000000000002</v>
      </c>
      <c r="F393">
        <v>2432.31</v>
      </c>
      <c r="G393">
        <v>2411.69</v>
      </c>
      <c r="H393">
        <v>2391.4299999999998</v>
      </c>
      <c r="I393">
        <v>2371.54</v>
      </c>
      <c r="J393">
        <v>2352.02</v>
      </c>
      <c r="K393">
        <v>2332.86</v>
      </c>
      <c r="L393">
        <v>2314.06</v>
      </c>
    </row>
    <row r="394" spans="1:12" x14ac:dyDescent="0.15">
      <c r="A394">
        <v>1945</v>
      </c>
      <c r="B394">
        <v>2538.2199999999998</v>
      </c>
      <c r="C394">
        <v>2515.9</v>
      </c>
      <c r="D394">
        <v>2493.94</v>
      </c>
      <c r="E394">
        <v>2472.34</v>
      </c>
      <c r="F394">
        <v>2451.11</v>
      </c>
      <c r="G394">
        <v>2430.25</v>
      </c>
      <c r="H394">
        <v>2409.75</v>
      </c>
      <c r="I394">
        <v>2389.62</v>
      </c>
      <c r="J394">
        <v>2369.85</v>
      </c>
      <c r="K394">
        <v>2350.44</v>
      </c>
      <c r="L394">
        <v>2331.41</v>
      </c>
    </row>
    <row r="395" spans="1:12" x14ac:dyDescent="0.15">
      <c r="A395">
        <v>1950</v>
      </c>
      <c r="B395">
        <v>2558.2199999999998</v>
      </c>
      <c r="C395">
        <v>2535.65</v>
      </c>
      <c r="D395">
        <v>2513.44</v>
      </c>
      <c r="E395">
        <v>2491.61</v>
      </c>
      <c r="F395">
        <v>2470.13</v>
      </c>
      <c r="G395">
        <v>2449.0300000000002</v>
      </c>
      <c r="H395">
        <v>2428.2800000000002</v>
      </c>
      <c r="I395">
        <v>2407.91</v>
      </c>
      <c r="J395">
        <v>2387.9</v>
      </c>
      <c r="K395">
        <v>2368.25</v>
      </c>
      <c r="L395">
        <v>2348.9699999999998</v>
      </c>
    </row>
    <row r="396" spans="1:12" x14ac:dyDescent="0.15">
      <c r="A396">
        <v>1955</v>
      </c>
      <c r="B396">
        <v>2578.42</v>
      </c>
      <c r="C396">
        <v>2555.61</v>
      </c>
      <c r="D396">
        <v>2533.17</v>
      </c>
      <c r="E396">
        <v>2511.08</v>
      </c>
      <c r="F396">
        <v>2489.37</v>
      </c>
      <c r="G396">
        <v>2468.02</v>
      </c>
      <c r="H396">
        <v>2447.0300000000002</v>
      </c>
      <c r="I396">
        <v>2426.41</v>
      </c>
      <c r="J396">
        <v>2406.16</v>
      </c>
      <c r="K396">
        <v>2386.27</v>
      </c>
      <c r="L396">
        <v>2366.75</v>
      </c>
    </row>
    <row r="397" spans="1:12" x14ac:dyDescent="0.15">
      <c r="A397">
        <v>1960</v>
      </c>
      <c r="B397">
        <v>2598.85</v>
      </c>
      <c r="C397">
        <v>2575.79</v>
      </c>
      <c r="D397">
        <v>2553.1</v>
      </c>
      <c r="E397">
        <v>2530.7800000000002</v>
      </c>
      <c r="F397">
        <v>2508.8200000000002</v>
      </c>
      <c r="G397">
        <v>2487.23</v>
      </c>
      <c r="H397">
        <v>2466</v>
      </c>
      <c r="I397">
        <v>2445.14</v>
      </c>
      <c r="J397">
        <v>2424.64</v>
      </c>
      <c r="K397">
        <v>2404.5100000000002</v>
      </c>
      <c r="L397">
        <v>2384.7399999999998</v>
      </c>
    </row>
    <row r="398" spans="1:12" x14ac:dyDescent="0.15">
      <c r="A398">
        <v>1965</v>
      </c>
      <c r="B398">
        <v>2619.4899999999998</v>
      </c>
      <c r="C398">
        <v>2596.19</v>
      </c>
      <c r="D398">
        <v>2573.2600000000002</v>
      </c>
      <c r="E398">
        <v>2550.69</v>
      </c>
      <c r="F398">
        <v>2528.4899999999998</v>
      </c>
      <c r="G398">
        <v>2506.65</v>
      </c>
      <c r="H398">
        <v>2485.1799999999998</v>
      </c>
      <c r="I398">
        <v>2464.08</v>
      </c>
      <c r="J398">
        <v>2443.34</v>
      </c>
      <c r="K398">
        <v>2422.96</v>
      </c>
      <c r="L398">
        <v>2402.9499999999998</v>
      </c>
    </row>
    <row r="399" spans="1:12" x14ac:dyDescent="0.15">
      <c r="A399">
        <v>1970</v>
      </c>
      <c r="B399">
        <v>2640.35</v>
      </c>
      <c r="C399">
        <v>2616.81</v>
      </c>
      <c r="D399">
        <v>2593.63</v>
      </c>
      <c r="E399">
        <v>2570.8200000000002</v>
      </c>
      <c r="F399">
        <v>2548.37</v>
      </c>
      <c r="G399">
        <v>2526.3000000000002</v>
      </c>
      <c r="H399">
        <v>2504.58</v>
      </c>
      <c r="I399">
        <v>2483.23</v>
      </c>
      <c r="J399">
        <v>2462.25</v>
      </c>
      <c r="K399">
        <v>2441.63</v>
      </c>
      <c r="L399">
        <v>2421.38</v>
      </c>
    </row>
    <row r="400" spans="1:12" x14ac:dyDescent="0.15">
      <c r="A400">
        <v>1975</v>
      </c>
      <c r="B400">
        <v>2661.42</v>
      </c>
      <c r="C400">
        <v>2637.64</v>
      </c>
      <c r="D400">
        <v>2614.2199999999998</v>
      </c>
      <c r="E400">
        <v>2591.16</v>
      </c>
      <c r="F400">
        <v>2568.48</v>
      </c>
      <c r="G400">
        <v>2546.15</v>
      </c>
      <c r="H400">
        <v>2524.1999999999998</v>
      </c>
      <c r="I400">
        <v>2502.6</v>
      </c>
      <c r="J400">
        <v>2481.38</v>
      </c>
      <c r="K400">
        <v>2460.52</v>
      </c>
      <c r="L400">
        <v>2440.02</v>
      </c>
    </row>
    <row r="401" spans="1:12" x14ac:dyDescent="0.15">
      <c r="A401">
        <v>1980</v>
      </c>
      <c r="B401">
        <v>2682.69</v>
      </c>
      <c r="C401">
        <v>2658.68</v>
      </c>
      <c r="D401">
        <v>2635.02</v>
      </c>
      <c r="E401">
        <v>2611.73</v>
      </c>
      <c r="F401">
        <v>2588.8000000000002</v>
      </c>
      <c r="G401">
        <v>2566.23</v>
      </c>
      <c r="H401">
        <v>2544.0300000000002</v>
      </c>
      <c r="I401">
        <v>2522.19</v>
      </c>
      <c r="J401">
        <v>2500.7199999999998</v>
      </c>
      <c r="K401">
        <v>2479.62</v>
      </c>
      <c r="L401">
        <v>2458.88</v>
      </c>
    </row>
    <row r="402" spans="1:12" x14ac:dyDescent="0.15">
      <c r="A402">
        <v>1985</v>
      </c>
      <c r="B402">
        <v>2704.11</v>
      </c>
      <c r="C402">
        <v>2679.95</v>
      </c>
      <c r="D402">
        <v>2656.04</v>
      </c>
      <c r="E402">
        <v>2632.5</v>
      </c>
      <c r="F402">
        <v>2609.33</v>
      </c>
      <c r="G402">
        <v>2586.52</v>
      </c>
      <c r="H402">
        <v>2564.08</v>
      </c>
      <c r="I402">
        <v>2542</v>
      </c>
      <c r="J402">
        <v>2520.29</v>
      </c>
      <c r="K402">
        <v>2498.94</v>
      </c>
      <c r="L402">
        <v>2477.96</v>
      </c>
    </row>
    <row r="403" spans="1:12" x14ac:dyDescent="0.15">
      <c r="A403">
        <v>1990</v>
      </c>
      <c r="B403">
        <v>2725.62</v>
      </c>
      <c r="C403">
        <v>2701.4</v>
      </c>
      <c r="D403">
        <v>2677.29</v>
      </c>
      <c r="E403">
        <v>2653.5</v>
      </c>
      <c r="F403">
        <v>2630.08</v>
      </c>
      <c r="G403">
        <v>2607.0300000000002</v>
      </c>
      <c r="H403">
        <v>2584.34</v>
      </c>
      <c r="I403">
        <v>2562.02</v>
      </c>
      <c r="J403">
        <v>2540.0700000000002</v>
      </c>
      <c r="K403">
        <v>2518.4699999999998</v>
      </c>
      <c r="L403">
        <v>2497.25</v>
      </c>
    </row>
    <row r="404" spans="1:12" x14ac:dyDescent="0.15">
      <c r="A404">
        <v>1995</v>
      </c>
      <c r="B404">
        <v>2747.16</v>
      </c>
      <c r="C404">
        <v>2722.96</v>
      </c>
      <c r="D404">
        <v>2698.74</v>
      </c>
      <c r="E404">
        <v>2674.71</v>
      </c>
      <c r="F404">
        <v>2651.05</v>
      </c>
      <c r="G404">
        <v>2627.75</v>
      </c>
      <c r="H404">
        <v>2604.8200000000002</v>
      </c>
      <c r="I404">
        <v>2582.2600000000002</v>
      </c>
      <c r="J404">
        <v>2560.06</v>
      </c>
      <c r="K404">
        <v>2538.23</v>
      </c>
      <c r="L404">
        <v>2516.7600000000002</v>
      </c>
    </row>
    <row r="405" spans="1:12" x14ac:dyDescent="0.15">
      <c r="A405">
        <v>2000</v>
      </c>
      <c r="B405">
        <v>2768.38</v>
      </c>
      <c r="C405">
        <v>2744.55</v>
      </c>
      <c r="D405">
        <v>2720.32</v>
      </c>
      <c r="E405">
        <v>2696.12</v>
      </c>
      <c r="F405">
        <v>2672.23</v>
      </c>
      <c r="G405">
        <v>2648.69</v>
      </c>
      <c r="H405">
        <v>2625.52</v>
      </c>
      <c r="I405">
        <v>2602.71</v>
      </c>
      <c r="J405">
        <v>2580.27</v>
      </c>
      <c r="K405">
        <v>2558.19</v>
      </c>
      <c r="L405">
        <v>2536.48</v>
      </c>
    </row>
    <row r="406" spans="1:12" x14ac:dyDescent="0.15">
      <c r="A406">
        <v>2005</v>
      </c>
      <c r="B406">
        <v>2788.85</v>
      </c>
      <c r="C406">
        <v>2766.11</v>
      </c>
      <c r="D406">
        <v>2741.9</v>
      </c>
      <c r="E406">
        <v>2717.67</v>
      </c>
      <c r="F406">
        <v>2693.58</v>
      </c>
      <c r="G406">
        <v>2669.81</v>
      </c>
      <c r="H406">
        <v>2646.41</v>
      </c>
      <c r="I406">
        <v>2623.36</v>
      </c>
      <c r="J406">
        <v>2600.6799999999998</v>
      </c>
      <c r="K406">
        <v>2578.36</v>
      </c>
      <c r="L406">
        <v>2556.41</v>
      </c>
    </row>
    <row r="407" spans="1:12" x14ac:dyDescent="0.15">
      <c r="A407">
        <v>2010</v>
      </c>
      <c r="B407">
        <v>2808.16</v>
      </c>
      <c r="C407">
        <v>2787.21</v>
      </c>
      <c r="D407">
        <v>2763.48</v>
      </c>
      <c r="E407">
        <v>2739.25</v>
      </c>
      <c r="F407">
        <v>2715.05</v>
      </c>
      <c r="G407">
        <v>2691.09</v>
      </c>
      <c r="H407">
        <v>2667.47</v>
      </c>
      <c r="I407">
        <v>2644.19</v>
      </c>
      <c r="J407">
        <v>2621.2800000000002</v>
      </c>
      <c r="K407">
        <v>2598.7199999999998</v>
      </c>
      <c r="L407">
        <v>2576.5300000000002</v>
      </c>
    </row>
    <row r="408" spans="1:12" x14ac:dyDescent="0.15">
      <c r="A408">
        <v>2015</v>
      </c>
      <c r="B408">
        <v>2825.88</v>
      </c>
      <c r="C408">
        <v>2807.04</v>
      </c>
      <c r="D408">
        <v>2784.99</v>
      </c>
      <c r="E408">
        <v>2760.83</v>
      </c>
      <c r="F408">
        <v>2736.6</v>
      </c>
      <c r="G408">
        <v>2712.49</v>
      </c>
      <c r="H408">
        <v>2688.67</v>
      </c>
      <c r="I408">
        <v>2665.18</v>
      </c>
      <c r="J408">
        <v>2642.04</v>
      </c>
      <c r="K408">
        <v>2619.2600000000002</v>
      </c>
      <c r="L408">
        <v>2596.84</v>
      </c>
    </row>
    <row r="409" spans="1:12" x14ac:dyDescent="0.15">
      <c r="A409">
        <v>2020</v>
      </c>
      <c r="B409">
        <v>2841.73</v>
      </c>
      <c r="C409">
        <v>2825.02</v>
      </c>
      <c r="D409">
        <v>2805.11</v>
      </c>
      <c r="E409">
        <v>2782.12</v>
      </c>
      <c r="F409">
        <v>2758.03</v>
      </c>
      <c r="G409">
        <v>2733.89</v>
      </c>
      <c r="H409">
        <v>2709.91</v>
      </c>
      <c r="I409">
        <v>2686.24</v>
      </c>
      <c r="J409">
        <v>2662.89</v>
      </c>
      <c r="K409">
        <v>2639.9</v>
      </c>
      <c r="L409">
        <v>2617.2600000000002</v>
      </c>
    </row>
    <row r="410" spans="1:12" x14ac:dyDescent="0.15">
      <c r="A410">
        <v>2025</v>
      </c>
      <c r="B410">
        <v>2855.68</v>
      </c>
      <c r="C410">
        <v>2841.1</v>
      </c>
      <c r="D410">
        <v>2823.32</v>
      </c>
      <c r="E410">
        <v>2802.33</v>
      </c>
      <c r="F410">
        <v>2778.92</v>
      </c>
      <c r="G410">
        <v>2754.97</v>
      </c>
      <c r="H410">
        <v>2730.99</v>
      </c>
      <c r="I410">
        <v>2707.22</v>
      </c>
      <c r="J410">
        <v>2683.73</v>
      </c>
      <c r="K410">
        <v>2660.53</v>
      </c>
      <c r="L410">
        <v>2637.68</v>
      </c>
    </row>
    <row r="411" spans="1:12" x14ac:dyDescent="0.15">
      <c r="A411">
        <v>2030</v>
      </c>
      <c r="B411">
        <v>2867.73</v>
      </c>
      <c r="C411">
        <v>2855.29</v>
      </c>
      <c r="D411">
        <v>2839.64</v>
      </c>
      <c r="E411">
        <v>2820.78</v>
      </c>
      <c r="F411">
        <v>2798.85</v>
      </c>
      <c r="G411">
        <v>2775.44</v>
      </c>
      <c r="H411">
        <v>2751.65</v>
      </c>
      <c r="I411">
        <v>2727.9</v>
      </c>
      <c r="J411">
        <v>2704.34</v>
      </c>
      <c r="K411">
        <v>2681.06</v>
      </c>
      <c r="L411">
        <v>2658.07</v>
      </c>
    </row>
    <row r="412" spans="1:12" x14ac:dyDescent="0.15">
      <c r="A412">
        <v>2035</v>
      </c>
      <c r="B412">
        <v>2877.89</v>
      </c>
      <c r="C412">
        <v>2867.57</v>
      </c>
      <c r="D412">
        <v>2854.06</v>
      </c>
      <c r="E412">
        <v>2837.33</v>
      </c>
      <c r="F412">
        <v>2817.4</v>
      </c>
      <c r="G412">
        <v>2794.99</v>
      </c>
      <c r="H412">
        <v>2771.68</v>
      </c>
      <c r="I412">
        <v>2748.1</v>
      </c>
      <c r="J412">
        <v>2724.58</v>
      </c>
      <c r="K412">
        <v>2701.26</v>
      </c>
      <c r="L412">
        <v>2678.19</v>
      </c>
    </row>
    <row r="413" spans="1:12" x14ac:dyDescent="0.15">
      <c r="A413">
        <v>2040</v>
      </c>
      <c r="B413">
        <v>2886.15</v>
      </c>
      <c r="C413">
        <v>2877.96</v>
      </c>
      <c r="D413">
        <v>2866.58</v>
      </c>
      <c r="E413">
        <v>2851.98</v>
      </c>
      <c r="F413">
        <v>2834.19</v>
      </c>
      <c r="G413">
        <v>2813.34</v>
      </c>
      <c r="H413">
        <v>2790.81</v>
      </c>
      <c r="I413">
        <v>2767.66</v>
      </c>
      <c r="J413">
        <v>2744.33</v>
      </c>
      <c r="K413">
        <v>2721.04</v>
      </c>
      <c r="L413">
        <v>2697.97</v>
      </c>
    </row>
    <row r="414" spans="1:12" x14ac:dyDescent="0.15">
      <c r="A414">
        <v>2045</v>
      </c>
      <c r="B414">
        <v>2892.5</v>
      </c>
      <c r="C414">
        <v>2886.45</v>
      </c>
      <c r="D414">
        <v>2877.2</v>
      </c>
      <c r="E414">
        <v>2864.73</v>
      </c>
      <c r="F414">
        <v>2849.07</v>
      </c>
      <c r="G414">
        <v>2830.21</v>
      </c>
      <c r="H414">
        <v>2808.85</v>
      </c>
      <c r="I414">
        <v>2786.35</v>
      </c>
      <c r="J414">
        <v>2763.4</v>
      </c>
      <c r="K414">
        <v>2740.33</v>
      </c>
      <c r="L414">
        <v>2717.29</v>
      </c>
    </row>
    <row r="415" spans="1:12" x14ac:dyDescent="0.15">
      <c r="A415">
        <v>2050</v>
      </c>
      <c r="B415">
        <v>2896.98</v>
      </c>
      <c r="C415">
        <v>2893.04</v>
      </c>
      <c r="D415">
        <v>2885.92</v>
      </c>
      <c r="E415">
        <v>2875.59</v>
      </c>
      <c r="F415">
        <v>2862.06</v>
      </c>
      <c r="G415">
        <v>2845.32</v>
      </c>
      <c r="H415">
        <v>2825.56</v>
      </c>
      <c r="I415">
        <v>2804.03</v>
      </c>
      <c r="J415">
        <v>2781.62</v>
      </c>
      <c r="K415">
        <v>2758.91</v>
      </c>
      <c r="L415">
        <v>2736.1</v>
      </c>
    </row>
    <row r="416" spans="1:12" x14ac:dyDescent="0.15">
      <c r="A416">
        <v>2055</v>
      </c>
      <c r="B416">
        <v>2899.72</v>
      </c>
      <c r="C416">
        <v>2897.73</v>
      </c>
      <c r="D416">
        <v>2892.75</v>
      </c>
      <c r="E416">
        <v>2884.54</v>
      </c>
      <c r="F416">
        <v>2873.14</v>
      </c>
      <c r="G416">
        <v>2858.54</v>
      </c>
      <c r="H416">
        <v>2840.75</v>
      </c>
      <c r="I416">
        <v>2820.47</v>
      </c>
      <c r="J416">
        <v>2798.89</v>
      </c>
      <c r="K416">
        <v>2776.66</v>
      </c>
      <c r="L416">
        <v>2754.19</v>
      </c>
    </row>
    <row r="417" spans="1:12" x14ac:dyDescent="0.15">
      <c r="A417">
        <v>2060</v>
      </c>
      <c r="B417">
        <v>2901.17</v>
      </c>
      <c r="C417">
        <v>2900.53</v>
      </c>
      <c r="D417">
        <v>2897.67</v>
      </c>
      <c r="E417">
        <v>2891.6</v>
      </c>
      <c r="F417">
        <v>2882.33</v>
      </c>
      <c r="G417">
        <v>2869.86</v>
      </c>
      <c r="H417">
        <v>2854.18</v>
      </c>
      <c r="I417">
        <v>2835.52</v>
      </c>
      <c r="J417">
        <v>2815.02</v>
      </c>
      <c r="K417">
        <v>2793.47</v>
      </c>
      <c r="L417">
        <v>2771.46</v>
      </c>
    </row>
    <row r="418" spans="1:12" x14ac:dyDescent="0.15">
      <c r="A418">
        <v>2065</v>
      </c>
      <c r="B418">
        <v>2901.73</v>
      </c>
      <c r="C418">
        <v>2901.64</v>
      </c>
      <c r="D418">
        <v>2900.7</v>
      </c>
      <c r="E418">
        <v>2896.76</v>
      </c>
      <c r="F418">
        <v>2889.62</v>
      </c>
      <c r="G418">
        <v>2879.28</v>
      </c>
      <c r="H418">
        <v>2865.73</v>
      </c>
      <c r="I418">
        <v>2849.02</v>
      </c>
      <c r="J418">
        <v>2829.83</v>
      </c>
      <c r="K418">
        <v>2809.25</v>
      </c>
      <c r="L418">
        <v>2787.8</v>
      </c>
    </row>
    <row r="419" spans="1:12" x14ac:dyDescent="0.15">
      <c r="A419">
        <v>2070</v>
      </c>
      <c r="B419">
        <v>2901.83</v>
      </c>
      <c r="C419">
        <v>2901.83</v>
      </c>
      <c r="D419">
        <v>2901.82</v>
      </c>
      <c r="E419">
        <v>2900.01</v>
      </c>
      <c r="F419">
        <v>2895.01</v>
      </c>
      <c r="G419">
        <v>2886.8</v>
      </c>
      <c r="H419">
        <v>2875.39</v>
      </c>
      <c r="I419">
        <v>2860.77</v>
      </c>
      <c r="J419">
        <v>2843.22</v>
      </c>
      <c r="K419">
        <v>2823.76</v>
      </c>
      <c r="L419">
        <v>2803.18</v>
      </c>
    </row>
    <row r="420" spans="1:12" x14ac:dyDescent="0.15">
      <c r="A420">
        <v>2075</v>
      </c>
      <c r="B420">
        <v>2901.83</v>
      </c>
      <c r="C420">
        <v>2901.83</v>
      </c>
      <c r="D420">
        <v>2901.83</v>
      </c>
      <c r="E420">
        <v>2901.48</v>
      </c>
      <c r="F420">
        <v>2898.56</v>
      </c>
      <c r="G420">
        <v>2892.45</v>
      </c>
      <c r="H420">
        <v>2883.18</v>
      </c>
      <c r="I420">
        <v>2870.68</v>
      </c>
      <c r="J420">
        <v>2855.04</v>
      </c>
      <c r="K420">
        <v>2836.94</v>
      </c>
      <c r="L420">
        <v>2817.38</v>
      </c>
    </row>
    <row r="421" spans="1:12" x14ac:dyDescent="0.15">
      <c r="A421">
        <v>2080</v>
      </c>
      <c r="B421">
        <v>2901.83</v>
      </c>
      <c r="C421">
        <v>2901.83</v>
      </c>
      <c r="D421">
        <v>2901.83</v>
      </c>
      <c r="E421">
        <v>2901.82</v>
      </c>
      <c r="F421">
        <v>2900.6</v>
      </c>
      <c r="G421">
        <v>2896.49</v>
      </c>
      <c r="H421">
        <v>2889.26</v>
      </c>
      <c r="I421">
        <v>2878.83</v>
      </c>
      <c r="J421">
        <v>2865.23</v>
      </c>
      <c r="K421">
        <v>2848.78</v>
      </c>
      <c r="L421">
        <v>2830.38</v>
      </c>
    </row>
    <row r="422" spans="1:12" x14ac:dyDescent="0.15">
      <c r="A422">
        <v>2085</v>
      </c>
      <c r="B422">
        <v>2901.83</v>
      </c>
      <c r="C422">
        <v>2901.83</v>
      </c>
      <c r="D422">
        <v>2901.83</v>
      </c>
      <c r="E422">
        <v>2901.83</v>
      </c>
      <c r="F422">
        <v>2901.54</v>
      </c>
      <c r="G422">
        <v>2899.15</v>
      </c>
      <c r="H422">
        <v>2893.86</v>
      </c>
      <c r="I422">
        <v>2885.45</v>
      </c>
      <c r="J422">
        <v>2873.92</v>
      </c>
      <c r="K422">
        <v>2859.26</v>
      </c>
      <c r="L422">
        <v>2842.15</v>
      </c>
    </row>
    <row r="423" spans="1:12" x14ac:dyDescent="0.15">
      <c r="A423">
        <v>2090</v>
      </c>
      <c r="B423">
        <v>2901.83</v>
      </c>
      <c r="C423">
        <v>2901.83</v>
      </c>
      <c r="D423">
        <v>2901.83</v>
      </c>
      <c r="E423">
        <v>2901.83</v>
      </c>
      <c r="F423">
        <v>2901.81</v>
      </c>
      <c r="G423">
        <v>2900.73</v>
      </c>
      <c r="H423">
        <v>2897.16</v>
      </c>
      <c r="I423">
        <v>2890.64</v>
      </c>
      <c r="J423">
        <v>2881.08</v>
      </c>
      <c r="K423">
        <v>2868.39</v>
      </c>
      <c r="L423">
        <v>2852.91</v>
      </c>
    </row>
    <row r="424" spans="1:12" x14ac:dyDescent="0.15">
      <c r="A424">
        <v>2093</v>
      </c>
      <c r="B424">
        <v>2901.83</v>
      </c>
      <c r="C424">
        <v>2901.83</v>
      </c>
      <c r="D424">
        <v>2901.83</v>
      </c>
      <c r="E424">
        <v>2901.83</v>
      </c>
      <c r="F424">
        <v>2901.83</v>
      </c>
      <c r="G424">
        <v>2901.25</v>
      </c>
      <c r="H424">
        <v>2898.5</v>
      </c>
      <c r="I424">
        <v>2892.94</v>
      </c>
      <c r="J424">
        <v>2884.42</v>
      </c>
      <c r="K424">
        <v>2872.8</v>
      </c>
      <c r="L424">
        <v>2858.26</v>
      </c>
    </row>
  </sheetData>
  <mergeCells count="1">
    <mergeCell ref="R1:V1"/>
  </mergeCells>
  <phoneticPr fontId="1" type="noConversion"/>
  <hyperlinks>
    <hyperlink ref="R4" location="SOUNDING!A1" display="Back" xr:uid="{00000000-0004-0000-0F00-000000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1" tint="0.34998626667073579"/>
  </sheetPr>
  <dimension ref="A1:W422"/>
  <sheetViews>
    <sheetView showRowColHeaders="0" workbookViewId="0">
      <pane xSplit="17" ySplit="4" topLeftCell="R35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85.35</v>
      </c>
      <c r="C5">
        <v>49.89</v>
      </c>
      <c r="D5">
        <v>15.03</v>
      </c>
      <c r="E5">
        <v>1.39</v>
      </c>
      <c r="F5">
        <v>0.59</v>
      </c>
      <c r="G5">
        <v>0.36</v>
      </c>
      <c r="H5">
        <v>0.24</v>
      </c>
      <c r="I5">
        <v>0.18</v>
      </c>
      <c r="J5">
        <v>0.13</v>
      </c>
      <c r="K5">
        <v>0.1</v>
      </c>
      <c r="L5">
        <v>0.08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116.93</v>
      </c>
      <c r="C6">
        <v>81.14</v>
      </c>
      <c r="D6">
        <v>45.81</v>
      </c>
      <c r="E6">
        <v>14.7</v>
      </c>
      <c r="F6">
        <v>6.85</v>
      </c>
      <c r="G6">
        <v>4.32</v>
      </c>
      <c r="H6">
        <v>3.06</v>
      </c>
      <c r="I6">
        <v>2.31</v>
      </c>
      <c r="J6">
        <v>1.86</v>
      </c>
      <c r="K6">
        <v>1.55</v>
      </c>
      <c r="L6">
        <v>1.31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148.86000000000001</v>
      </c>
      <c r="C7">
        <v>112.78</v>
      </c>
      <c r="D7">
        <v>77.099999999999994</v>
      </c>
      <c r="E7">
        <v>41.95</v>
      </c>
      <c r="F7">
        <v>20.38</v>
      </c>
      <c r="G7">
        <v>13.06</v>
      </c>
      <c r="H7">
        <v>9.4600000000000009</v>
      </c>
      <c r="I7">
        <v>7.33</v>
      </c>
      <c r="J7">
        <v>5.93</v>
      </c>
      <c r="K7">
        <v>4.9000000000000004</v>
      </c>
      <c r="L7">
        <v>4.1500000000000004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181.06</v>
      </c>
      <c r="C8">
        <v>144.75</v>
      </c>
      <c r="D8">
        <v>108.77</v>
      </c>
      <c r="E8">
        <v>73.23</v>
      </c>
      <c r="F8">
        <v>41.27</v>
      </c>
      <c r="G8">
        <v>26.74</v>
      </c>
      <c r="H8">
        <v>19.52</v>
      </c>
      <c r="I8">
        <v>15.14</v>
      </c>
      <c r="J8">
        <v>12.42</v>
      </c>
      <c r="K8">
        <v>10.41</v>
      </c>
      <c r="L8">
        <v>8.92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213.51</v>
      </c>
      <c r="C9">
        <v>176.98</v>
      </c>
      <c r="D9">
        <v>140.75</v>
      </c>
      <c r="E9">
        <v>104.9</v>
      </c>
      <c r="F9">
        <v>69.55</v>
      </c>
      <c r="G9">
        <v>45.37</v>
      </c>
      <c r="H9">
        <v>33.32</v>
      </c>
      <c r="I9">
        <v>26.12</v>
      </c>
      <c r="J9">
        <v>21.36</v>
      </c>
      <c r="K9">
        <v>17.989999999999998</v>
      </c>
      <c r="L9">
        <v>15.48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246.16</v>
      </c>
      <c r="C10">
        <v>209.43</v>
      </c>
      <c r="D10">
        <v>172.99</v>
      </c>
      <c r="E10">
        <v>136.87</v>
      </c>
      <c r="F10">
        <v>101.16</v>
      </c>
      <c r="G10">
        <v>68.989999999999995</v>
      </c>
      <c r="H10">
        <v>50.86</v>
      </c>
      <c r="I10">
        <v>40.03</v>
      </c>
      <c r="J10">
        <v>32.700000000000003</v>
      </c>
      <c r="K10">
        <v>27.71</v>
      </c>
      <c r="L10">
        <v>23.91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278.99</v>
      </c>
      <c r="C11">
        <v>242.09</v>
      </c>
      <c r="D11">
        <v>205.45</v>
      </c>
      <c r="E11">
        <v>169.1</v>
      </c>
      <c r="F11">
        <v>133.1</v>
      </c>
      <c r="G11">
        <v>97.62</v>
      </c>
      <c r="H11">
        <v>72.17</v>
      </c>
      <c r="I11">
        <v>56.94</v>
      </c>
      <c r="J11">
        <v>46.83</v>
      </c>
      <c r="K11">
        <v>39.6</v>
      </c>
      <c r="L11">
        <v>34.22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311.99</v>
      </c>
      <c r="C12">
        <v>274.93</v>
      </c>
      <c r="D12">
        <v>238.11</v>
      </c>
      <c r="E12">
        <v>201.55</v>
      </c>
      <c r="F12">
        <v>165.31</v>
      </c>
      <c r="G12">
        <v>129.46</v>
      </c>
      <c r="H12">
        <v>97.26</v>
      </c>
      <c r="I12">
        <v>76.89</v>
      </c>
      <c r="J12">
        <v>63.33</v>
      </c>
      <c r="K12">
        <v>53.69</v>
      </c>
      <c r="L12">
        <v>46.44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345.14</v>
      </c>
      <c r="C13">
        <v>307.94</v>
      </c>
      <c r="D13">
        <v>270.95</v>
      </c>
      <c r="E13">
        <v>234.2</v>
      </c>
      <c r="F13">
        <v>197.74</v>
      </c>
      <c r="G13">
        <v>161.62</v>
      </c>
      <c r="H13">
        <v>126.15</v>
      </c>
      <c r="I13">
        <v>99.88</v>
      </c>
      <c r="J13">
        <v>82.38</v>
      </c>
      <c r="K13">
        <v>69.92</v>
      </c>
      <c r="L13">
        <v>60.59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378.44</v>
      </c>
      <c r="C14">
        <v>341.1</v>
      </c>
      <c r="D14">
        <v>303.95</v>
      </c>
      <c r="E14">
        <v>267.04000000000002</v>
      </c>
      <c r="F14">
        <v>230.38</v>
      </c>
      <c r="G14">
        <v>194.02</v>
      </c>
      <c r="H14">
        <v>158.05000000000001</v>
      </c>
      <c r="I14">
        <v>125.91</v>
      </c>
      <c r="J14">
        <v>103.98</v>
      </c>
      <c r="K14">
        <v>88.34</v>
      </c>
      <c r="L14">
        <v>76.63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411.86</v>
      </c>
      <c r="C15">
        <v>374.39</v>
      </c>
      <c r="D15">
        <v>337.11</v>
      </c>
      <c r="E15">
        <v>300.02999999999997</v>
      </c>
      <c r="F15">
        <v>263.19</v>
      </c>
      <c r="G15">
        <v>226.63</v>
      </c>
      <c r="H15">
        <v>190.4</v>
      </c>
      <c r="I15">
        <v>155.01</v>
      </c>
      <c r="J15">
        <v>128.13</v>
      </c>
      <c r="K15">
        <v>108.96</v>
      </c>
      <c r="L15">
        <v>94.59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445.4</v>
      </c>
      <c r="C16">
        <v>407.81</v>
      </c>
      <c r="D16">
        <v>370.4</v>
      </c>
      <c r="E16">
        <v>333.18</v>
      </c>
      <c r="F16">
        <v>296.17</v>
      </c>
      <c r="G16">
        <v>259.42</v>
      </c>
      <c r="H16">
        <v>222.97</v>
      </c>
      <c r="I16">
        <v>186.89</v>
      </c>
      <c r="J16">
        <v>154.86000000000001</v>
      </c>
      <c r="K16">
        <v>131.79</v>
      </c>
      <c r="L16">
        <v>114.49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479.04</v>
      </c>
      <c r="C17">
        <v>441.35</v>
      </c>
      <c r="D17">
        <v>403.81</v>
      </c>
      <c r="E17">
        <v>366.46</v>
      </c>
      <c r="F17">
        <v>329.31</v>
      </c>
      <c r="G17">
        <v>292.38</v>
      </c>
      <c r="H17">
        <v>255.73</v>
      </c>
      <c r="I17">
        <v>219.4</v>
      </c>
      <c r="J17">
        <v>184.14</v>
      </c>
      <c r="K17">
        <v>156.80000000000001</v>
      </c>
      <c r="L17">
        <v>136.31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512.79999999999995</v>
      </c>
      <c r="C18">
        <v>475</v>
      </c>
      <c r="D18">
        <v>437.35</v>
      </c>
      <c r="E18">
        <v>399.87</v>
      </c>
      <c r="F18">
        <v>362.57</v>
      </c>
      <c r="G18">
        <v>325.49</v>
      </c>
      <c r="H18">
        <v>288.66000000000003</v>
      </c>
      <c r="I18">
        <v>252.11</v>
      </c>
      <c r="J18">
        <v>215.93</v>
      </c>
      <c r="K18">
        <v>184.04</v>
      </c>
      <c r="L18">
        <v>160.1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546.64</v>
      </c>
      <c r="C19">
        <v>508.75</v>
      </c>
      <c r="D19">
        <v>470.99</v>
      </c>
      <c r="E19">
        <v>433.39</v>
      </c>
      <c r="F19">
        <v>395.97</v>
      </c>
      <c r="G19">
        <v>358.75</v>
      </c>
      <c r="H19">
        <v>321.75</v>
      </c>
      <c r="I19">
        <v>285.01</v>
      </c>
      <c r="J19">
        <v>248.59</v>
      </c>
      <c r="K19">
        <v>213.59</v>
      </c>
      <c r="L19">
        <v>185.78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580.57000000000005</v>
      </c>
      <c r="C20">
        <v>542.59</v>
      </c>
      <c r="D20">
        <v>504.73</v>
      </c>
      <c r="E20">
        <v>467.03</v>
      </c>
      <c r="F20">
        <v>429.49</v>
      </c>
      <c r="G20">
        <v>392.13</v>
      </c>
      <c r="H20">
        <v>354.98</v>
      </c>
      <c r="I20">
        <v>318.06</v>
      </c>
      <c r="J20">
        <v>281.44</v>
      </c>
      <c r="K20">
        <v>245.16</v>
      </c>
      <c r="L20">
        <v>213.44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614.59</v>
      </c>
      <c r="C21">
        <v>576.52</v>
      </c>
      <c r="D21">
        <v>538.57000000000005</v>
      </c>
      <c r="E21">
        <v>500.77</v>
      </c>
      <c r="F21">
        <v>463.11</v>
      </c>
      <c r="G21">
        <v>425.63</v>
      </c>
      <c r="H21">
        <v>388.33</v>
      </c>
      <c r="I21">
        <v>351.26</v>
      </c>
      <c r="J21">
        <v>314.45</v>
      </c>
      <c r="K21">
        <v>277.95</v>
      </c>
      <c r="L21">
        <v>243.02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648.67999999999995</v>
      </c>
      <c r="C22">
        <v>610.53</v>
      </c>
      <c r="D22">
        <v>572.5</v>
      </c>
      <c r="E22">
        <v>534.6</v>
      </c>
      <c r="F22">
        <v>496.84</v>
      </c>
      <c r="G22">
        <v>459.24</v>
      </c>
      <c r="H22">
        <v>421.82</v>
      </c>
      <c r="I22">
        <v>384.6</v>
      </c>
      <c r="J22">
        <v>347.62</v>
      </c>
      <c r="K22">
        <v>310.91000000000003</v>
      </c>
      <c r="L22">
        <v>274.60000000000002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682.84</v>
      </c>
      <c r="C23">
        <v>644.63</v>
      </c>
      <c r="D23">
        <v>606.51</v>
      </c>
      <c r="E23">
        <v>568.52</v>
      </c>
      <c r="F23">
        <v>530.66</v>
      </c>
      <c r="G23">
        <v>492.95</v>
      </c>
      <c r="H23">
        <v>455.41</v>
      </c>
      <c r="I23">
        <v>418.06</v>
      </c>
      <c r="J23">
        <v>380.92</v>
      </c>
      <c r="K23">
        <v>344.03</v>
      </c>
      <c r="L23">
        <v>307.45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717.07</v>
      </c>
      <c r="C24">
        <v>678.79</v>
      </c>
      <c r="D24">
        <v>640.6</v>
      </c>
      <c r="E24">
        <v>602.52</v>
      </c>
      <c r="F24">
        <v>564.57000000000005</v>
      </c>
      <c r="G24">
        <v>526.76</v>
      </c>
      <c r="H24">
        <v>489.11</v>
      </c>
      <c r="I24">
        <v>451.63</v>
      </c>
      <c r="J24">
        <v>414.35</v>
      </c>
      <c r="K24">
        <v>377.3</v>
      </c>
      <c r="L24">
        <v>340.52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751.37</v>
      </c>
      <c r="C25">
        <v>713.02</v>
      </c>
      <c r="D25">
        <v>674.76</v>
      </c>
      <c r="E25">
        <v>636.61</v>
      </c>
      <c r="F25">
        <v>598.57000000000005</v>
      </c>
      <c r="G25">
        <v>560.66</v>
      </c>
      <c r="H25">
        <v>522.9</v>
      </c>
      <c r="I25">
        <v>485.31</v>
      </c>
      <c r="J25">
        <v>447.9</v>
      </c>
      <c r="K25">
        <v>410.7</v>
      </c>
      <c r="L25">
        <v>373.75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785.72</v>
      </c>
      <c r="C26">
        <v>747.31</v>
      </c>
      <c r="D26">
        <v>708.99</v>
      </c>
      <c r="E26">
        <v>670.76</v>
      </c>
      <c r="F26">
        <v>632.64</v>
      </c>
      <c r="G26">
        <v>594.65</v>
      </c>
      <c r="H26">
        <v>556.79</v>
      </c>
      <c r="I26">
        <v>519.09</v>
      </c>
      <c r="J26">
        <v>481.55</v>
      </c>
      <c r="K26">
        <v>444.22</v>
      </c>
      <c r="L26">
        <v>407.11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820.12</v>
      </c>
      <c r="C27">
        <v>781.66</v>
      </c>
      <c r="D27">
        <v>743.28</v>
      </c>
      <c r="E27">
        <v>704.99</v>
      </c>
      <c r="F27">
        <v>666.79</v>
      </c>
      <c r="G27">
        <v>628.71</v>
      </c>
      <c r="H27">
        <v>590.76</v>
      </c>
      <c r="I27">
        <v>552.96</v>
      </c>
      <c r="J27">
        <v>515.30999999999995</v>
      </c>
      <c r="K27">
        <v>477.85</v>
      </c>
      <c r="L27">
        <v>440.59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854.57</v>
      </c>
      <c r="C28">
        <v>816.06</v>
      </c>
      <c r="D28">
        <v>777.63</v>
      </c>
      <c r="E28">
        <v>739.27</v>
      </c>
      <c r="F28">
        <v>701.01</v>
      </c>
      <c r="G28">
        <v>662.85</v>
      </c>
      <c r="H28">
        <v>624.82000000000005</v>
      </c>
      <c r="I28">
        <v>586.91</v>
      </c>
      <c r="J28">
        <v>549.16</v>
      </c>
      <c r="K28">
        <v>511.58</v>
      </c>
      <c r="L28">
        <v>474.19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889.07</v>
      </c>
      <c r="C29">
        <v>850.52</v>
      </c>
      <c r="D29">
        <v>812.03</v>
      </c>
      <c r="E29">
        <v>773.62</v>
      </c>
      <c r="F29">
        <v>735.29</v>
      </c>
      <c r="G29">
        <v>697.06</v>
      </c>
      <c r="H29">
        <v>658.95</v>
      </c>
      <c r="I29">
        <v>620.95000000000005</v>
      </c>
      <c r="J29">
        <v>583.1</v>
      </c>
      <c r="K29">
        <v>545.41</v>
      </c>
      <c r="L29">
        <v>507.89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923.61</v>
      </c>
      <c r="C30">
        <v>885.02</v>
      </c>
      <c r="D30">
        <v>846.48</v>
      </c>
      <c r="E30">
        <v>808.02</v>
      </c>
      <c r="F30">
        <v>769.63</v>
      </c>
      <c r="G30">
        <v>731.33</v>
      </c>
      <c r="H30">
        <v>693.14</v>
      </c>
      <c r="I30">
        <v>655.07000000000005</v>
      </c>
      <c r="J30">
        <v>617.12</v>
      </c>
      <c r="K30">
        <v>579.33000000000004</v>
      </c>
      <c r="L30">
        <v>541.70000000000005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958.19</v>
      </c>
      <c r="C31">
        <v>919.56</v>
      </c>
      <c r="D31">
        <v>880.98</v>
      </c>
      <c r="E31">
        <v>842.47</v>
      </c>
      <c r="F31">
        <v>804.02</v>
      </c>
      <c r="G31">
        <v>765.67</v>
      </c>
      <c r="H31">
        <v>727.41</v>
      </c>
      <c r="I31">
        <v>689.25</v>
      </c>
      <c r="J31">
        <v>651.22</v>
      </c>
      <c r="K31">
        <v>613.33000000000004</v>
      </c>
      <c r="L31">
        <v>575.59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992.8</v>
      </c>
      <c r="C32">
        <v>954.14</v>
      </c>
      <c r="D32">
        <v>915.52</v>
      </c>
      <c r="E32">
        <v>876.96</v>
      </c>
      <c r="F32">
        <v>838.47</v>
      </c>
      <c r="G32">
        <v>800.05</v>
      </c>
      <c r="H32">
        <v>761.73</v>
      </c>
      <c r="I32">
        <v>723.5</v>
      </c>
      <c r="J32">
        <v>685.39</v>
      </c>
      <c r="K32">
        <v>647.41</v>
      </c>
      <c r="L32">
        <v>609.58000000000004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1027.44</v>
      </c>
      <c r="C33">
        <v>988.75</v>
      </c>
      <c r="D33">
        <v>950.1</v>
      </c>
      <c r="E33">
        <v>911.5</v>
      </c>
      <c r="F33">
        <v>872.96</v>
      </c>
      <c r="G33">
        <v>834.49</v>
      </c>
      <c r="H33">
        <v>796.11</v>
      </c>
      <c r="I33">
        <v>757.82</v>
      </c>
      <c r="J33">
        <v>719.63</v>
      </c>
      <c r="K33">
        <v>681.57</v>
      </c>
      <c r="L33">
        <v>643.64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1062.1099999999999</v>
      </c>
      <c r="C34">
        <v>1023.4</v>
      </c>
      <c r="D34">
        <v>984.71</v>
      </c>
      <c r="E34">
        <v>946.08</v>
      </c>
      <c r="F34">
        <v>907.5</v>
      </c>
      <c r="G34">
        <v>868.98</v>
      </c>
      <c r="H34">
        <v>830.54</v>
      </c>
      <c r="I34">
        <v>792.19</v>
      </c>
      <c r="J34">
        <v>753.93</v>
      </c>
      <c r="K34">
        <v>715.79</v>
      </c>
      <c r="L34">
        <v>677.77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1094.45</v>
      </c>
      <c r="C35">
        <v>1058.07</v>
      </c>
      <c r="D35">
        <v>1019.36</v>
      </c>
      <c r="E35">
        <v>980.7</v>
      </c>
      <c r="F35">
        <v>942.08</v>
      </c>
      <c r="G35">
        <v>903.51</v>
      </c>
      <c r="H35">
        <v>865.02</v>
      </c>
      <c r="I35">
        <v>826.61</v>
      </c>
      <c r="J35">
        <v>788.29</v>
      </c>
      <c r="K35">
        <v>750.08</v>
      </c>
      <c r="L35">
        <v>711.98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1121.21</v>
      </c>
      <c r="C36">
        <v>1092.77</v>
      </c>
      <c r="D36">
        <v>1054.04</v>
      </c>
      <c r="E36">
        <v>1015.34</v>
      </c>
      <c r="F36">
        <v>976.69</v>
      </c>
      <c r="G36">
        <v>938.09</v>
      </c>
      <c r="H36">
        <v>899.55</v>
      </c>
      <c r="I36">
        <v>861.08</v>
      </c>
      <c r="J36">
        <v>822.7</v>
      </c>
      <c r="K36">
        <v>784.42</v>
      </c>
      <c r="L36">
        <v>746.25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1142.33</v>
      </c>
      <c r="C37">
        <v>1124.7</v>
      </c>
      <c r="D37">
        <v>1088.74</v>
      </c>
      <c r="E37">
        <v>1050.02</v>
      </c>
      <c r="F37">
        <v>1011.33</v>
      </c>
      <c r="G37">
        <v>972.7</v>
      </c>
      <c r="H37">
        <v>934.12</v>
      </c>
      <c r="I37">
        <v>895.6</v>
      </c>
      <c r="J37">
        <v>857.17</v>
      </c>
      <c r="K37">
        <v>818.82</v>
      </c>
      <c r="L37">
        <v>780.58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1157.74</v>
      </c>
      <c r="C38">
        <v>1145.75</v>
      </c>
      <c r="D38">
        <v>1123.46</v>
      </c>
      <c r="E38">
        <v>1084.72</v>
      </c>
      <c r="F38">
        <v>1046.01</v>
      </c>
      <c r="G38">
        <v>1007.34</v>
      </c>
      <c r="H38">
        <v>968.72</v>
      </c>
      <c r="I38">
        <v>930.16</v>
      </c>
      <c r="J38">
        <v>891.68</v>
      </c>
      <c r="K38">
        <v>853.27</v>
      </c>
      <c r="L38">
        <v>814.96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1168.04</v>
      </c>
      <c r="C39">
        <v>1157.05</v>
      </c>
      <c r="D39">
        <v>1145.8699999999999</v>
      </c>
      <c r="E39">
        <v>1118.1199999999999</v>
      </c>
      <c r="F39">
        <v>1080.27</v>
      </c>
      <c r="G39">
        <v>1041.5899999999999</v>
      </c>
      <c r="H39">
        <v>1002.95</v>
      </c>
      <c r="I39">
        <v>964.37</v>
      </c>
      <c r="J39">
        <v>925.86</v>
      </c>
      <c r="K39">
        <v>887.42</v>
      </c>
      <c r="L39">
        <v>849.07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1177.78</v>
      </c>
      <c r="C40">
        <v>1166.92</v>
      </c>
      <c r="D40">
        <v>1155.8699999999999</v>
      </c>
      <c r="E40">
        <v>1141.8499999999999</v>
      </c>
      <c r="F40">
        <v>1109.52</v>
      </c>
      <c r="G40">
        <v>1072.73</v>
      </c>
      <c r="H40">
        <v>1035.1500000000001</v>
      </c>
      <c r="I40">
        <v>997.62</v>
      </c>
      <c r="J40">
        <v>959.47</v>
      </c>
      <c r="K40">
        <v>920.99</v>
      </c>
      <c r="L40">
        <v>882.58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1187.4100000000001</v>
      </c>
      <c r="C41">
        <v>1176.68</v>
      </c>
      <c r="D41">
        <v>1165.76</v>
      </c>
      <c r="E41">
        <v>1154.6400000000001</v>
      </c>
      <c r="F41">
        <v>1133.0999999999999</v>
      </c>
      <c r="G41">
        <v>1100.4000000000001</v>
      </c>
      <c r="H41">
        <v>1064.28</v>
      </c>
      <c r="I41">
        <v>1027.4000000000001</v>
      </c>
      <c r="J41">
        <v>989.9</v>
      </c>
      <c r="K41">
        <v>952.46</v>
      </c>
      <c r="L41">
        <v>915.09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1196.93</v>
      </c>
      <c r="C42">
        <v>1186.33</v>
      </c>
      <c r="D42">
        <v>1175.54</v>
      </c>
      <c r="E42">
        <v>1164.55</v>
      </c>
      <c r="F42">
        <v>1151.03</v>
      </c>
      <c r="G42">
        <v>1123.82</v>
      </c>
      <c r="H42">
        <v>1090.92</v>
      </c>
      <c r="I42">
        <v>1055.6099999999999</v>
      </c>
      <c r="J42">
        <v>1019.13</v>
      </c>
      <c r="K42">
        <v>982.18</v>
      </c>
      <c r="L42">
        <v>944.77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1206.33</v>
      </c>
      <c r="C43">
        <v>1195.8699999999999</v>
      </c>
      <c r="D43">
        <v>1185.21</v>
      </c>
      <c r="E43">
        <v>1174.3499999999999</v>
      </c>
      <c r="F43">
        <v>1163.3</v>
      </c>
      <c r="G43">
        <v>1143.75</v>
      </c>
      <c r="H43">
        <v>1114.44</v>
      </c>
      <c r="I43">
        <v>1081.43</v>
      </c>
      <c r="J43">
        <v>1046.94</v>
      </c>
      <c r="K43">
        <v>1010.48</v>
      </c>
      <c r="L43">
        <v>974.08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1215.6199999999999</v>
      </c>
      <c r="C44">
        <v>1205.29</v>
      </c>
      <c r="D44">
        <v>1194.76</v>
      </c>
      <c r="E44">
        <v>1184.04</v>
      </c>
      <c r="F44">
        <v>1173.1199999999999</v>
      </c>
      <c r="G44">
        <v>1159.5999999999999</v>
      </c>
      <c r="H44">
        <v>1135.2</v>
      </c>
      <c r="I44">
        <v>1105.06</v>
      </c>
      <c r="J44">
        <v>1071.94</v>
      </c>
      <c r="K44">
        <v>1038.26</v>
      </c>
      <c r="L44">
        <v>1001.83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1224.79</v>
      </c>
      <c r="C45">
        <v>1214.5999999999999</v>
      </c>
      <c r="D45">
        <v>1204.2</v>
      </c>
      <c r="E45">
        <v>1193.6099999999999</v>
      </c>
      <c r="F45">
        <v>1182.82</v>
      </c>
      <c r="G45">
        <v>1171.81</v>
      </c>
      <c r="H45">
        <v>1153.07</v>
      </c>
      <c r="I45">
        <v>1126.3</v>
      </c>
      <c r="J45">
        <v>1095.6199999999999</v>
      </c>
      <c r="K45">
        <v>1062.44</v>
      </c>
      <c r="L45">
        <v>1029.0899999999999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1233.8499999999999</v>
      </c>
      <c r="C46">
        <v>1223.79</v>
      </c>
      <c r="D46">
        <v>1213.53</v>
      </c>
      <c r="E46">
        <v>1203.07</v>
      </c>
      <c r="F46">
        <v>1192.4100000000001</v>
      </c>
      <c r="G46">
        <v>1181.56</v>
      </c>
      <c r="H46">
        <v>1168.05</v>
      </c>
      <c r="I46">
        <v>1145.46</v>
      </c>
      <c r="J46">
        <v>1117.3399999999999</v>
      </c>
      <c r="K46">
        <v>1086.1600000000001</v>
      </c>
      <c r="L46">
        <v>1052.94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1242.8</v>
      </c>
      <c r="C47">
        <v>1232.8699999999999</v>
      </c>
      <c r="D47">
        <v>1222.74</v>
      </c>
      <c r="E47">
        <v>1212.4100000000001</v>
      </c>
      <c r="F47">
        <v>1201.8900000000001</v>
      </c>
      <c r="G47">
        <v>1191.17</v>
      </c>
      <c r="H47">
        <v>1180.0899999999999</v>
      </c>
      <c r="I47">
        <v>1161.95</v>
      </c>
      <c r="J47">
        <v>1136.8800000000001</v>
      </c>
      <c r="K47">
        <v>1108.18</v>
      </c>
      <c r="L47">
        <v>1076.69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1251.6199999999999</v>
      </c>
      <c r="C48">
        <v>1241.83</v>
      </c>
      <c r="D48">
        <v>1231.83</v>
      </c>
      <c r="E48">
        <v>1221.6400000000001</v>
      </c>
      <c r="F48">
        <v>1211.25</v>
      </c>
      <c r="G48">
        <v>1200.6600000000001</v>
      </c>
      <c r="H48">
        <v>1189.8800000000001</v>
      </c>
      <c r="I48">
        <v>1176.3800000000001</v>
      </c>
      <c r="J48">
        <v>1154.6300000000001</v>
      </c>
      <c r="K48">
        <v>1128.22</v>
      </c>
      <c r="L48">
        <v>1098.75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1260.0999999999999</v>
      </c>
      <c r="C49">
        <v>1250.43</v>
      </c>
      <c r="D49">
        <v>1240.56</v>
      </c>
      <c r="E49">
        <v>1230.5</v>
      </c>
      <c r="F49">
        <v>1220.23</v>
      </c>
      <c r="G49">
        <v>1209.77</v>
      </c>
      <c r="H49">
        <v>1199.1099999999999</v>
      </c>
      <c r="I49">
        <v>1187.81</v>
      </c>
      <c r="J49">
        <v>1170.05</v>
      </c>
      <c r="K49">
        <v>1146.46</v>
      </c>
      <c r="L49">
        <v>1118.6099999999999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1268.24</v>
      </c>
      <c r="C50">
        <v>1258.69</v>
      </c>
      <c r="D50">
        <v>1248.94</v>
      </c>
      <c r="E50">
        <v>1238.99</v>
      </c>
      <c r="F50">
        <v>1228.8499999999999</v>
      </c>
      <c r="G50">
        <v>1218.51</v>
      </c>
      <c r="H50">
        <v>1207.97</v>
      </c>
      <c r="I50">
        <v>1197.23</v>
      </c>
      <c r="J50">
        <v>1183.32</v>
      </c>
      <c r="K50">
        <v>1162.1600000000001</v>
      </c>
      <c r="L50">
        <v>1136.6500000000001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1276.27</v>
      </c>
      <c r="C51">
        <v>1266.8399999999999</v>
      </c>
      <c r="D51">
        <v>1257.21</v>
      </c>
      <c r="E51">
        <v>1247.3800000000001</v>
      </c>
      <c r="F51">
        <v>1237.3599999999999</v>
      </c>
      <c r="G51">
        <v>1227.1400000000001</v>
      </c>
      <c r="H51">
        <v>1216.72</v>
      </c>
      <c r="I51">
        <v>1206.0999999999999</v>
      </c>
      <c r="J51">
        <v>1194.4100000000001</v>
      </c>
      <c r="K51">
        <v>1176.53</v>
      </c>
      <c r="L51">
        <v>1153.45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1284.19</v>
      </c>
      <c r="C52">
        <v>1274.8800000000001</v>
      </c>
      <c r="D52">
        <v>1265.3699999999999</v>
      </c>
      <c r="E52">
        <v>1255.67</v>
      </c>
      <c r="F52">
        <v>1245.77</v>
      </c>
      <c r="G52">
        <v>1235.6600000000001</v>
      </c>
      <c r="H52">
        <v>1225.3599999999999</v>
      </c>
      <c r="I52">
        <v>1214.8699999999999</v>
      </c>
      <c r="J52">
        <v>1204.17</v>
      </c>
      <c r="K52">
        <v>1189.69</v>
      </c>
      <c r="L52">
        <v>1168.8699999999999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1292.01</v>
      </c>
      <c r="C53">
        <v>1282.82</v>
      </c>
      <c r="D53">
        <v>1273.44</v>
      </c>
      <c r="E53">
        <v>1263.8499999999999</v>
      </c>
      <c r="F53">
        <v>1254.07</v>
      </c>
      <c r="G53">
        <v>1244.0899999999999</v>
      </c>
      <c r="H53">
        <v>1233.9100000000001</v>
      </c>
      <c r="I53">
        <v>1223.53</v>
      </c>
      <c r="J53">
        <v>1212.95</v>
      </c>
      <c r="K53">
        <v>1200.8699999999999</v>
      </c>
      <c r="L53">
        <v>1182.8499999999999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1299.73</v>
      </c>
      <c r="C54">
        <v>1290.6600000000001</v>
      </c>
      <c r="D54">
        <v>1281.3900000000001</v>
      </c>
      <c r="E54">
        <v>1271.93</v>
      </c>
      <c r="F54">
        <v>1262.27</v>
      </c>
      <c r="G54">
        <v>1252.4100000000001</v>
      </c>
      <c r="H54">
        <v>1242.3399999999999</v>
      </c>
      <c r="I54">
        <v>1232.0899999999999</v>
      </c>
      <c r="J54">
        <v>1221.6300000000001</v>
      </c>
      <c r="K54">
        <v>1210.9100000000001</v>
      </c>
      <c r="L54">
        <v>1195.92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1307.33</v>
      </c>
      <c r="C55">
        <v>1298.3900000000001</v>
      </c>
      <c r="D55">
        <v>1289.24</v>
      </c>
      <c r="E55">
        <v>1279.9000000000001</v>
      </c>
      <c r="F55">
        <v>1270.3599999999999</v>
      </c>
      <c r="G55">
        <v>1260.6199999999999</v>
      </c>
      <c r="H55">
        <v>1250.68</v>
      </c>
      <c r="I55">
        <v>1240.54</v>
      </c>
      <c r="J55">
        <v>1230.2</v>
      </c>
      <c r="K55">
        <v>1219.6600000000001</v>
      </c>
      <c r="L55">
        <v>1207.19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1314.84</v>
      </c>
      <c r="C56">
        <v>1306.01</v>
      </c>
      <c r="D56">
        <v>1296.99</v>
      </c>
      <c r="E56">
        <v>1287.77</v>
      </c>
      <c r="F56">
        <v>1278.3499999999999</v>
      </c>
      <c r="G56">
        <v>1268.73</v>
      </c>
      <c r="H56">
        <v>1258.9100000000001</v>
      </c>
      <c r="I56">
        <v>1248.8900000000001</v>
      </c>
      <c r="J56">
        <v>1238.67</v>
      </c>
      <c r="K56">
        <v>1228.25</v>
      </c>
      <c r="L56">
        <v>1217.3699999999999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1322.23</v>
      </c>
      <c r="C57">
        <v>1313.53</v>
      </c>
      <c r="D57">
        <v>1304.6300000000001</v>
      </c>
      <c r="E57">
        <v>1295.53</v>
      </c>
      <c r="F57">
        <v>1286.23</v>
      </c>
      <c r="G57">
        <v>1276.73</v>
      </c>
      <c r="H57">
        <v>1267.03</v>
      </c>
      <c r="I57">
        <v>1257.1300000000001</v>
      </c>
      <c r="J57">
        <v>1247.03</v>
      </c>
      <c r="K57">
        <v>1236.74</v>
      </c>
      <c r="L57">
        <v>1226.24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1329.52</v>
      </c>
      <c r="C58">
        <v>1320.94</v>
      </c>
      <c r="D58">
        <v>1312.16</v>
      </c>
      <c r="E58">
        <v>1303.18</v>
      </c>
      <c r="F58">
        <v>1294</v>
      </c>
      <c r="G58">
        <v>1284.6199999999999</v>
      </c>
      <c r="H58">
        <v>1275.05</v>
      </c>
      <c r="I58">
        <v>1265.27</v>
      </c>
      <c r="J58">
        <v>1255.29</v>
      </c>
      <c r="K58">
        <v>1245.1199999999999</v>
      </c>
      <c r="L58">
        <v>1234.74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1336.7</v>
      </c>
      <c r="C59">
        <v>1328.24</v>
      </c>
      <c r="D59">
        <v>1319.58</v>
      </c>
      <c r="E59">
        <v>1310.73</v>
      </c>
      <c r="F59">
        <v>1301.67</v>
      </c>
      <c r="G59">
        <v>1292.42</v>
      </c>
      <c r="H59">
        <v>1282.96</v>
      </c>
      <c r="I59">
        <v>1273.3</v>
      </c>
      <c r="J59">
        <v>1263.45</v>
      </c>
      <c r="K59">
        <v>1253.3900000000001</v>
      </c>
      <c r="L59">
        <v>1243.1300000000001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1343.77</v>
      </c>
      <c r="C60">
        <v>1335.44</v>
      </c>
      <c r="D60">
        <v>1326.9</v>
      </c>
      <c r="E60">
        <v>1318.17</v>
      </c>
      <c r="F60">
        <v>1309.23</v>
      </c>
      <c r="G60">
        <v>1300.0999999999999</v>
      </c>
      <c r="H60">
        <v>1290.76</v>
      </c>
      <c r="I60">
        <v>1281.23</v>
      </c>
      <c r="J60">
        <v>1271.49</v>
      </c>
      <c r="K60">
        <v>1261.56</v>
      </c>
      <c r="L60">
        <v>1251.42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1350.74</v>
      </c>
      <c r="C61">
        <v>1342.53</v>
      </c>
      <c r="D61">
        <v>1334.11</v>
      </c>
      <c r="E61">
        <v>1325.5</v>
      </c>
      <c r="F61">
        <v>1316.69</v>
      </c>
      <c r="G61">
        <v>1307.68</v>
      </c>
      <c r="H61">
        <v>1298.46</v>
      </c>
      <c r="I61">
        <v>1289.05</v>
      </c>
      <c r="J61">
        <v>1279.44</v>
      </c>
      <c r="K61">
        <v>1269.6199999999999</v>
      </c>
      <c r="L61">
        <v>1259.6099999999999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1357.6</v>
      </c>
      <c r="C62">
        <v>1349.51</v>
      </c>
      <c r="D62">
        <v>1341.22</v>
      </c>
      <c r="E62">
        <v>1332.73</v>
      </c>
      <c r="F62">
        <v>1324.04</v>
      </c>
      <c r="G62">
        <v>1315.15</v>
      </c>
      <c r="H62">
        <v>1306.06</v>
      </c>
      <c r="I62">
        <v>1296.77</v>
      </c>
      <c r="J62">
        <v>1287.27</v>
      </c>
      <c r="K62">
        <v>1277.58</v>
      </c>
      <c r="L62">
        <v>1267.69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1364.35</v>
      </c>
      <c r="C63">
        <v>1356.39</v>
      </c>
      <c r="D63">
        <v>1348.22</v>
      </c>
      <c r="E63">
        <v>1339.85</v>
      </c>
      <c r="F63">
        <v>1331.28</v>
      </c>
      <c r="G63">
        <v>1322.51</v>
      </c>
      <c r="H63">
        <v>1313.55</v>
      </c>
      <c r="I63">
        <v>1304.3699999999999</v>
      </c>
      <c r="J63">
        <v>1295</v>
      </c>
      <c r="K63">
        <v>1285.43</v>
      </c>
      <c r="L63">
        <v>1275.6600000000001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1371</v>
      </c>
      <c r="C64">
        <v>1363.15</v>
      </c>
      <c r="D64">
        <v>1355.11</v>
      </c>
      <c r="E64">
        <v>1346.87</v>
      </c>
      <c r="F64">
        <v>1338.42</v>
      </c>
      <c r="G64">
        <v>1329.77</v>
      </c>
      <c r="H64">
        <v>1320.93</v>
      </c>
      <c r="I64">
        <v>1311.88</v>
      </c>
      <c r="J64">
        <v>1302.6300000000001</v>
      </c>
      <c r="K64">
        <v>1293.18</v>
      </c>
      <c r="L64">
        <v>1283.53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1377.53</v>
      </c>
      <c r="C65">
        <v>1369.81</v>
      </c>
      <c r="D65">
        <v>1361.89</v>
      </c>
      <c r="E65">
        <v>1353.77</v>
      </c>
      <c r="F65">
        <v>1345.45</v>
      </c>
      <c r="G65">
        <v>1336.92</v>
      </c>
      <c r="H65">
        <v>1328.2</v>
      </c>
      <c r="I65">
        <v>1319.27</v>
      </c>
      <c r="J65">
        <v>1310.1500000000001</v>
      </c>
      <c r="K65">
        <v>1300.82</v>
      </c>
      <c r="L65">
        <v>1291.29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1383.96</v>
      </c>
      <c r="C66">
        <v>1376.37</v>
      </c>
      <c r="D66">
        <v>1368.57</v>
      </c>
      <c r="E66">
        <v>1360.57</v>
      </c>
      <c r="F66">
        <v>1352.37</v>
      </c>
      <c r="G66">
        <v>1343.97</v>
      </c>
      <c r="H66">
        <v>1335.37</v>
      </c>
      <c r="I66">
        <v>1326.56</v>
      </c>
      <c r="J66">
        <v>1317.56</v>
      </c>
      <c r="K66">
        <v>1308.3499999999999</v>
      </c>
      <c r="L66">
        <v>1298.95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1390.28</v>
      </c>
      <c r="C67">
        <v>1382.81</v>
      </c>
      <c r="D67">
        <v>1375.14</v>
      </c>
      <c r="E67">
        <v>1367.26</v>
      </c>
      <c r="F67">
        <v>1359.19</v>
      </c>
      <c r="G67">
        <v>1350.91</v>
      </c>
      <c r="H67">
        <v>1342.43</v>
      </c>
      <c r="I67">
        <v>1333.75</v>
      </c>
      <c r="J67">
        <v>1324.87</v>
      </c>
      <c r="K67">
        <v>1315.78</v>
      </c>
      <c r="L67">
        <v>1306.5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1396.5</v>
      </c>
      <c r="C68">
        <v>1389.15</v>
      </c>
      <c r="D68">
        <v>1381.6</v>
      </c>
      <c r="E68">
        <v>1373.85</v>
      </c>
      <c r="F68">
        <v>1365.89</v>
      </c>
      <c r="G68">
        <v>1357.74</v>
      </c>
      <c r="H68">
        <v>1349.38</v>
      </c>
      <c r="I68">
        <v>1340.82</v>
      </c>
      <c r="J68">
        <v>1332.06</v>
      </c>
      <c r="K68">
        <v>1323.1</v>
      </c>
      <c r="L68">
        <v>1313.94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1402.6</v>
      </c>
      <c r="C69">
        <v>1395.38</v>
      </c>
      <c r="D69">
        <v>1387.95</v>
      </c>
      <c r="E69">
        <v>1380.33</v>
      </c>
      <c r="F69">
        <v>1372.5</v>
      </c>
      <c r="G69">
        <v>1364.46</v>
      </c>
      <c r="H69">
        <v>1356.23</v>
      </c>
      <c r="I69">
        <v>1347.79</v>
      </c>
      <c r="J69">
        <v>1339.16</v>
      </c>
      <c r="K69">
        <v>1330.32</v>
      </c>
      <c r="L69">
        <v>1321.28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1408.6</v>
      </c>
      <c r="C70">
        <v>1401.5</v>
      </c>
      <c r="D70">
        <v>1394.2</v>
      </c>
      <c r="E70">
        <v>1386.7</v>
      </c>
      <c r="F70">
        <v>1378.99</v>
      </c>
      <c r="G70">
        <v>1371.08</v>
      </c>
      <c r="H70">
        <v>1362.97</v>
      </c>
      <c r="I70">
        <v>1354.66</v>
      </c>
      <c r="J70">
        <v>1346.14</v>
      </c>
      <c r="K70">
        <v>1337.43</v>
      </c>
      <c r="L70">
        <v>1328.51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1414.49</v>
      </c>
      <c r="C71">
        <v>1407.52</v>
      </c>
      <c r="D71">
        <v>1400.34</v>
      </c>
      <c r="E71">
        <v>1392.96</v>
      </c>
      <c r="F71">
        <v>1385.38</v>
      </c>
      <c r="G71">
        <v>1377.59</v>
      </c>
      <c r="H71">
        <v>1369.6</v>
      </c>
      <c r="I71">
        <v>1361.42</v>
      </c>
      <c r="J71">
        <v>1353.02</v>
      </c>
      <c r="K71">
        <v>1344.43</v>
      </c>
      <c r="L71">
        <v>1335.63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1420.28</v>
      </c>
      <c r="C72">
        <v>1413.42</v>
      </c>
      <c r="D72">
        <v>1406.37</v>
      </c>
      <c r="E72">
        <v>1399.12</v>
      </c>
      <c r="F72">
        <v>1391.66</v>
      </c>
      <c r="G72">
        <v>1384</v>
      </c>
      <c r="H72">
        <v>1376.13</v>
      </c>
      <c r="I72">
        <v>1368.07</v>
      </c>
      <c r="J72">
        <v>1359.8</v>
      </c>
      <c r="K72">
        <v>1351.33</v>
      </c>
      <c r="L72">
        <v>1342.65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1425.95</v>
      </c>
      <c r="C73">
        <v>1419.22</v>
      </c>
      <c r="D73">
        <v>1412.29</v>
      </c>
      <c r="E73">
        <v>1405.16</v>
      </c>
      <c r="F73">
        <v>1397.83</v>
      </c>
      <c r="G73">
        <v>1390.29</v>
      </c>
      <c r="H73">
        <v>1382.55</v>
      </c>
      <c r="I73">
        <v>1374.61</v>
      </c>
      <c r="J73">
        <v>1366.46</v>
      </c>
      <c r="K73">
        <v>1358.12</v>
      </c>
      <c r="L73">
        <v>1349.57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1431.52</v>
      </c>
      <c r="C74">
        <v>1424.91</v>
      </c>
      <c r="D74">
        <v>1418.11</v>
      </c>
      <c r="E74">
        <v>1411.11</v>
      </c>
      <c r="F74">
        <v>1403.89</v>
      </c>
      <c r="G74">
        <v>1396.48</v>
      </c>
      <c r="H74">
        <v>1388.87</v>
      </c>
      <c r="I74">
        <v>1381.05</v>
      </c>
      <c r="J74">
        <v>1373.03</v>
      </c>
      <c r="K74">
        <v>1364.8</v>
      </c>
      <c r="L74">
        <v>1356.37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1436.98</v>
      </c>
      <c r="C75">
        <v>1430.5</v>
      </c>
      <c r="D75">
        <v>1423.82</v>
      </c>
      <c r="E75">
        <v>1416.94</v>
      </c>
      <c r="F75">
        <v>1409.85</v>
      </c>
      <c r="G75">
        <v>1402.56</v>
      </c>
      <c r="H75">
        <v>1395.07</v>
      </c>
      <c r="I75">
        <v>1387.38</v>
      </c>
      <c r="J75">
        <v>1379.48</v>
      </c>
      <c r="K75">
        <v>1371.38</v>
      </c>
      <c r="L75">
        <v>1363.07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1442.33</v>
      </c>
      <c r="C76">
        <v>1435.98</v>
      </c>
      <c r="D76">
        <v>1429.42</v>
      </c>
      <c r="E76">
        <v>1422.67</v>
      </c>
      <c r="F76">
        <v>1415.7</v>
      </c>
      <c r="G76">
        <v>1408.54</v>
      </c>
      <c r="H76">
        <v>1401.17</v>
      </c>
      <c r="I76">
        <v>1393.6</v>
      </c>
      <c r="J76">
        <v>1385.83</v>
      </c>
      <c r="K76">
        <v>1377.85</v>
      </c>
      <c r="L76">
        <v>1369.67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1447.57</v>
      </c>
      <c r="C77">
        <v>1441.34</v>
      </c>
      <c r="D77">
        <v>1434.91</v>
      </c>
      <c r="E77">
        <v>1428.28</v>
      </c>
      <c r="F77">
        <v>1421.45</v>
      </c>
      <c r="G77">
        <v>1414.41</v>
      </c>
      <c r="H77">
        <v>1407.16</v>
      </c>
      <c r="I77">
        <v>1399.72</v>
      </c>
      <c r="J77">
        <v>1392.07</v>
      </c>
      <c r="K77">
        <v>1384.21</v>
      </c>
      <c r="L77">
        <v>1376.16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1452.71</v>
      </c>
      <c r="C78">
        <v>1446.6</v>
      </c>
      <c r="D78">
        <v>1440.3</v>
      </c>
      <c r="E78">
        <v>1433.79</v>
      </c>
      <c r="F78">
        <v>1427.08</v>
      </c>
      <c r="G78">
        <v>1420.17</v>
      </c>
      <c r="H78">
        <v>1413.05</v>
      </c>
      <c r="I78">
        <v>1405.73</v>
      </c>
      <c r="J78">
        <v>1398.2</v>
      </c>
      <c r="K78">
        <v>1390.47</v>
      </c>
      <c r="L78">
        <v>1382.54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1457.73</v>
      </c>
      <c r="C79">
        <v>1451.76</v>
      </c>
      <c r="D79">
        <v>1445.58</v>
      </c>
      <c r="E79">
        <v>1439.2</v>
      </c>
      <c r="F79">
        <v>1432.61</v>
      </c>
      <c r="G79">
        <v>1425.82</v>
      </c>
      <c r="H79">
        <v>1418.83</v>
      </c>
      <c r="I79">
        <v>1411.63</v>
      </c>
      <c r="J79">
        <v>1404.23</v>
      </c>
      <c r="K79">
        <v>1396.62</v>
      </c>
      <c r="L79">
        <v>1388.81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1462.65</v>
      </c>
      <c r="C80">
        <v>1456.8</v>
      </c>
      <c r="D80">
        <v>1450.75</v>
      </c>
      <c r="E80">
        <v>1444.49</v>
      </c>
      <c r="F80">
        <v>1438.03</v>
      </c>
      <c r="G80">
        <v>1431.37</v>
      </c>
      <c r="H80">
        <v>1424.5</v>
      </c>
      <c r="I80">
        <v>1417.43</v>
      </c>
      <c r="J80">
        <v>1410.15</v>
      </c>
      <c r="K80">
        <v>1402.67</v>
      </c>
      <c r="L80">
        <v>1394.98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1467.46</v>
      </c>
      <c r="C81">
        <v>1461.74</v>
      </c>
      <c r="D81">
        <v>1455.81</v>
      </c>
      <c r="E81">
        <v>1449.68</v>
      </c>
      <c r="F81">
        <v>1443.35</v>
      </c>
      <c r="G81">
        <v>1436.81</v>
      </c>
      <c r="H81">
        <v>1430.06</v>
      </c>
      <c r="I81">
        <v>1423.12</v>
      </c>
      <c r="J81">
        <v>1415.96</v>
      </c>
      <c r="K81">
        <v>1408.61</v>
      </c>
      <c r="L81">
        <v>1401.05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1472.17</v>
      </c>
      <c r="C82">
        <v>1466.57</v>
      </c>
      <c r="D82">
        <v>1460.77</v>
      </c>
      <c r="E82">
        <v>1454.76</v>
      </c>
      <c r="F82">
        <v>1448.55</v>
      </c>
      <c r="G82">
        <v>1442.14</v>
      </c>
      <c r="H82">
        <v>1435.52</v>
      </c>
      <c r="I82">
        <v>1428.7</v>
      </c>
      <c r="J82">
        <v>1421.67</v>
      </c>
      <c r="K82">
        <v>1414.44</v>
      </c>
      <c r="L82">
        <v>1407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1476.76</v>
      </c>
      <c r="C83">
        <v>1471.29</v>
      </c>
      <c r="D83">
        <v>1465.61</v>
      </c>
      <c r="E83">
        <v>1459.74</v>
      </c>
      <c r="F83">
        <v>1453.65</v>
      </c>
      <c r="G83">
        <v>1447.36</v>
      </c>
      <c r="H83">
        <v>1440.87</v>
      </c>
      <c r="I83">
        <v>1434.17</v>
      </c>
      <c r="J83">
        <v>1427.27</v>
      </c>
      <c r="K83">
        <v>1420.16</v>
      </c>
      <c r="L83">
        <v>1412.85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1481.25</v>
      </c>
      <c r="C84">
        <v>1475.9</v>
      </c>
      <c r="D84">
        <v>1470.35</v>
      </c>
      <c r="E84">
        <v>1464.6</v>
      </c>
      <c r="F84">
        <v>1458.64</v>
      </c>
      <c r="G84">
        <v>1452.48</v>
      </c>
      <c r="H84">
        <v>1446.11</v>
      </c>
      <c r="I84">
        <v>1439.54</v>
      </c>
      <c r="J84">
        <v>1432.76</v>
      </c>
      <c r="K84">
        <v>1425.78</v>
      </c>
      <c r="L84">
        <v>1418.6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1485.63</v>
      </c>
      <c r="C85">
        <v>1480.41</v>
      </c>
      <c r="D85">
        <v>1474.99</v>
      </c>
      <c r="E85">
        <v>1469.36</v>
      </c>
      <c r="F85">
        <v>1463.53</v>
      </c>
      <c r="G85">
        <v>1457.49</v>
      </c>
      <c r="H85">
        <v>1451.25</v>
      </c>
      <c r="I85">
        <v>1444.8</v>
      </c>
      <c r="J85">
        <v>1438.15</v>
      </c>
      <c r="K85">
        <v>1431.29</v>
      </c>
      <c r="L85">
        <v>1424.23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1489.9</v>
      </c>
      <c r="C86">
        <v>1484.81</v>
      </c>
      <c r="D86">
        <v>1479.51</v>
      </c>
      <c r="E86">
        <v>1474.01</v>
      </c>
      <c r="F86">
        <v>1468.31</v>
      </c>
      <c r="G86">
        <v>1462.4</v>
      </c>
      <c r="H86">
        <v>1456.28</v>
      </c>
      <c r="I86">
        <v>1449.96</v>
      </c>
      <c r="J86">
        <v>1443.43</v>
      </c>
      <c r="K86">
        <v>1436.7</v>
      </c>
      <c r="L86">
        <v>1429.76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1494.06</v>
      </c>
      <c r="C87">
        <v>1489.09</v>
      </c>
      <c r="D87">
        <v>1483.93</v>
      </c>
      <c r="E87">
        <v>1478.55</v>
      </c>
      <c r="F87">
        <v>1472.98</v>
      </c>
      <c r="G87">
        <v>1467.19</v>
      </c>
      <c r="H87">
        <v>1461.2</v>
      </c>
      <c r="I87">
        <v>1455.01</v>
      </c>
      <c r="J87">
        <v>1448.6</v>
      </c>
      <c r="K87">
        <v>1442</v>
      </c>
      <c r="L87">
        <v>1435.19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1498.11</v>
      </c>
      <c r="C88">
        <v>1493.28</v>
      </c>
      <c r="D88">
        <v>1488.23</v>
      </c>
      <c r="E88">
        <v>1482.99</v>
      </c>
      <c r="F88">
        <v>1477.54</v>
      </c>
      <c r="G88">
        <v>1471.88</v>
      </c>
      <c r="H88">
        <v>1466.02</v>
      </c>
      <c r="I88">
        <v>1459.95</v>
      </c>
      <c r="J88">
        <v>1453.67</v>
      </c>
      <c r="K88">
        <v>1447.19</v>
      </c>
      <c r="L88">
        <v>1440.5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1502.06</v>
      </c>
      <c r="C89">
        <v>1497.35</v>
      </c>
      <c r="D89">
        <v>1492.44</v>
      </c>
      <c r="E89">
        <v>1487.32</v>
      </c>
      <c r="F89">
        <v>1481.99</v>
      </c>
      <c r="G89">
        <v>1476.46</v>
      </c>
      <c r="H89">
        <v>1470.72</v>
      </c>
      <c r="I89">
        <v>1464.78</v>
      </c>
      <c r="J89">
        <v>1458.63</v>
      </c>
      <c r="K89">
        <v>1452.28</v>
      </c>
      <c r="L89">
        <v>1445.72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1505.9</v>
      </c>
      <c r="C90">
        <v>1501.32</v>
      </c>
      <c r="D90">
        <v>1496.53</v>
      </c>
      <c r="E90">
        <v>1491.54</v>
      </c>
      <c r="F90">
        <v>1486.34</v>
      </c>
      <c r="G90">
        <v>1480.93</v>
      </c>
      <c r="H90">
        <v>1475.32</v>
      </c>
      <c r="I90">
        <v>1469.51</v>
      </c>
      <c r="J90">
        <v>1463.48</v>
      </c>
      <c r="K90">
        <v>1457.26</v>
      </c>
      <c r="L90">
        <v>1450.82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1509.63</v>
      </c>
      <c r="C91">
        <v>1505.17</v>
      </c>
      <c r="D91">
        <v>1500.51</v>
      </c>
      <c r="E91">
        <v>1495.65</v>
      </c>
      <c r="F91">
        <v>1490.58</v>
      </c>
      <c r="G91">
        <v>1485.3</v>
      </c>
      <c r="H91">
        <v>1479.82</v>
      </c>
      <c r="I91">
        <v>1474.13</v>
      </c>
      <c r="J91">
        <v>1468.23</v>
      </c>
      <c r="K91">
        <v>1462.13</v>
      </c>
      <c r="L91">
        <v>1455.82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1513.25</v>
      </c>
      <c r="C92">
        <v>1508.92</v>
      </c>
      <c r="D92">
        <v>1504.39</v>
      </c>
      <c r="E92">
        <v>1499.66</v>
      </c>
      <c r="F92">
        <v>1494.71</v>
      </c>
      <c r="G92">
        <v>1489.56</v>
      </c>
      <c r="H92">
        <v>1484.2</v>
      </c>
      <c r="I92">
        <v>1478.64</v>
      </c>
      <c r="J92">
        <v>1472.87</v>
      </c>
      <c r="K92">
        <v>1466.89</v>
      </c>
      <c r="L92">
        <v>1460.71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1516.76</v>
      </c>
      <c r="C93">
        <v>1512.56</v>
      </c>
      <c r="D93">
        <v>1508.16</v>
      </c>
      <c r="E93">
        <v>1503.55</v>
      </c>
      <c r="F93">
        <v>1498.74</v>
      </c>
      <c r="G93">
        <v>1493.71</v>
      </c>
      <c r="H93">
        <v>1488.48</v>
      </c>
      <c r="I93">
        <v>1483.05</v>
      </c>
      <c r="J93">
        <v>1477.4</v>
      </c>
      <c r="K93">
        <v>1471.55</v>
      </c>
      <c r="L93">
        <v>1465.5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1520.17</v>
      </c>
      <c r="C94">
        <v>1516.1</v>
      </c>
      <c r="D94">
        <v>1511.82</v>
      </c>
      <c r="E94">
        <v>1507.34</v>
      </c>
      <c r="F94">
        <v>1502.65</v>
      </c>
      <c r="G94">
        <v>1497.76</v>
      </c>
      <c r="H94">
        <v>1492.65</v>
      </c>
      <c r="I94">
        <v>1487.34</v>
      </c>
      <c r="J94">
        <v>1481.83</v>
      </c>
      <c r="K94">
        <v>1476.11</v>
      </c>
      <c r="L94">
        <v>1470.17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1523.46</v>
      </c>
      <c r="C95">
        <v>1519.52</v>
      </c>
      <c r="D95">
        <v>1515.38</v>
      </c>
      <c r="E95">
        <v>1511.03</v>
      </c>
      <c r="F95">
        <v>1506.46</v>
      </c>
      <c r="G95">
        <v>1501.69</v>
      </c>
      <c r="H95">
        <v>1496.72</v>
      </c>
      <c r="I95">
        <v>1491.54</v>
      </c>
      <c r="J95">
        <v>1486.15</v>
      </c>
      <c r="K95">
        <v>1480.55</v>
      </c>
      <c r="L95">
        <v>1474.75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1526.65</v>
      </c>
      <c r="C96">
        <v>1522.84</v>
      </c>
      <c r="D96">
        <v>1518.82</v>
      </c>
      <c r="E96">
        <v>1514.6</v>
      </c>
      <c r="F96">
        <v>1510.17</v>
      </c>
      <c r="G96">
        <v>1505.52</v>
      </c>
      <c r="H96">
        <v>1500.68</v>
      </c>
      <c r="I96">
        <v>1495.62</v>
      </c>
      <c r="J96">
        <v>1490.36</v>
      </c>
      <c r="K96">
        <v>1484.89</v>
      </c>
      <c r="L96">
        <v>1479.21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1529.73</v>
      </c>
      <c r="C97">
        <v>1526.05</v>
      </c>
      <c r="D97">
        <v>1522.16</v>
      </c>
      <c r="E97">
        <v>1518.07</v>
      </c>
      <c r="F97">
        <v>1513.76</v>
      </c>
      <c r="G97">
        <v>1509.25</v>
      </c>
      <c r="H97">
        <v>1504.53</v>
      </c>
      <c r="I97">
        <v>1499.6</v>
      </c>
      <c r="J97">
        <v>1494.46</v>
      </c>
      <c r="K97">
        <v>1489.12</v>
      </c>
      <c r="L97">
        <v>1483.57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1532.71</v>
      </c>
      <c r="C98">
        <v>1529.15</v>
      </c>
      <c r="D98">
        <v>1525.39</v>
      </c>
      <c r="E98">
        <v>1521.43</v>
      </c>
      <c r="F98">
        <v>1517.25</v>
      </c>
      <c r="G98">
        <v>1512.86</v>
      </c>
      <c r="H98">
        <v>1508.27</v>
      </c>
      <c r="I98">
        <v>1503.47</v>
      </c>
      <c r="J98">
        <v>1498.46</v>
      </c>
      <c r="K98">
        <v>1493.25</v>
      </c>
      <c r="L98">
        <v>1487.83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1535.57</v>
      </c>
      <c r="C99">
        <v>1532.15</v>
      </c>
      <c r="D99">
        <v>1528.52</v>
      </c>
      <c r="E99">
        <v>1524.68</v>
      </c>
      <c r="F99">
        <v>1520.63</v>
      </c>
      <c r="G99">
        <v>1516.37</v>
      </c>
      <c r="H99">
        <v>1511.91</v>
      </c>
      <c r="I99">
        <v>1507.24</v>
      </c>
      <c r="J99">
        <v>1502.36</v>
      </c>
      <c r="K99">
        <v>1497.27</v>
      </c>
      <c r="L99">
        <v>1491.97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1538.33</v>
      </c>
      <c r="C100">
        <v>1535.04</v>
      </c>
      <c r="D100">
        <v>1531.53</v>
      </c>
      <c r="E100">
        <v>1527.82</v>
      </c>
      <c r="F100">
        <v>1523.9</v>
      </c>
      <c r="G100">
        <v>1519.77</v>
      </c>
      <c r="H100">
        <v>1515.44</v>
      </c>
      <c r="I100">
        <v>1510.89</v>
      </c>
      <c r="J100">
        <v>1506.14</v>
      </c>
      <c r="K100">
        <v>1501.18</v>
      </c>
      <c r="L100">
        <v>1496.01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1541.04</v>
      </c>
      <c r="C101">
        <v>1537.88</v>
      </c>
      <c r="D101">
        <v>1534.51</v>
      </c>
      <c r="E101">
        <v>1530.93</v>
      </c>
      <c r="F101">
        <v>1527.14</v>
      </c>
      <c r="G101">
        <v>1523.15</v>
      </c>
      <c r="H101">
        <v>1518.95</v>
      </c>
      <c r="I101">
        <v>1514.53</v>
      </c>
      <c r="J101">
        <v>1509.91</v>
      </c>
      <c r="K101">
        <v>1505.09</v>
      </c>
      <c r="L101">
        <v>1500.05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1543.72</v>
      </c>
      <c r="C102">
        <v>1540.7</v>
      </c>
      <c r="D102">
        <v>1537.46</v>
      </c>
      <c r="E102">
        <v>1534.03</v>
      </c>
      <c r="F102">
        <v>1530.38</v>
      </c>
      <c r="G102">
        <v>1526.52</v>
      </c>
      <c r="H102">
        <v>1522.46</v>
      </c>
      <c r="I102">
        <v>1518.19</v>
      </c>
      <c r="J102">
        <v>1513.71</v>
      </c>
      <c r="K102">
        <v>1509.02</v>
      </c>
      <c r="L102">
        <v>1504.12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1546.28</v>
      </c>
      <c r="C103">
        <v>1543.4</v>
      </c>
      <c r="D103">
        <v>1540.3</v>
      </c>
      <c r="E103">
        <v>1537</v>
      </c>
      <c r="F103">
        <v>1533.5</v>
      </c>
      <c r="G103">
        <v>1529.78</v>
      </c>
      <c r="H103">
        <v>1525.85</v>
      </c>
      <c r="I103">
        <v>1521.72</v>
      </c>
      <c r="J103">
        <v>1517.38</v>
      </c>
      <c r="K103">
        <v>1512.83</v>
      </c>
      <c r="L103">
        <v>1508.07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1548.72</v>
      </c>
      <c r="C104">
        <v>1545.97</v>
      </c>
      <c r="D104">
        <v>1543.02</v>
      </c>
      <c r="E104">
        <v>1539.86</v>
      </c>
      <c r="F104">
        <v>1536.49</v>
      </c>
      <c r="G104">
        <v>1532.91</v>
      </c>
      <c r="H104">
        <v>1529.13</v>
      </c>
      <c r="I104">
        <v>1525.13</v>
      </c>
      <c r="J104">
        <v>1520.93</v>
      </c>
      <c r="K104">
        <v>1516.52</v>
      </c>
      <c r="L104">
        <v>1511.9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1551.04</v>
      </c>
      <c r="C105">
        <v>1548.43</v>
      </c>
      <c r="D105">
        <v>1545.61</v>
      </c>
      <c r="E105">
        <v>1542.59</v>
      </c>
      <c r="F105">
        <v>1539.36</v>
      </c>
      <c r="G105">
        <v>1535.92</v>
      </c>
      <c r="H105">
        <v>1532.28</v>
      </c>
      <c r="I105">
        <v>1528.42</v>
      </c>
      <c r="J105">
        <v>1524.36</v>
      </c>
      <c r="K105">
        <v>1520.09</v>
      </c>
      <c r="L105">
        <v>1515.61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1553.24</v>
      </c>
      <c r="C106">
        <v>1550.76</v>
      </c>
      <c r="D106">
        <v>1548.09</v>
      </c>
      <c r="E106">
        <v>1545.21</v>
      </c>
      <c r="F106">
        <v>1542.12</v>
      </c>
      <c r="G106">
        <v>1538.82</v>
      </c>
      <c r="H106">
        <v>1535.31</v>
      </c>
      <c r="I106">
        <v>1531.59</v>
      </c>
      <c r="J106">
        <v>1527.67</v>
      </c>
      <c r="K106">
        <v>1523.54</v>
      </c>
      <c r="L106">
        <v>1519.19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1555.33</v>
      </c>
      <c r="C107">
        <v>1552.98</v>
      </c>
      <c r="D107">
        <v>1550.44</v>
      </c>
      <c r="E107">
        <v>1547.7</v>
      </c>
      <c r="F107">
        <v>1544.75</v>
      </c>
      <c r="G107">
        <v>1541.59</v>
      </c>
      <c r="H107">
        <v>1538.22</v>
      </c>
      <c r="I107">
        <v>1534.64</v>
      </c>
      <c r="J107">
        <v>1530.86</v>
      </c>
      <c r="K107">
        <v>1526.86</v>
      </c>
      <c r="L107">
        <v>1522.66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1557.3</v>
      </c>
      <c r="C108">
        <v>1555.08</v>
      </c>
      <c r="D108">
        <v>1552.68</v>
      </c>
      <c r="E108">
        <v>1550.07</v>
      </c>
      <c r="F108">
        <v>1547.26</v>
      </c>
      <c r="G108">
        <v>1544.24</v>
      </c>
      <c r="H108">
        <v>1541.01</v>
      </c>
      <c r="I108">
        <v>1537.57</v>
      </c>
      <c r="J108">
        <v>1533.92</v>
      </c>
      <c r="K108">
        <v>1530.07</v>
      </c>
      <c r="L108">
        <v>1526.01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1559.15</v>
      </c>
      <c r="C109">
        <v>1557.07</v>
      </c>
      <c r="D109">
        <v>1554.79</v>
      </c>
      <c r="E109">
        <v>1552.32</v>
      </c>
      <c r="F109">
        <v>1549.65</v>
      </c>
      <c r="G109">
        <v>1546.77</v>
      </c>
      <c r="H109">
        <v>1543.68</v>
      </c>
      <c r="I109">
        <v>1540.38</v>
      </c>
      <c r="J109">
        <v>1536.87</v>
      </c>
      <c r="K109">
        <v>1533.15</v>
      </c>
      <c r="L109">
        <v>1529.23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1560.89</v>
      </c>
      <c r="C110">
        <v>1558.93</v>
      </c>
      <c r="D110">
        <v>1556.79</v>
      </c>
      <c r="E110">
        <v>1554.45</v>
      </c>
      <c r="F110">
        <v>1551.92</v>
      </c>
      <c r="G110">
        <v>1549.18</v>
      </c>
      <c r="H110">
        <v>1546.22</v>
      </c>
      <c r="I110">
        <v>1543.06</v>
      </c>
      <c r="J110">
        <v>1539.7</v>
      </c>
      <c r="K110">
        <v>1536.12</v>
      </c>
      <c r="L110">
        <v>1532.33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1562.51</v>
      </c>
      <c r="C111">
        <v>1560.68</v>
      </c>
      <c r="D111">
        <v>1558.67</v>
      </c>
      <c r="E111">
        <v>1556.47</v>
      </c>
      <c r="F111">
        <v>1554.07</v>
      </c>
      <c r="G111">
        <v>1551.46</v>
      </c>
      <c r="H111">
        <v>1548.65</v>
      </c>
      <c r="I111">
        <v>1545.63</v>
      </c>
      <c r="J111">
        <v>1542.4</v>
      </c>
      <c r="K111">
        <v>1538.96</v>
      </c>
      <c r="L111">
        <v>1535.32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1564.01</v>
      </c>
      <c r="C112">
        <v>1562.32</v>
      </c>
      <c r="D112">
        <v>1560.43</v>
      </c>
      <c r="E112">
        <v>1558.36</v>
      </c>
      <c r="F112">
        <v>1556.1</v>
      </c>
      <c r="G112">
        <v>1553.63</v>
      </c>
      <c r="H112">
        <v>1550.96</v>
      </c>
      <c r="I112">
        <v>1548.07</v>
      </c>
      <c r="J112">
        <v>1544.98</v>
      </c>
      <c r="K112">
        <v>1541.69</v>
      </c>
      <c r="L112">
        <v>1538.18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1565.4</v>
      </c>
      <c r="C113">
        <v>1563.84</v>
      </c>
      <c r="D113">
        <v>1562.08</v>
      </c>
      <c r="E113">
        <v>1560.14</v>
      </c>
      <c r="F113">
        <v>1558.01</v>
      </c>
      <c r="G113">
        <v>1555.68</v>
      </c>
      <c r="H113">
        <v>1553.14</v>
      </c>
      <c r="I113">
        <v>1550.4</v>
      </c>
      <c r="J113">
        <v>1547.45</v>
      </c>
      <c r="K113">
        <v>1544.29</v>
      </c>
      <c r="L113">
        <v>1540.92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1566.67</v>
      </c>
      <c r="C114">
        <v>1565.24</v>
      </c>
      <c r="D114">
        <v>1563.61</v>
      </c>
      <c r="E114">
        <v>1561.81</v>
      </c>
      <c r="F114">
        <v>1559.8</v>
      </c>
      <c r="G114">
        <v>1557.6</v>
      </c>
      <c r="H114">
        <v>1555.21</v>
      </c>
      <c r="I114">
        <v>1552.6</v>
      </c>
      <c r="J114">
        <v>1549.79</v>
      </c>
      <c r="K114">
        <v>1546.77</v>
      </c>
      <c r="L114">
        <v>1543.54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1567.82</v>
      </c>
      <c r="C115">
        <v>1566.52</v>
      </c>
      <c r="D115">
        <v>1565.03</v>
      </c>
      <c r="E115">
        <v>1563.35</v>
      </c>
      <c r="F115">
        <v>1561.48</v>
      </c>
      <c r="G115">
        <v>1559.41</v>
      </c>
      <c r="H115">
        <v>1557.15</v>
      </c>
      <c r="I115">
        <v>1554.69</v>
      </c>
      <c r="J115">
        <v>1552.01</v>
      </c>
      <c r="K115">
        <v>1549.13</v>
      </c>
      <c r="L115">
        <v>1546.04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1568.86</v>
      </c>
      <c r="C116">
        <v>1567.69</v>
      </c>
      <c r="D116">
        <v>1566.33</v>
      </c>
      <c r="E116">
        <v>1564.78</v>
      </c>
      <c r="F116">
        <v>1563.04</v>
      </c>
      <c r="G116">
        <v>1561.1</v>
      </c>
      <c r="H116">
        <v>1558.98</v>
      </c>
      <c r="I116">
        <v>1556.65</v>
      </c>
      <c r="J116">
        <v>1554.11</v>
      </c>
      <c r="K116">
        <v>1551.37</v>
      </c>
      <c r="L116">
        <v>1548.42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1569.78</v>
      </c>
      <c r="C117">
        <v>1568.74</v>
      </c>
      <c r="D117">
        <v>1567.51</v>
      </c>
      <c r="E117">
        <v>1566.09</v>
      </c>
      <c r="F117">
        <v>1564.48</v>
      </c>
      <c r="G117">
        <v>1562.68</v>
      </c>
      <c r="H117">
        <v>1560.68</v>
      </c>
      <c r="I117">
        <v>1558.49</v>
      </c>
      <c r="J117">
        <v>1556.09</v>
      </c>
      <c r="K117">
        <v>1553.49</v>
      </c>
      <c r="L117">
        <v>1550.68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1570.58</v>
      </c>
      <c r="C118">
        <v>1569.68</v>
      </c>
      <c r="D118">
        <v>1568.58</v>
      </c>
      <c r="E118">
        <v>1567.29</v>
      </c>
      <c r="F118">
        <v>1565.81</v>
      </c>
      <c r="G118">
        <v>1564.13</v>
      </c>
      <c r="H118">
        <v>1562.27</v>
      </c>
      <c r="I118">
        <v>1560.21</v>
      </c>
      <c r="J118">
        <v>1557.95</v>
      </c>
      <c r="K118">
        <v>1555.49</v>
      </c>
      <c r="L118">
        <v>1552.82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15">
      <c r="A119">
        <v>570</v>
      </c>
      <c r="B119">
        <v>1571.27</v>
      </c>
      <c r="C119">
        <v>1570.49</v>
      </c>
      <c r="D119">
        <v>1569.52</v>
      </c>
      <c r="E119">
        <v>1568.37</v>
      </c>
      <c r="F119">
        <v>1567.02</v>
      </c>
      <c r="G119">
        <v>1565.47</v>
      </c>
      <c r="H119">
        <v>1563.74</v>
      </c>
      <c r="I119">
        <v>1561.81</v>
      </c>
      <c r="J119">
        <v>1559.69</v>
      </c>
      <c r="K119">
        <v>1557.37</v>
      </c>
      <c r="L119">
        <v>1554.83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15">
      <c r="A120">
        <v>575</v>
      </c>
      <c r="B120">
        <v>1571.84</v>
      </c>
      <c r="C120">
        <v>1571.19</v>
      </c>
      <c r="D120">
        <v>1570.36</v>
      </c>
      <c r="E120">
        <v>1569.33</v>
      </c>
      <c r="F120">
        <v>1568.11</v>
      </c>
      <c r="G120">
        <v>1566.7</v>
      </c>
      <c r="H120">
        <v>1565.09</v>
      </c>
      <c r="I120">
        <v>1563.3</v>
      </c>
      <c r="J120">
        <v>1561.31</v>
      </c>
      <c r="K120">
        <v>1559.12</v>
      </c>
      <c r="L120">
        <v>1556.73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15">
      <c r="A121">
        <v>580</v>
      </c>
      <c r="B121">
        <v>1572.29</v>
      </c>
      <c r="C121">
        <v>1571.78</v>
      </c>
      <c r="D121">
        <v>1571.07</v>
      </c>
      <c r="E121">
        <v>1570.18</v>
      </c>
      <c r="F121">
        <v>1569.09</v>
      </c>
      <c r="G121">
        <v>1567.81</v>
      </c>
      <c r="H121">
        <v>1566.33</v>
      </c>
      <c r="I121">
        <v>1564.67</v>
      </c>
      <c r="J121">
        <v>1562.81</v>
      </c>
      <c r="K121">
        <v>1560.76</v>
      </c>
      <c r="L121">
        <v>1558.51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15">
      <c r="A122">
        <v>585</v>
      </c>
      <c r="B122">
        <v>1572.63</v>
      </c>
      <c r="C122">
        <v>1572.25</v>
      </c>
      <c r="D122">
        <v>1571.67</v>
      </c>
      <c r="E122">
        <v>1570.91</v>
      </c>
      <c r="F122">
        <v>1569.95</v>
      </c>
      <c r="G122">
        <v>1568.8</v>
      </c>
      <c r="H122">
        <v>1567.46</v>
      </c>
      <c r="I122">
        <v>1565.92</v>
      </c>
      <c r="J122">
        <v>1564.2</v>
      </c>
      <c r="K122">
        <v>1562.28</v>
      </c>
      <c r="L122">
        <v>1560.16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15">
      <c r="A123">
        <v>590</v>
      </c>
      <c r="B123">
        <v>1572.87</v>
      </c>
      <c r="C123">
        <v>1572.6</v>
      </c>
      <c r="D123">
        <v>1572.15</v>
      </c>
      <c r="E123">
        <v>1571.52</v>
      </c>
      <c r="F123">
        <v>1570.69</v>
      </c>
      <c r="G123">
        <v>1569.67</v>
      </c>
      <c r="H123">
        <v>1568.46</v>
      </c>
      <c r="I123">
        <v>1567.06</v>
      </c>
      <c r="J123">
        <v>1565.46</v>
      </c>
      <c r="K123">
        <v>1563.68</v>
      </c>
      <c r="L123">
        <v>1561.69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15">
      <c r="A124">
        <v>595</v>
      </c>
      <c r="B124">
        <v>1573.02</v>
      </c>
      <c r="C124">
        <v>1572.83</v>
      </c>
      <c r="D124">
        <v>1572.52</v>
      </c>
      <c r="E124">
        <v>1572.01</v>
      </c>
      <c r="F124">
        <v>1571.32</v>
      </c>
      <c r="G124">
        <v>1570.43</v>
      </c>
      <c r="H124">
        <v>1569.35</v>
      </c>
      <c r="I124">
        <v>1568.08</v>
      </c>
      <c r="J124">
        <v>1566.61</v>
      </c>
      <c r="K124">
        <v>1564.96</v>
      </c>
      <c r="L124">
        <v>1563.11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15">
      <c r="A125">
        <v>600</v>
      </c>
      <c r="B125">
        <v>1573.12</v>
      </c>
      <c r="C125">
        <v>1572.97</v>
      </c>
      <c r="D125">
        <v>1572.77</v>
      </c>
      <c r="E125">
        <v>1572.39</v>
      </c>
      <c r="F125">
        <v>1571.83</v>
      </c>
      <c r="G125">
        <v>1571.07</v>
      </c>
      <c r="H125">
        <v>1570.12</v>
      </c>
      <c r="I125">
        <v>1568.98</v>
      </c>
      <c r="J125">
        <v>1567.65</v>
      </c>
      <c r="K125">
        <v>1566.12</v>
      </c>
      <c r="L125">
        <v>1564.41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15">
      <c r="A126">
        <v>605</v>
      </c>
      <c r="B126">
        <v>1573.2</v>
      </c>
      <c r="C126">
        <v>1573.05</v>
      </c>
      <c r="D126">
        <v>1572.9</v>
      </c>
      <c r="E126">
        <v>1572.66</v>
      </c>
      <c r="F126">
        <v>1572.22</v>
      </c>
      <c r="G126">
        <v>1571.6</v>
      </c>
      <c r="H126">
        <v>1570.78</v>
      </c>
      <c r="I126">
        <v>1569.77</v>
      </c>
      <c r="J126">
        <v>1568.57</v>
      </c>
      <c r="K126">
        <v>1567.17</v>
      </c>
      <c r="L126">
        <v>1565.59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15">
      <c r="A127">
        <v>610</v>
      </c>
      <c r="B127">
        <v>1573.28</v>
      </c>
      <c r="C127">
        <v>1573.13</v>
      </c>
      <c r="D127">
        <v>1572.98</v>
      </c>
      <c r="E127">
        <v>1572.81</v>
      </c>
      <c r="F127">
        <v>1572.5</v>
      </c>
      <c r="G127">
        <v>1571.5</v>
      </c>
      <c r="H127">
        <v>1570.97</v>
      </c>
      <c r="I127">
        <v>1570.32</v>
      </c>
      <c r="J127">
        <v>1569.34</v>
      </c>
      <c r="K127">
        <v>1568.09</v>
      </c>
      <c r="L127">
        <v>1566.64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15">
      <c r="A128">
        <v>615</v>
      </c>
      <c r="B128">
        <v>1573.36</v>
      </c>
      <c r="C128">
        <v>1573.21</v>
      </c>
      <c r="D128">
        <v>1573.06</v>
      </c>
      <c r="E128">
        <v>1572.91</v>
      </c>
      <c r="F128">
        <v>1572.69</v>
      </c>
      <c r="G128">
        <v>1572.29</v>
      </c>
      <c r="H128">
        <v>1571.75</v>
      </c>
      <c r="I128">
        <v>1570.74</v>
      </c>
      <c r="J128">
        <v>1569.53</v>
      </c>
      <c r="K128">
        <v>1568.44</v>
      </c>
      <c r="L128">
        <v>1567.25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15">
      <c r="A129">
        <v>620</v>
      </c>
      <c r="B129">
        <v>1573.43</v>
      </c>
      <c r="C129">
        <v>1573.28</v>
      </c>
      <c r="D129">
        <v>1573.13</v>
      </c>
      <c r="E129">
        <v>1572.98</v>
      </c>
      <c r="F129">
        <v>1572.82</v>
      </c>
      <c r="G129">
        <v>1572.51</v>
      </c>
      <c r="H129">
        <v>1572.01</v>
      </c>
      <c r="I129">
        <v>1571.46</v>
      </c>
      <c r="J129">
        <v>1570.64</v>
      </c>
      <c r="K129">
        <v>1569.51</v>
      </c>
      <c r="L129">
        <v>1568.07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15">
      <c r="A130">
        <v>625</v>
      </c>
      <c r="B130">
        <v>1573.51</v>
      </c>
      <c r="C130">
        <v>1573.36</v>
      </c>
      <c r="D130">
        <v>1573.21</v>
      </c>
      <c r="E130">
        <v>1573.06</v>
      </c>
      <c r="F130">
        <v>1572.91</v>
      </c>
      <c r="G130">
        <v>1572.7</v>
      </c>
      <c r="H130">
        <v>1572.36</v>
      </c>
      <c r="I130">
        <v>1571.74</v>
      </c>
      <c r="J130">
        <v>1571.14</v>
      </c>
      <c r="K130">
        <v>1570.26</v>
      </c>
      <c r="L130">
        <v>1569.18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15">
      <c r="A131">
        <v>630</v>
      </c>
      <c r="B131">
        <v>1573.59</v>
      </c>
      <c r="C131">
        <v>1573.44</v>
      </c>
      <c r="D131">
        <v>1573.28</v>
      </c>
      <c r="E131">
        <v>1573.13</v>
      </c>
      <c r="F131">
        <v>1572.98</v>
      </c>
      <c r="G131">
        <v>1572.82</v>
      </c>
      <c r="H131">
        <v>1572.56</v>
      </c>
      <c r="I131">
        <v>1572.12</v>
      </c>
      <c r="J131">
        <v>1571.44</v>
      </c>
      <c r="K131">
        <v>1570.75</v>
      </c>
      <c r="L131">
        <v>1569.84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15">
      <c r="A132">
        <v>635</v>
      </c>
      <c r="B132">
        <v>1573.66</v>
      </c>
      <c r="C132">
        <v>1573.51</v>
      </c>
      <c r="D132">
        <v>1573.36</v>
      </c>
      <c r="E132">
        <v>1573.21</v>
      </c>
      <c r="F132">
        <v>1573.06</v>
      </c>
      <c r="G132">
        <v>1572.91</v>
      </c>
      <c r="H132">
        <v>1572.71</v>
      </c>
      <c r="I132">
        <v>1572.38</v>
      </c>
      <c r="J132">
        <v>1571.9</v>
      </c>
      <c r="K132">
        <v>1571.14</v>
      </c>
      <c r="L132">
        <v>1570.35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15">
      <c r="A133">
        <v>640</v>
      </c>
      <c r="B133">
        <v>1573.74</v>
      </c>
      <c r="C133">
        <v>1573.59</v>
      </c>
      <c r="D133">
        <v>1573.44</v>
      </c>
      <c r="E133">
        <v>1573.29</v>
      </c>
      <c r="F133">
        <v>1573.14</v>
      </c>
      <c r="G133">
        <v>1572.99</v>
      </c>
      <c r="H133">
        <v>1572.82</v>
      </c>
      <c r="I133">
        <v>1572.57</v>
      </c>
      <c r="J133">
        <v>1572.18</v>
      </c>
      <c r="K133">
        <v>1571.6</v>
      </c>
      <c r="L133">
        <v>1570.8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15">
      <c r="A134">
        <v>645</v>
      </c>
      <c r="B134">
        <v>1573.81</v>
      </c>
      <c r="C134">
        <v>1573.66</v>
      </c>
      <c r="D134">
        <v>1573.51</v>
      </c>
      <c r="E134">
        <v>1573.36</v>
      </c>
      <c r="F134">
        <v>1573.21</v>
      </c>
      <c r="G134">
        <v>1573.06</v>
      </c>
      <c r="H134">
        <v>1572.91</v>
      </c>
      <c r="I134">
        <v>1572.71</v>
      </c>
      <c r="J134">
        <v>1572.4</v>
      </c>
      <c r="K134">
        <v>1571.94</v>
      </c>
      <c r="L134">
        <v>1571.31</v>
      </c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15">
      <c r="A135">
        <v>650</v>
      </c>
      <c r="B135">
        <v>1573.89</v>
      </c>
      <c r="C135">
        <v>1573.74</v>
      </c>
      <c r="D135">
        <v>1573.59</v>
      </c>
      <c r="E135">
        <v>1573.44</v>
      </c>
      <c r="F135">
        <v>1573.29</v>
      </c>
      <c r="G135">
        <v>1573.14</v>
      </c>
      <c r="H135">
        <v>1572.99</v>
      </c>
      <c r="I135">
        <v>1572.82</v>
      </c>
      <c r="J135">
        <v>1572.57</v>
      </c>
      <c r="K135">
        <v>1572.2</v>
      </c>
      <c r="L135">
        <v>1571.67</v>
      </c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15">
      <c r="A136">
        <v>655</v>
      </c>
      <c r="B136">
        <v>1573.97</v>
      </c>
      <c r="C136">
        <v>1573.82</v>
      </c>
      <c r="D136">
        <v>1573.67</v>
      </c>
      <c r="E136">
        <v>1573.52</v>
      </c>
      <c r="F136">
        <v>1573.36</v>
      </c>
      <c r="G136">
        <v>1573.21</v>
      </c>
      <c r="H136">
        <v>1573.06</v>
      </c>
      <c r="I136">
        <v>1572.91</v>
      </c>
      <c r="J136">
        <v>1572.71</v>
      </c>
      <c r="K136">
        <v>1572.4</v>
      </c>
      <c r="L136">
        <v>1571.96</v>
      </c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15">
      <c r="A137">
        <v>660</v>
      </c>
      <c r="B137">
        <v>1574.04</v>
      </c>
      <c r="C137">
        <v>1573.89</v>
      </c>
      <c r="D137">
        <v>1573.74</v>
      </c>
      <c r="E137">
        <v>1573.59</v>
      </c>
      <c r="F137">
        <v>1573.44</v>
      </c>
      <c r="G137">
        <v>1573.29</v>
      </c>
      <c r="H137">
        <v>1573.14</v>
      </c>
      <c r="I137">
        <v>1572.99</v>
      </c>
      <c r="J137">
        <v>1572.82</v>
      </c>
      <c r="K137">
        <v>1572.58</v>
      </c>
      <c r="L137">
        <v>1572.21</v>
      </c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15">
      <c r="A138">
        <v>665</v>
      </c>
      <c r="B138">
        <v>1574.12</v>
      </c>
      <c r="C138">
        <v>1573.97</v>
      </c>
      <c r="D138">
        <v>1573.82</v>
      </c>
      <c r="E138">
        <v>1573.67</v>
      </c>
      <c r="F138">
        <v>1573.52</v>
      </c>
      <c r="G138">
        <v>1573.37</v>
      </c>
      <c r="H138">
        <v>1573.22</v>
      </c>
      <c r="I138">
        <v>1573.06</v>
      </c>
      <c r="J138">
        <v>1572.91</v>
      </c>
      <c r="K138">
        <v>1572.71</v>
      </c>
      <c r="L138">
        <v>1572.41</v>
      </c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15">
      <c r="A139">
        <v>670</v>
      </c>
      <c r="B139">
        <v>1574.2</v>
      </c>
      <c r="C139">
        <v>1574.05</v>
      </c>
      <c r="D139">
        <v>1573.89</v>
      </c>
      <c r="E139">
        <v>1573.74</v>
      </c>
      <c r="F139">
        <v>1573.59</v>
      </c>
      <c r="G139">
        <v>1573.44</v>
      </c>
      <c r="H139">
        <v>1573.29</v>
      </c>
      <c r="I139">
        <v>1573.14</v>
      </c>
      <c r="J139">
        <v>1572.99</v>
      </c>
      <c r="K139">
        <v>1572.82</v>
      </c>
      <c r="L139">
        <v>1572.57</v>
      </c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15">
      <c r="A140">
        <v>675</v>
      </c>
      <c r="B140">
        <v>1574.27</v>
      </c>
      <c r="C140">
        <v>1574.12</v>
      </c>
      <c r="D140">
        <v>1573.97</v>
      </c>
      <c r="E140">
        <v>1573.82</v>
      </c>
      <c r="F140">
        <v>1573.67</v>
      </c>
      <c r="G140">
        <v>1573.52</v>
      </c>
      <c r="H140">
        <v>1573.37</v>
      </c>
      <c r="I140">
        <v>1573.22</v>
      </c>
      <c r="J140">
        <v>1573.07</v>
      </c>
      <c r="K140">
        <v>1572.91</v>
      </c>
      <c r="L140">
        <v>1572.71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15">
      <c r="A141">
        <v>680</v>
      </c>
      <c r="B141">
        <v>1574.35</v>
      </c>
      <c r="C141">
        <v>1574.2</v>
      </c>
      <c r="D141">
        <v>1574.05</v>
      </c>
      <c r="E141">
        <v>1573.9</v>
      </c>
      <c r="F141">
        <v>1573.75</v>
      </c>
      <c r="G141">
        <v>1573.6</v>
      </c>
      <c r="H141">
        <v>1573.44</v>
      </c>
      <c r="I141">
        <v>1573.29</v>
      </c>
      <c r="J141">
        <v>1573.14</v>
      </c>
      <c r="K141">
        <v>1572.99</v>
      </c>
      <c r="L141">
        <v>1572.82</v>
      </c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x14ac:dyDescent="0.15">
      <c r="A142">
        <v>685</v>
      </c>
      <c r="B142">
        <v>1574.42</v>
      </c>
      <c r="C142">
        <v>1574.27</v>
      </c>
      <c r="D142">
        <v>1574.12</v>
      </c>
      <c r="E142">
        <v>1573.97</v>
      </c>
      <c r="F142">
        <v>1573.82</v>
      </c>
      <c r="G142">
        <v>1573.67</v>
      </c>
      <c r="H142">
        <v>1573.52</v>
      </c>
      <c r="I142">
        <v>1573.37</v>
      </c>
      <c r="J142">
        <v>1573.22</v>
      </c>
      <c r="K142">
        <v>1573.07</v>
      </c>
      <c r="L142">
        <v>1572.91</v>
      </c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x14ac:dyDescent="0.15">
      <c r="A143">
        <v>690</v>
      </c>
      <c r="B143">
        <v>1574.5</v>
      </c>
      <c r="C143">
        <v>1574.35</v>
      </c>
      <c r="D143">
        <v>1574.2</v>
      </c>
      <c r="E143">
        <v>1574.05</v>
      </c>
      <c r="F143">
        <v>1573.9</v>
      </c>
      <c r="G143">
        <v>1573.75</v>
      </c>
      <c r="H143">
        <v>1573.6</v>
      </c>
      <c r="I143">
        <v>1573.45</v>
      </c>
      <c r="J143">
        <v>1573.3</v>
      </c>
      <c r="K143">
        <v>1573.14</v>
      </c>
      <c r="L143">
        <v>1572.99</v>
      </c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x14ac:dyDescent="0.15">
      <c r="A144">
        <v>695</v>
      </c>
      <c r="B144">
        <v>1574.58</v>
      </c>
      <c r="C144">
        <v>1574.43</v>
      </c>
      <c r="D144">
        <v>1574.28</v>
      </c>
      <c r="E144">
        <v>1574.13</v>
      </c>
      <c r="F144">
        <v>1573.97</v>
      </c>
      <c r="G144">
        <v>1573.82</v>
      </c>
      <c r="H144">
        <v>1573.67</v>
      </c>
      <c r="I144">
        <v>1573.52</v>
      </c>
      <c r="J144">
        <v>1573.37</v>
      </c>
      <c r="K144">
        <v>1573.22</v>
      </c>
      <c r="L144">
        <v>1573.07</v>
      </c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x14ac:dyDescent="0.15">
      <c r="A145">
        <v>700</v>
      </c>
      <c r="B145">
        <v>1574.65</v>
      </c>
      <c r="C145">
        <v>1574.5</v>
      </c>
      <c r="D145">
        <v>1574.35</v>
      </c>
      <c r="E145">
        <v>1574.2</v>
      </c>
      <c r="F145">
        <v>1574.05</v>
      </c>
      <c r="G145">
        <v>1573.9</v>
      </c>
      <c r="H145">
        <v>1573.75</v>
      </c>
      <c r="I145">
        <v>1573.6</v>
      </c>
      <c r="J145">
        <v>1573.45</v>
      </c>
      <c r="K145">
        <v>1573.3</v>
      </c>
      <c r="L145">
        <v>1573.15</v>
      </c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x14ac:dyDescent="0.15">
      <c r="A146">
        <v>705</v>
      </c>
      <c r="B146">
        <v>1574.73</v>
      </c>
      <c r="C146">
        <v>1574.58</v>
      </c>
      <c r="D146">
        <v>1574.43</v>
      </c>
      <c r="E146">
        <v>1574.28</v>
      </c>
      <c r="F146">
        <v>1574.13</v>
      </c>
      <c r="G146">
        <v>1573.98</v>
      </c>
      <c r="H146">
        <v>1573.83</v>
      </c>
      <c r="I146">
        <v>1573.68</v>
      </c>
      <c r="J146">
        <v>1573.52</v>
      </c>
      <c r="K146">
        <v>1573.37</v>
      </c>
      <c r="L146">
        <v>1573.22</v>
      </c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x14ac:dyDescent="0.15">
      <c r="A147">
        <v>710</v>
      </c>
      <c r="B147">
        <v>1574.81</v>
      </c>
      <c r="C147">
        <v>1574.66</v>
      </c>
      <c r="D147">
        <v>1574.51</v>
      </c>
      <c r="E147">
        <v>1574.35</v>
      </c>
      <c r="F147">
        <v>1574.2</v>
      </c>
      <c r="G147">
        <v>1574.05</v>
      </c>
      <c r="H147">
        <v>1573.9</v>
      </c>
      <c r="I147">
        <v>1573.75</v>
      </c>
      <c r="J147">
        <v>1573.6</v>
      </c>
      <c r="K147">
        <v>1573.45</v>
      </c>
      <c r="L147">
        <v>1573.3</v>
      </c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x14ac:dyDescent="0.15">
      <c r="A148">
        <v>715</v>
      </c>
      <c r="B148">
        <v>1574.88</v>
      </c>
      <c r="C148">
        <v>1574.73</v>
      </c>
      <c r="D148">
        <v>1574.58</v>
      </c>
      <c r="E148">
        <v>1574.43</v>
      </c>
      <c r="F148">
        <v>1574.28</v>
      </c>
      <c r="G148">
        <v>1574.13</v>
      </c>
      <c r="H148">
        <v>1573.98</v>
      </c>
      <c r="I148">
        <v>1573.83</v>
      </c>
      <c r="J148">
        <v>1573.68</v>
      </c>
      <c r="K148">
        <v>1573.53</v>
      </c>
      <c r="L148">
        <v>1573.38</v>
      </c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x14ac:dyDescent="0.15">
      <c r="A149">
        <v>720</v>
      </c>
      <c r="B149">
        <v>1574.96</v>
      </c>
      <c r="C149">
        <v>1574.81</v>
      </c>
      <c r="D149">
        <v>1574.66</v>
      </c>
      <c r="E149">
        <v>1574.51</v>
      </c>
      <c r="F149">
        <v>1574.36</v>
      </c>
      <c r="G149">
        <v>1574.21</v>
      </c>
      <c r="H149">
        <v>1574.06</v>
      </c>
      <c r="I149">
        <v>1573.9</v>
      </c>
      <c r="J149">
        <v>1573.75</v>
      </c>
      <c r="K149">
        <v>1573.6</v>
      </c>
      <c r="L149">
        <v>1573.45</v>
      </c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x14ac:dyDescent="0.15">
      <c r="A150">
        <v>725</v>
      </c>
      <c r="B150">
        <v>1575.04</v>
      </c>
      <c r="C150">
        <v>1574.88</v>
      </c>
      <c r="D150">
        <v>1574.73</v>
      </c>
      <c r="E150">
        <v>1574.58</v>
      </c>
      <c r="F150">
        <v>1574.43</v>
      </c>
      <c r="G150">
        <v>1574.28</v>
      </c>
      <c r="H150">
        <v>1574.13</v>
      </c>
      <c r="I150">
        <v>1573.98</v>
      </c>
      <c r="J150">
        <v>1573.83</v>
      </c>
      <c r="K150">
        <v>1573.68</v>
      </c>
      <c r="L150">
        <v>1573.53</v>
      </c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x14ac:dyDescent="0.15">
      <c r="A151">
        <v>730</v>
      </c>
      <c r="B151">
        <v>1575.11</v>
      </c>
      <c r="C151">
        <v>1574.96</v>
      </c>
      <c r="D151">
        <v>1574.81</v>
      </c>
      <c r="E151">
        <v>1574.66</v>
      </c>
      <c r="F151">
        <v>1574.51</v>
      </c>
      <c r="G151">
        <v>1574.36</v>
      </c>
      <c r="H151">
        <v>1574.21</v>
      </c>
      <c r="I151">
        <v>1574.06</v>
      </c>
      <c r="J151">
        <v>1573.91</v>
      </c>
      <c r="K151">
        <v>1573.76</v>
      </c>
      <c r="L151">
        <v>1573.6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x14ac:dyDescent="0.15">
      <c r="A152">
        <v>735</v>
      </c>
      <c r="B152">
        <v>1575.19</v>
      </c>
      <c r="C152">
        <v>1575.04</v>
      </c>
      <c r="D152">
        <v>1574.89</v>
      </c>
      <c r="E152">
        <v>1574.74</v>
      </c>
      <c r="F152">
        <v>1574.59</v>
      </c>
      <c r="G152">
        <v>1574.43</v>
      </c>
      <c r="H152">
        <v>1574.28</v>
      </c>
      <c r="I152">
        <v>1574.13</v>
      </c>
      <c r="J152">
        <v>1573.98</v>
      </c>
      <c r="K152">
        <v>1573.83</v>
      </c>
      <c r="L152">
        <v>1573.68</v>
      </c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x14ac:dyDescent="0.15">
      <c r="A153">
        <v>740</v>
      </c>
      <c r="B153">
        <v>1575.26</v>
      </c>
      <c r="C153">
        <v>1575.11</v>
      </c>
      <c r="D153">
        <v>1574.96</v>
      </c>
      <c r="E153">
        <v>1574.81</v>
      </c>
      <c r="F153">
        <v>1574.66</v>
      </c>
      <c r="G153">
        <v>1574.51</v>
      </c>
      <c r="H153">
        <v>1574.36</v>
      </c>
      <c r="I153">
        <v>1574.21</v>
      </c>
      <c r="J153">
        <v>1574.06</v>
      </c>
      <c r="K153">
        <v>1573.91</v>
      </c>
      <c r="L153">
        <v>1573.76</v>
      </c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x14ac:dyDescent="0.15">
      <c r="A154">
        <v>745</v>
      </c>
      <c r="B154">
        <v>1575.34</v>
      </c>
      <c r="C154">
        <v>1575.19</v>
      </c>
      <c r="D154">
        <v>1575.04</v>
      </c>
      <c r="E154">
        <v>1574.89</v>
      </c>
      <c r="F154">
        <v>1574.74</v>
      </c>
      <c r="G154">
        <v>1574.59</v>
      </c>
      <c r="H154">
        <v>1574.44</v>
      </c>
      <c r="I154">
        <v>1574.29</v>
      </c>
      <c r="J154">
        <v>1574.13</v>
      </c>
      <c r="K154">
        <v>1573.98</v>
      </c>
      <c r="L154">
        <v>1573.83</v>
      </c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x14ac:dyDescent="0.15">
      <c r="A155">
        <v>750</v>
      </c>
      <c r="B155">
        <v>1575.42</v>
      </c>
      <c r="C155">
        <v>1575.27</v>
      </c>
      <c r="D155">
        <v>1575.12</v>
      </c>
      <c r="E155">
        <v>1574.96</v>
      </c>
      <c r="F155">
        <v>1574.81</v>
      </c>
      <c r="G155">
        <v>1574.66</v>
      </c>
      <c r="H155">
        <v>1574.51</v>
      </c>
      <c r="I155">
        <v>1574.36</v>
      </c>
      <c r="J155">
        <v>1574.21</v>
      </c>
      <c r="K155">
        <v>1574.06</v>
      </c>
      <c r="L155">
        <v>1573.91</v>
      </c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x14ac:dyDescent="0.15">
      <c r="A156">
        <v>755</v>
      </c>
      <c r="B156">
        <v>1575.49</v>
      </c>
      <c r="C156">
        <v>1575.34</v>
      </c>
      <c r="D156">
        <v>1575.19</v>
      </c>
      <c r="E156">
        <v>1575.04</v>
      </c>
      <c r="F156">
        <v>1574.89</v>
      </c>
      <c r="G156">
        <v>1574.74</v>
      </c>
      <c r="H156">
        <v>1574.59</v>
      </c>
      <c r="I156">
        <v>1574.44</v>
      </c>
      <c r="J156">
        <v>1574.29</v>
      </c>
      <c r="K156">
        <v>1574.14</v>
      </c>
      <c r="L156">
        <v>1573.99</v>
      </c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x14ac:dyDescent="0.15">
      <c r="A157">
        <v>760</v>
      </c>
      <c r="B157">
        <v>1575.57</v>
      </c>
      <c r="C157">
        <v>1575.42</v>
      </c>
      <c r="D157">
        <v>1575.27</v>
      </c>
      <c r="E157">
        <v>1575.12</v>
      </c>
      <c r="F157">
        <v>1574.97</v>
      </c>
      <c r="G157">
        <v>1574.82</v>
      </c>
      <c r="H157">
        <v>1574.67</v>
      </c>
      <c r="I157">
        <v>1574.51</v>
      </c>
      <c r="J157">
        <v>1574.36</v>
      </c>
      <c r="K157">
        <v>1574.21</v>
      </c>
      <c r="L157">
        <v>1574.06</v>
      </c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x14ac:dyDescent="0.15">
      <c r="A158">
        <v>765</v>
      </c>
      <c r="B158">
        <v>1575.65</v>
      </c>
      <c r="C158">
        <v>1575.49</v>
      </c>
      <c r="D158">
        <v>1575.34</v>
      </c>
      <c r="E158">
        <v>1575.19</v>
      </c>
      <c r="F158">
        <v>1575.04</v>
      </c>
      <c r="G158">
        <v>1574.89</v>
      </c>
      <c r="H158">
        <v>1574.74</v>
      </c>
      <c r="I158">
        <v>1574.59</v>
      </c>
      <c r="J158">
        <v>1574.44</v>
      </c>
      <c r="K158">
        <v>1574.29</v>
      </c>
      <c r="L158">
        <v>1574.14</v>
      </c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x14ac:dyDescent="0.15">
      <c r="A159">
        <v>770</v>
      </c>
      <c r="B159">
        <v>1575.72</v>
      </c>
      <c r="C159">
        <v>1575.57</v>
      </c>
      <c r="D159">
        <v>1575.42</v>
      </c>
      <c r="E159">
        <v>1575.27</v>
      </c>
      <c r="F159">
        <v>1575.12</v>
      </c>
      <c r="G159">
        <v>1574.97</v>
      </c>
      <c r="H159">
        <v>1574.82</v>
      </c>
      <c r="I159">
        <v>1574.67</v>
      </c>
      <c r="J159">
        <v>1574.52</v>
      </c>
      <c r="K159">
        <v>1574.37</v>
      </c>
      <c r="L159">
        <v>1574.21</v>
      </c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x14ac:dyDescent="0.15">
      <c r="A160">
        <v>775</v>
      </c>
      <c r="B160">
        <v>1575.8</v>
      </c>
      <c r="C160">
        <v>1575.65</v>
      </c>
      <c r="D160">
        <v>1575.5</v>
      </c>
      <c r="E160">
        <v>1575.35</v>
      </c>
      <c r="F160">
        <v>1575.2</v>
      </c>
      <c r="G160">
        <v>1575.04</v>
      </c>
      <c r="H160">
        <v>1574.89</v>
      </c>
      <c r="I160">
        <v>1574.74</v>
      </c>
      <c r="J160">
        <v>1574.59</v>
      </c>
      <c r="K160">
        <v>1574.44</v>
      </c>
      <c r="L160">
        <v>1574.29</v>
      </c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x14ac:dyDescent="0.15">
      <c r="A161">
        <v>780</v>
      </c>
      <c r="B161">
        <v>1575.87</v>
      </c>
      <c r="C161">
        <v>1575.72</v>
      </c>
      <c r="D161">
        <v>1575.57</v>
      </c>
      <c r="E161">
        <v>1575.42</v>
      </c>
      <c r="F161">
        <v>1575.27</v>
      </c>
      <c r="G161">
        <v>1575.12</v>
      </c>
      <c r="H161">
        <v>1574.97</v>
      </c>
      <c r="I161">
        <v>1574.82</v>
      </c>
      <c r="J161">
        <v>1574.67</v>
      </c>
      <c r="K161">
        <v>1574.52</v>
      </c>
      <c r="L161">
        <v>1574.37</v>
      </c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x14ac:dyDescent="0.15">
      <c r="A162">
        <v>785</v>
      </c>
      <c r="B162">
        <v>1575.95</v>
      </c>
      <c r="C162">
        <v>1575.8</v>
      </c>
      <c r="D162">
        <v>1575.65</v>
      </c>
      <c r="E162">
        <v>1575.5</v>
      </c>
      <c r="F162">
        <v>1575.35</v>
      </c>
      <c r="G162">
        <v>1575.2</v>
      </c>
      <c r="H162">
        <v>1575.05</v>
      </c>
      <c r="I162">
        <v>1574.9</v>
      </c>
      <c r="J162">
        <v>1574.75</v>
      </c>
      <c r="K162">
        <v>1574.59</v>
      </c>
      <c r="L162">
        <v>1574.44</v>
      </c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x14ac:dyDescent="0.15">
      <c r="A163">
        <v>790</v>
      </c>
      <c r="B163">
        <v>1576.03</v>
      </c>
      <c r="C163">
        <v>1575.88</v>
      </c>
      <c r="D163">
        <v>1575.73</v>
      </c>
      <c r="E163">
        <v>1575.58</v>
      </c>
      <c r="F163">
        <v>1575.42</v>
      </c>
      <c r="G163">
        <v>1575.27</v>
      </c>
      <c r="H163">
        <v>1575.12</v>
      </c>
      <c r="I163">
        <v>1574.97</v>
      </c>
      <c r="J163">
        <v>1574.82</v>
      </c>
      <c r="K163">
        <v>1574.67</v>
      </c>
      <c r="L163">
        <v>1574.52</v>
      </c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x14ac:dyDescent="0.15">
      <c r="A164">
        <v>795</v>
      </c>
      <c r="B164">
        <v>1576.1</v>
      </c>
      <c r="C164">
        <v>1575.95</v>
      </c>
      <c r="D164">
        <v>1575.8</v>
      </c>
      <c r="E164">
        <v>1575.65</v>
      </c>
      <c r="F164">
        <v>1575.5</v>
      </c>
      <c r="G164">
        <v>1575.35</v>
      </c>
      <c r="H164">
        <v>1575.2</v>
      </c>
      <c r="I164">
        <v>1575.05</v>
      </c>
      <c r="J164">
        <v>1574.9</v>
      </c>
      <c r="K164">
        <v>1574.75</v>
      </c>
      <c r="L164">
        <v>1574.6</v>
      </c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x14ac:dyDescent="0.15">
      <c r="A165">
        <v>800</v>
      </c>
      <c r="B165">
        <v>1576.18</v>
      </c>
      <c r="C165">
        <v>1576.03</v>
      </c>
      <c r="D165">
        <v>1575.88</v>
      </c>
      <c r="E165">
        <v>1575.73</v>
      </c>
      <c r="F165">
        <v>1575.58</v>
      </c>
      <c r="G165">
        <v>1575.43</v>
      </c>
      <c r="H165">
        <v>1575.28</v>
      </c>
      <c r="I165">
        <v>1575.12</v>
      </c>
      <c r="J165">
        <v>1574.97</v>
      </c>
      <c r="K165">
        <v>1574.82</v>
      </c>
      <c r="L165">
        <v>1574.67</v>
      </c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x14ac:dyDescent="0.15">
      <c r="A166">
        <v>805</v>
      </c>
      <c r="B166">
        <v>1576.26</v>
      </c>
      <c r="C166">
        <v>1576.11</v>
      </c>
      <c r="D166">
        <v>1575.95</v>
      </c>
      <c r="E166">
        <v>1575.8</v>
      </c>
      <c r="F166">
        <v>1575.65</v>
      </c>
      <c r="G166">
        <v>1575.5</v>
      </c>
      <c r="H166">
        <v>1575.35</v>
      </c>
      <c r="I166">
        <v>1575.2</v>
      </c>
      <c r="J166">
        <v>1575.05</v>
      </c>
      <c r="K166">
        <v>1574.9</v>
      </c>
      <c r="L166">
        <v>1574.75</v>
      </c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x14ac:dyDescent="0.15">
      <c r="A167">
        <v>810</v>
      </c>
      <c r="B167">
        <v>1576.33</v>
      </c>
      <c r="C167">
        <v>1576.18</v>
      </c>
      <c r="D167">
        <v>1576.03</v>
      </c>
      <c r="E167">
        <v>1575.88</v>
      </c>
      <c r="F167">
        <v>1575.73</v>
      </c>
      <c r="G167">
        <v>1575.58</v>
      </c>
      <c r="H167">
        <v>1575.43</v>
      </c>
      <c r="I167">
        <v>1575.28</v>
      </c>
      <c r="J167">
        <v>1575.13</v>
      </c>
      <c r="K167">
        <v>1574.98</v>
      </c>
      <c r="L167">
        <v>1574.82</v>
      </c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x14ac:dyDescent="0.15">
      <c r="A168">
        <v>815</v>
      </c>
      <c r="B168">
        <v>1576.41</v>
      </c>
      <c r="C168">
        <v>1576.26</v>
      </c>
      <c r="D168">
        <v>1576.11</v>
      </c>
      <c r="E168">
        <v>1575.96</v>
      </c>
      <c r="F168">
        <v>1575.81</v>
      </c>
      <c r="G168">
        <v>1575.66</v>
      </c>
      <c r="H168">
        <v>1575.5</v>
      </c>
      <c r="I168">
        <v>1575.35</v>
      </c>
      <c r="J168">
        <v>1575.2</v>
      </c>
      <c r="K168">
        <v>1575.05</v>
      </c>
      <c r="L168">
        <v>1574.9</v>
      </c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x14ac:dyDescent="0.15">
      <c r="A169">
        <v>820</v>
      </c>
      <c r="B169">
        <v>1576.48</v>
      </c>
      <c r="C169">
        <v>1576.33</v>
      </c>
      <c r="D169">
        <v>1576.18</v>
      </c>
      <c r="E169">
        <v>1576.03</v>
      </c>
      <c r="F169">
        <v>1575.88</v>
      </c>
      <c r="G169">
        <v>1575.73</v>
      </c>
      <c r="H169">
        <v>1575.58</v>
      </c>
      <c r="I169">
        <v>1575.43</v>
      </c>
      <c r="J169">
        <v>1575.28</v>
      </c>
      <c r="K169">
        <v>1575.13</v>
      </c>
      <c r="L169">
        <v>1574.98</v>
      </c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x14ac:dyDescent="0.15">
      <c r="A170">
        <v>825</v>
      </c>
      <c r="B170">
        <v>1576.56</v>
      </c>
      <c r="C170">
        <v>1576.41</v>
      </c>
      <c r="D170">
        <v>1576.26</v>
      </c>
      <c r="E170">
        <v>1576.11</v>
      </c>
      <c r="F170">
        <v>1575.96</v>
      </c>
      <c r="G170">
        <v>1575.81</v>
      </c>
      <c r="H170">
        <v>1575.66</v>
      </c>
      <c r="I170">
        <v>1575.51</v>
      </c>
      <c r="J170">
        <v>1575.36</v>
      </c>
      <c r="K170">
        <v>1575.2</v>
      </c>
      <c r="L170">
        <v>1575.05</v>
      </c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x14ac:dyDescent="0.15">
      <c r="A171">
        <v>830</v>
      </c>
      <c r="B171">
        <v>1576.64</v>
      </c>
      <c r="C171">
        <v>1576.49</v>
      </c>
      <c r="D171">
        <v>1576.34</v>
      </c>
      <c r="E171">
        <v>1576.19</v>
      </c>
      <c r="F171">
        <v>1576.03</v>
      </c>
      <c r="G171">
        <v>1575.88</v>
      </c>
      <c r="H171">
        <v>1575.73</v>
      </c>
      <c r="I171">
        <v>1575.58</v>
      </c>
      <c r="J171">
        <v>1575.43</v>
      </c>
      <c r="K171">
        <v>1575.28</v>
      </c>
      <c r="L171">
        <v>1575.13</v>
      </c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x14ac:dyDescent="0.15">
      <c r="A172">
        <v>835</v>
      </c>
      <c r="B172">
        <v>1576.71</v>
      </c>
      <c r="C172">
        <v>1576.56</v>
      </c>
      <c r="D172">
        <v>1576.41</v>
      </c>
      <c r="E172">
        <v>1576.26</v>
      </c>
      <c r="F172">
        <v>1576.11</v>
      </c>
      <c r="G172">
        <v>1575.96</v>
      </c>
      <c r="H172">
        <v>1575.81</v>
      </c>
      <c r="I172">
        <v>1575.66</v>
      </c>
      <c r="J172">
        <v>1575.51</v>
      </c>
      <c r="K172">
        <v>1575.36</v>
      </c>
      <c r="L172">
        <v>1575.21</v>
      </c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x14ac:dyDescent="0.15">
      <c r="A173">
        <v>840</v>
      </c>
      <c r="B173">
        <v>1576.79</v>
      </c>
      <c r="C173">
        <v>1576.64</v>
      </c>
      <c r="D173">
        <v>1576.49</v>
      </c>
      <c r="E173">
        <v>1576.34</v>
      </c>
      <c r="F173">
        <v>1576.19</v>
      </c>
      <c r="G173">
        <v>1576.04</v>
      </c>
      <c r="H173">
        <v>1575.89</v>
      </c>
      <c r="I173">
        <v>1575.73</v>
      </c>
      <c r="J173">
        <v>1575.58</v>
      </c>
      <c r="K173">
        <v>1575.43</v>
      </c>
      <c r="L173">
        <v>1575.28</v>
      </c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x14ac:dyDescent="0.15">
      <c r="A174">
        <v>845</v>
      </c>
      <c r="B174">
        <v>1576.87</v>
      </c>
      <c r="C174">
        <v>1576.72</v>
      </c>
      <c r="D174">
        <v>1576.56</v>
      </c>
      <c r="E174">
        <v>1576.41</v>
      </c>
      <c r="F174">
        <v>1576.26</v>
      </c>
      <c r="G174">
        <v>1576.11</v>
      </c>
      <c r="H174">
        <v>1575.96</v>
      </c>
      <c r="I174">
        <v>1575.81</v>
      </c>
      <c r="J174">
        <v>1575.66</v>
      </c>
      <c r="K174">
        <v>1575.51</v>
      </c>
      <c r="L174">
        <v>1575.36</v>
      </c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x14ac:dyDescent="0.15">
      <c r="A175">
        <v>850</v>
      </c>
      <c r="B175">
        <v>1576.94</v>
      </c>
      <c r="C175">
        <v>1576.79</v>
      </c>
      <c r="D175">
        <v>1576.64</v>
      </c>
      <c r="E175">
        <v>1576.49</v>
      </c>
      <c r="F175">
        <v>1576.34</v>
      </c>
      <c r="G175">
        <v>1576.19</v>
      </c>
      <c r="H175">
        <v>1576.04</v>
      </c>
      <c r="I175">
        <v>1575.89</v>
      </c>
      <c r="J175">
        <v>1575.74</v>
      </c>
      <c r="K175">
        <v>1575.59</v>
      </c>
      <c r="L175">
        <v>1575.44</v>
      </c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x14ac:dyDescent="0.15">
      <c r="A176">
        <v>855</v>
      </c>
      <c r="B176">
        <v>1577.02</v>
      </c>
      <c r="C176">
        <v>1576.87</v>
      </c>
      <c r="D176">
        <v>1576.72</v>
      </c>
      <c r="E176">
        <v>1576.57</v>
      </c>
      <c r="F176">
        <v>1576.42</v>
      </c>
      <c r="G176">
        <v>1576.27</v>
      </c>
      <c r="H176">
        <v>1576.11</v>
      </c>
      <c r="I176">
        <v>1575.96</v>
      </c>
      <c r="J176">
        <v>1575.81</v>
      </c>
      <c r="K176">
        <v>1575.66</v>
      </c>
      <c r="L176">
        <v>1575.51</v>
      </c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x14ac:dyDescent="0.15">
      <c r="A177">
        <v>860</v>
      </c>
      <c r="B177">
        <v>1577.09</v>
      </c>
      <c r="C177">
        <v>1576.94</v>
      </c>
      <c r="D177">
        <v>1576.79</v>
      </c>
      <c r="E177">
        <v>1576.64</v>
      </c>
      <c r="F177">
        <v>1576.49</v>
      </c>
      <c r="G177">
        <v>1576.34</v>
      </c>
      <c r="H177">
        <v>1576.19</v>
      </c>
      <c r="I177">
        <v>1576.04</v>
      </c>
      <c r="J177">
        <v>1575.89</v>
      </c>
      <c r="K177">
        <v>1575.74</v>
      </c>
      <c r="L177">
        <v>1575.59</v>
      </c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x14ac:dyDescent="0.15">
      <c r="A178">
        <v>865</v>
      </c>
      <c r="B178">
        <v>1577.17</v>
      </c>
      <c r="C178">
        <v>1577.02</v>
      </c>
      <c r="D178">
        <v>1576.87</v>
      </c>
      <c r="E178">
        <v>1576.72</v>
      </c>
      <c r="F178">
        <v>1576.57</v>
      </c>
      <c r="G178">
        <v>1576.42</v>
      </c>
      <c r="H178">
        <v>1576.27</v>
      </c>
      <c r="I178">
        <v>1576.12</v>
      </c>
      <c r="J178">
        <v>1575.97</v>
      </c>
      <c r="K178">
        <v>1575.81</v>
      </c>
      <c r="L178">
        <v>1575.66</v>
      </c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x14ac:dyDescent="0.15">
      <c r="A179">
        <v>870</v>
      </c>
      <c r="B179">
        <v>1577.25</v>
      </c>
      <c r="C179">
        <v>1577.1</v>
      </c>
      <c r="D179">
        <v>1576.95</v>
      </c>
      <c r="E179">
        <v>1576.8</v>
      </c>
      <c r="F179">
        <v>1576.65</v>
      </c>
      <c r="G179">
        <v>1576.49</v>
      </c>
      <c r="H179">
        <v>1576.34</v>
      </c>
      <c r="I179">
        <v>1576.19</v>
      </c>
      <c r="J179">
        <v>1576.04</v>
      </c>
      <c r="K179">
        <v>1575.89</v>
      </c>
      <c r="L179">
        <v>1575.74</v>
      </c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x14ac:dyDescent="0.15">
      <c r="A180">
        <v>875</v>
      </c>
      <c r="B180">
        <v>1577.32</v>
      </c>
      <c r="C180">
        <v>1577.17</v>
      </c>
      <c r="D180">
        <v>1577.02</v>
      </c>
      <c r="E180">
        <v>1576.87</v>
      </c>
      <c r="F180">
        <v>1576.72</v>
      </c>
      <c r="G180">
        <v>1576.57</v>
      </c>
      <c r="H180">
        <v>1576.42</v>
      </c>
      <c r="I180">
        <v>1576.27</v>
      </c>
      <c r="J180">
        <v>1576.12</v>
      </c>
      <c r="K180">
        <v>1575.97</v>
      </c>
      <c r="L180">
        <v>1575.82</v>
      </c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x14ac:dyDescent="0.15">
      <c r="A181">
        <v>880</v>
      </c>
      <c r="B181">
        <v>1577.4</v>
      </c>
      <c r="C181">
        <v>1577.25</v>
      </c>
      <c r="D181">
        <v>1577.1</v>
      </c>
      <c r="E181">
        <v>1576.95</v>
      </c>
      <c r="F181">
        <v>1576.8</v>
      </c>
      <c r="G181">
        <v>1576.65</v>
      </c>
      <c r="H181">
        <v>1576.5</v>
      </c>
      <c r="I181">
        <v>1576.35</v>
      </c>
      <c r="J181">
        <v>1576.19</v>
      </c>
      <c r="K181">
        <v>1576.04</v>
      </c>
      <c r="L181">
        <v>1575.89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x14ac:dyDescent="0.15">
      <c r="A182">
        <v>885</v>
      </c>
      <c r="B182">
        <v>1577.48</v>
      </c>
      <c r="C182">
        <v>1577.33</v>
      </c>
      <c r="D182">
        <v>1577.18</v>
      </c>
      <c r="E182">
        <v>1577.02</v>
      </c>
      <c r="F182">
        <v>1576.87</v>
      </c>
      <c r="G182">
        <v>1576.72</v>
      </c>
      <c r="H182">
        <v>1576.57</v>
      </c>
      <c r="I182">
        <v>1576.42</v>
      </c>
      <c r="J182">
        <v>1576.27</v>
      </c>
      <c r="K182">
        <v>1576.12</v>
      </c>
      <c r="L182">
        <v>1575.97</v>
      </c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x14ac:dyDescent="0.15">
      <c r="A183">
        <v>890</v>
      </c>
      <c r="B183">
        <v>1577.55</v>
      </c>
      <c r="C183">
        <v>1577.4</v>
      </c>
      <c r="D183">
        <v>1577.25</v>
      </c>
      <c r="E183">
        <v>1577.1</v>
      </c>
      <c r="F183">
        <v>1576.95</v>
      </c>
      <c r="G183">
        <v>1576.8</v>
      </c>
      <c r="H183">
        <v>1576.65</v>
      </c>
      <c r="I183">
        <v>1576.5</v>
      </c>
      <c r="J183">
        <v>1576.35</v>
      </c>
      <c r="K183">
        <v>1576.2</v>
      </c>
      <c r="L183">
        <v>1576.05</v>
      </c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x14ac:dyDescent="0.15">
      <c r="A184">
        <v>895</v>
      </c>
      <c r="B184">
        <v>1577.63</v>
      </c>
      <c r="C184">
        <v>1577.48</v>
      </c>
      <c r="D184">
        <v>1577.33</v>
      </c>
      <c r="E184">
        <v>1577.18</v>
      </c>
      <c r="F184">
        <v>1577.03</v>
      </c>
      <c r="G184">
        <v>1576.88</v>
      </c>
      <c r="H184">
        <v>1576.73</v>
      </c>
      <c r="I184">
        <v>1576.57</v>
      </c>
      <c r="J184">
        <v>1576.42</v>
      </c>
      <c r="K184">
        <v>1576.27</v>
      </c>
      <c r="L184">
        <v>1576.12</v>
      </c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x14ac:dyDescent="0.15">
      <c r="A185">
        <v>900</v>
      </c>
      <c r="B185">
        <v>1577.71</v>
      </c>
      <c r="C185">
        <v>1577.55</v>
      </c>
      <c r="D185">
        <v>1577.4</v>
      </c>
      <c r="E185">
        <v>1577.25</v>
      </c>
      <c r="F185">
        <v>1577.1</v>
      </c>
      <c r="G185">
        <v>1576.95</v>
      </c>
      <c r="H185">
        <v>1576.8</v>
      </c>
      <c r="I185">
        <v>1576.65</v>
      </c>
      <c r="J185">
        <v>1576.5</v>
      </c>
      <c r="K185">
        <v>1576.35</v>
      </c>
      <c r="L185">
        <v>1576.2</v>
      </c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x14ac:dyDescent="0.15">
      <c r="A186">
        <v>905</v>
      </c>
      <c r="B186">
        <v>1577.78</v>
      </c>
      <c r="C186">
        <v>1577.63</v>
      </c>
      <c r="D186">
        <v>1577.48</v>
      </c>
      <c r="E186">
        <v>1577.33</v>
      </c>
      <c r="F186">
        <v>1577.18</v>
      </c>
      <c r="G186">
        <v>1577.03</v>
      </c>
      <c r="H186">
        <v>1576.88</v>
      </c>
      <c r="I186">
        <v>1576.73</v>
      </c>
      <c r="J186">
        <v>1576.58</v>
      </c>
      <c r="K186">
        <v>1576.43</v>
      </c>
      <c r="L186">
        <v>1576.27</v>
      </c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x14ac:dyDescent="0.15">
      <c r="A187">
        <v>910</v>
      </c>
      <c r="B187">
        <v>1577.86</v>
      </c>
      <c r="C187">
        <v>1577.71</v>
      </c>
      <c r="D187">
        <v>1577.56</v>
      </c>
      <c r="E187">
        <v>1577.41</v>
      </c>
      <c r="F187">
        <v>1577.26</v>
      </c>
      <c r="G187">
        <v>1577.1</v>
      </c>
      <c r="H187">
        <v>1576.95</v>
      </c>
      <c r="I187">
        <v>1576.8</v>
      </c>
      <c r="J187">
        <v>1576.65</v>
      </c>
      <c r="K187">
        <v>1576.5</v>
      </c>
      <c r="L187">
        <v>1576.35</v>
      </c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x14ac:dyDescent="0.15">
      <c r="A188">
        <v>915</v>
      </c>
      <c r="B188">
        <v>1577.93</v>
      </c>
      <c r="C188">
        <v>1577.78</v>
      </c>
      <c r="D188">
        <v>1577.63</v>
      </c>
      <c r="E188">
        <v>1577.48</v>
      </c>
      <c r="F188">
        <v>1577.33</v>
      </c>
      <c r="G188">
        <v>1577.18</v>
      </c>
      <c r="H188">
        <v>1577.03</v>
      </c>
      <c r="I188">
        <v>1576.88</v>
      </c>
      <c r="J188">
        <v>1576.73</v>
      </c>
      <c r="K188">
        <v>1576.58</v>
      </c>
      <c r="L188">
        <v>1576.43</v>
      </c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x14ac:dyDescent="0.15">
      <c r="A189">
        <v>920</v>
      </c>
      <c r="B189">
        <v>1578.01</v>
      </c>
      <c r="C189">
        <v>1577.86</v>
      </c>
      <c r="D189">
        <v>1577.71</v>
      </c>
      <c r="E189">
        <v>1577.56</v>
      </c>
      <c r="F189">
        <v>1577.41</v>
      </c>
      <c r="G189">
        <v>1577.26</v>
      </c>
      <c r="H189">
        <v>1577.11</v>
      </c>
      <c r="I189">
        <v>1576.96</v>
      </c>
      <c r="J189">
        <v>1576.8</v>
      </c>
      <c r="K189">
        <v>1576.65</v>
      </c>
      <c r="L189">
        <v>1576.5</v>
      </c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x14ac:dyDescent="0.15">
      <c r="A190">
        <v>925</v>
      </c>
      <c r="B190">
        <v>1578.09</v>
      </c>
      <c r="C190">
        <v>1577.94</v>
      </c>
      <c r="D190">
        <v>1577.79</v>
      </c>
      <c r="E190">
        <v>1577.63</v>
      </c>
      <c r="F190">
        <v>1577.48</v>
      </c>
      <c r="G190">
        <v>1577.33</v>
      </c>
      <c r="H190">
        <v>1577.18</v>
      </c>
      <c r="I190">
        <v>1577.03</v>
      </c>
      <c r="J190">
        <v>1576.88</v>
      </c>
      <c r="K190">
        <v>1576.73</v>
      </c>
      <c r="L190">
        <v>1576.58</v>
      </c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x14ac:dyDescent="0.15">
      <c r="A191">
        <v>930</v>
      </c>
      <c r="B191">
        <v>1578.16</v>
      </c>
      <c r="C191">
        <v>1578.01</v>
      </c>
      <c r="D191">
        <v>1577.86</v>
      </c>
      <c r="E191">
        <v>1577.71</v>
      </c>
      <c r="F191">
        <v>1577.56</v>
      </c>
      <c r="G191">
        <v>1577.41</v>
      </c>
      <c r="H191">
        <v>1577.26</v>
      </c>
      <c r="I191">
        <v>1577.11</v>
      </c>
      <c r="J191">
        <v>1576.96</v>
      </c>
      <c r="K191">
        <v>1576.81</v>
      </c>
      <c r="L191">
        <v>1576.66</v>
      </c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x14ac:dyDescent="0.15">
      <c r="A192">
        <v>935</v>
      </c>
      <c r="B192">
        <v>1578.24</v>
      </c>
      <c r="C192">
        <v>1578.09</v>
      </c>
      <c r="D192">
        <v>1577.94</v>
      </c>
      <c r="E192">
        <v>1577.79</v>
      </c>
      <c r="F192">
        <v>1577.64</v>
      </c>
      <c r="G192">
        <v>1577.49</v>
      </c>
      <c r="H192">
        <v>1577.34</v>
      </c>
      <c r="I192">
        <v>1577.18</v>
      </c>
      <c r="J192">
        <v>1577.03</v>
      </c>
      <c r="K192">
        <v>1576.88</v>
      </c>
      <c r="L192">
        <v>1576.73</v>
      </c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x14ac:dyDescent="0.15">
      <c r="A193">
        <v>940</v>
      </c>
      <c r="B193">
        <v>1578.32</v>
      </c>
      <c r="C193">
        <v>1578.16</v>
      </c>
      <c r="D193">
        <v>1578.01</v>
      </c>
      <c r="E193">
        <v>1577.86</v>
      </c>
      <c r="F193">
        <v>1577.71</v>
      </c>
      <c r="G193">
        <v>1577.56</v>
      </c>
      <c r="H193">
        <v>1577.41</v>
      </c>
      <c r="I193">
        <v>1577.26</v>
      </c>
      <c r="J193">
        <v>1577.11</v>
      </c>
      <c r="K193">
        <v>1576.96</v>
      </c>
      <c r="L193">
        <v>1576.81</v>
      </c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x14ac:dyDescent="0.15">
      <c r="A194">
        <v>945</v>
      </c>
      <c r="B194">
        <v>1578.39</v>
      </c>
      <c r="C194">
        <v>1578.24</v>
      </c>
      <c r="D194">
        <v>1578.09</v>
      </c>
      <c r="E194">
        <v>1577.94</v>
      </c>
      <c r="F194">
        <v>1577.79</v>
      </c>
      <c r="G194">
        <v>1577.64</v>
      </c>
      <c r="H194">
        <v>1577.49</v>
      </c>
      <c r="I194">
        <v>1577.34</v>
      </c>
      <c r="J194">
        <v>1577.19</v>
      </c>
      <c r="K194">
        <v>1577.04</v>
      </c>
      <c r="L194">
        <v>1576.88</v>
      </c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x14ac:dyDescent="0.15">
      <c r="A195">
        <v>950</v>
      </c>
      <c r="B195">
        <v>1578.47</v>
      </c>
      <c r="C195">
        <v>1578.32</v>
      </c>
      <c r="D195">
        <v>1578.17</v>
      </c>
      <c r="E195">
        <v>1578.02</v>
      </c>
      <c r="F195">
        <v>1577.87</v>
      </c>
      <c r="G195">
        <v>1577.72</v>
      </c>
      <c r="H195">
        <v>1577.56</v>
      </c>
      <c r="I195">
        <v>1577.41</v>
      </c>
      <c r="J195">
        <v>1577.26</v>
      </c>
      <c r="K195">
        <v>1577.11</v>
      </c>
      <c r="L195">
        <v>1576.96</v>
      </c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x14ac:dyDescent="0.15">
      <c r="A196">
        <v>955</v>
      </c>
      <c r="B196">
        <v>1578.54</v>
      </c>
      <c r="C196">
        <v>1578.39</v>
      </c>
      <c r="D196">
        <v>1578.24</v>
      </c>
      <c r="E196">
        <v>1578.09</v>
      </c>
      <c r="F196">
        <v>1577.94</v>
      </c>
      <c r="G196">
        <v>1577.79</v>
      </c>
      <c r="H196">
        <v>1577.64</v>
      </c>
      <c r="I196">
        <v>1577.49</v>
      </c>
      <c r="J196">
        <v>1577.34</v>
      </c>
      <c r="K196">
        <v>1577.19</v>
      </c>
      <c r="L196">
        <v>1577.04</v>
      </c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x14ac:dyDescent="0.15">
      <c r="A197">
        <v>960</v>
      </c>
      <c r="B197">
        <v>1578.62</v>
      </c>
      <c r="C197">
        <v>1578.47</v>
      </c>
      <c r="D197">
        <v>1578.32</v>
      </c>
      <c r="E197">
        <v>1578.17</v>
      </c>
      <c r="F197">
        <v>1578.02</v>
      </c>
      <c r="G197">
        <v>1577.87</v>
      </c>
      <c r="H197">
        <v>1577.72</v>
      </c>
      <c r="I197">
        <v>1577.57</v>
      </c>
      <c r="J197">
        <v>1577.42</v>
      </c>
      <c r="K197">
        <v>1577.26</v>
      </c>
      <c r="L197">
        <v>1577.11</v>
      </c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x14ac:dyDescent="0.15">
      <c r="A198">
        <v>965</v>
      </c>
      <c r="B198">
        <v>1578.7</v>
      </c>
      <c r="C198">
        <v>1578.55</v>
      </c>
      <c r="D198">
        <v>1578.4</v>
      </c>
      <c r="E198">
        <v>1578.25</v>
      </c>
      <c r="F198">
        <v>1578.09</v>
      </c>
      <c r="G198">
        <v>1577.94</v>
      </c>
      <c r="H198">
        <v>1577.79</v>
      </c>
      <c r="I198">
        <v>1577.64</v>
      </c>
      <c r="J198">
        <v>1577.49</v>
      </c>
      <c r="K198">
        <v>1577.34</v>
      </c>
      <c r="L198">
        <v>1577.19</v>
      </c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x14ac:dyDescent="0.15">
      <c r="A199">
        <v>970</v>
      </c>
      <c r="B199">
        <v>1578.77</v>
      </c>
      <c r="C199">
        <v>1578.62</v>
      </c>
      <c r="D199">
        <v>1578.47</v>
      </c>
      <c r="E199">
        <v>1578.32</v>
      </c>
      <c r="F199">
        <v>1578.17</v>
      </c>
      <c r="G199">
        <v>1578.02</v>
      </c>
      <c r="H199">
        <v>1577.87</v>
      </c>
      <c r="I199">
        <v>1577.72</v>
      </c>
      <c r="J199">
        <v>1577.57</v>
      </c>
      <c r="K199">
        <v>1577.42</v>
      </c>
      <c r="L199">
        <v>1577.27</v>
      </c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x14ac:dyDescent="0.15">
      <c r="A200">
        <v>975</v>
      </c>
      <c r="B200">
        <v>1578.85</v>
      </c>
      <c r="C200">
        <v>1578.7</v>
      </c>
      <c r="D200">
        <v>1578.55</v>
      </c>
      <c r="E200">
        <v>1578.4</v>
      </c>
      <c r="F200">
        <v>1578.25</v>
      </c>
      <c r="G200">
        <v>1578.1</v>
      </c>
      <c r="H200">
        <v>1577.95</v>
      </c>
      <c r="I200">
        <v>1577.79</v>
      </c>
      <c r="J200">
        <v>1577.64</v>
      </c>
      <c r="K200">
        <v>1577.49</v>
      </c>
      <c r="L200">
        <v>1577.34</v>
      </c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x14ac:dyDescent="0.15">
      <c r="A201">
        <v>980</v>
      </c>
      <c r="B201">
        <v>1578.93</v>
      </c>
      <c r="C201">
        <v>1578.78</v>
      </c>
      <c r="D201">
        <v>1578.62</v>
      </c>
      <c r="E201">
        <v>1578.47</v>
      </c>
      <c r="F201">
        <v>1578.32</v>
      </c>
      <c r="G201">
        <v>1578.17</v>
      </c>
      <c r="H201">
        <v>1578.02</v>
      </c>
      <c r="I201">
        <v>1577.87</v>
      </c>
      <c r="J201">
        <v>1577.72</v>
      </c>
      <c r="K201">
        <v>1577.57</v>
      </c>
      <c r="L201">
        <v>1577.42</v>
      </c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x14ac:dyDescent="0.15">
      <c r="A202">
        <v>985</v>
      </c>
      <c r="B202">
        <v>1579</v>
      </c>
      <c r="C202">
        <v>1578.85</v>
      </c>
      <c r="D202">
        <v>1578.7</v>
      </c>
      <c r="E202">
        <v>1578.55</v>
      </c>
      <c r="F202">
        <v>1578.4</v>
      </c>
      <c r="G202">
        <v>1578.25</v>
      </c>
      <c r="H202">
        <v>1578.1</v>
      </c>
      <c r="I202">
        <v>1577.95</v>
      </c>
      <c r="J202">
        <v>1577.8</v>
      </c>
      <c r="K202">
        <v>1577.65</v>
      </c>
      <c r="L202">
        <v>1577.5</v>
      </c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x14ac:dyDescent="0.15">
      <c r="A203">
        <v>990</v>
      </c>
      <c r="B203">
        <v>1579.08</v>
      </c>
      <c r="C203">
        <v>1578.93</v>
      </c>
      <c r="D203">
        <v>1578.78</v>
      </c>
      <c r="E203">
        <v>1578.63</v>
      </c>
      <c r="F203">
        <v>1578.48</v>
      </c>
      <c r="G203">
        <v>1578.33</v>
      </c>
      <c r="H203">
        <v>1578.17</v>
      </c>
      <c r="I203">
        <v>1578.02</v>
      </c>
      <c r="J203">
        <v>1577.87</v>
      </c>
      <c r="K203">
        <v>1577.72</v>
      </c>
      <c r="L203">
        <v>1577.57</v>
      </c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x14ac:dyDescent="0.15">
      <c r="A204">
        <v>995</v>
      </c>
      <c r="B204">
        <v>1579.15</v>
      </c>
      <c r="C204">
        <v>1579</v>
      </c>
      <c r="D204">
        <v>1578.85</v>
      </c>
      <c r="E204">
        <v>1578.7</v>
      </c>
      <c r="F204">
        <v>1578.55</v>
      </c>
      <c r="G204">
        <v>1578.4</v>
      </c>
      <c r="H204">
        <v>1578.25</v>
      </c>
      <c r="I204">
        <v>1578.1</v>
      </c>
      <c r="J204">
        <v>1577.95</v>
      </c>
      <c r="K204">
        <v>1577.8</v>
      </c>
      <c r="L204">
        <v>1577.65</v>
      </c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x14ac:dyDescent="0.15">
      <c r="A205">
        <v>1000</v>
      </c>
      <c r="B205">
        <v>1579.23</v>
      </c>
      <c r="C205">
        <v>1579.08</v>
      </c>
      <c r="D205">
        <v>1578.93</v>
      </c>
      <c r="E205">
        <v>1578.78</v>
      </c>
      <c r="F205">
        <v>1578.63</v>
      </c>
      <c r="G205">
        <v>1578.48</v>
      </c>
      <c r="H205">
        <v>1578.33</v>
      </c>
      <c r="I205">
        <v>1578.18</v>
      </c>
      <c r="J205">
        <v>1578.03</v>
      </c>
      <c r="K205">
        <v>1577.87</v>
      </c>
      <c r="L205">
        <v>1577.72</v>
      </c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x14ac:dyDescent="0.15">
      <c r="A206">
        <v>1005</v>
      </c>
      <c r="B206">
        <v>1579.31</v>
      </c>
      <c r="C206">
        <v>1579.16</v>
      </c>
      <c r="D206">
        <v>1579.01</v>
      </c>
      <c r="E206">
        <v>1578.86</v>
      </c>
      <c r="F206">
        <v>1578.7</v>
      </c>
      <c r="G206">
        <v>1578.55</v>
      </c>
      <c r="H206">
        <v>1578.4</v>
      </c>
      <c r="I206">
        <v>1578.25</v>
      </c>
      <c r="J206">
        <v>1578.1</v>
      </c>
      <c r="K206">
        <v>1577.95</v>
      </c>
      <c r="L206">
        <v>1577.8</v>
      </c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x14ac:dyDescent="0.15">
      <c r="A207">
        <v>1010</v>
      </c>
      <c r="B207">
        <v>1579.38</v>
      </c>
      <c r="C207">
        <v>1579.23</v>
      </c>
      <c r="D207">
        <v>1579.08</v>
      </c>
      <c r="E207">
        <v>1578.93</v>
      </c>
      <c r="F207">
        <v>1578.78</v>
      </c>
      <c r="G207">
        <v>1578.63</v>
      </c>
      <c r="H207">
        <v>1578.48</v>
      </c>
      <c r="I207">
        <v>1578.33</v>
      </c>
      <c r="J207">
        <v>1578.18</v>
      </c>
      <c r="K207">
        <v>1578.03</v>
      </c>
      <c r="L207">
        <v>1577.88</v>
      </c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x14ac:dyDescent="0.15">
      <c r="A208">
        <v>1015</v>
      </c>
      <c r="B208">
        <v>1579.46</v>
      </c>
      <c r="C208">
        <v>1579.31</v>
      </c>
      <c r="D208">
        <v>1579.16</v>
      </c>
      <c r="E208">
        <v>1579.01</v>
      </c>
      <c r="F208">
        <v>1578.86</v>
      </c>
      <c r="G208">
        <v>1578.71</v>
      </c>
      <c r="H208">
        <v>1578.56</v>
      </c>
      <c r="I208">
        <v>1578.41</v>
      </c>
      <c r="J208">
        <v>1578.25</v>
      </c>
      <c r="K208">
        <v>1578.1</v>
      </c>
      <c r="L208">
        <v>1577.95</v>
      </c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x14ac:dyDescent="0.15">
      <c r="A209">
        <v>1020</v>
      </c>
      <c r="B209">
        <v>1579.54</v>
      </c>
      <c r="C209">
        <v>1579.39</v>
      </c>
      <c r="D209">
        <v>1579.23</v>
      </c>
      <c r="E209">
        <v>1579.08</v>
      </c>
      <c r="F209">
        <v>1578.93</v>
      </c>
      <c r="G209">
        <v>1578.78</v>
      </c>
      <c r="H209">
        <v>1578.63</v>
      </c>
      <c r="I209">
        <v>1578.48</v>
      </c>
      <c r="J209">
        <v>1578.33</v>
      </c>
      <c r="K209">
        <v>1578.18</v>
      </c>
      <c r="L209">
        <v>1578.03</v>
      </c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x14ac:dyDescent="0.15">
      <c r="A210">
        <v>1025</v>
      </c>
      <c r="B210">
        <v>1579.61</v>
      </c>
      <c r="C210">
        <v>1579.46</v>
      </c>
      <c r="D210">
        <v>1579.31</v>
      </c>
      <c r="E210">
        <v>1579.16</v>
      </c>
      <c r="F210">
        <v>1579.01</v>
      </c>
      <c r="G210">
        <v>1578.86</v>
      </c>
      <c r="H210">
        <v>1578.71</v>
      </c>
      <c r="I210">
        <v>1578.56</v>
      </c>
      <c r="J210">
        <v>1578.41</v>
      </c>
      <c r="K210">
        <v>1578.26</v>
      </c>
      <c r="L210">
        <v>1578.11</v>
      </c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x14ac:dyDescent="0.15">
      <c r="A211">
        <v>1030</v>
      </c>
      <c r="B211">
        <v>1579.69</v>
      </c>
      <c r="C211">
        <v>1579.54</v>
      </c>
      <c r="D211">
        <v>1579.39</v>
      </c>
      <c r="E211">
        <v>1579.24</v>
      </c>
      <c r="F211">
        <v>1579.09</v>
      </c>
      <c r="G211">
        <v>1578.94</v>
      </c>
      <c r="H211">
        <v>1578.79</v>
      </c>
      <c r="I211">
        <v>1578.63</v>
      </c>
      <c r="J211">
        <v>1578.48</v>
      </c>
      <c r="K211">
        <v>1578.33</v>
      </c>
      <c r="L211">
        <v>1578.18</v>
      </c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x14ac:dyDescent="0.15">
      <c r="A212">
        <v>1035</v>
      </c>
      <c r="B212">
        <v>1579.77</v>
      </c>
      <c r="C212">
        <v>1579.61</v>
      </c>
      <c r="D212">
        <v>1579.46</v>
      </c>
      <c r="E212">
        <v>1579.31</v>
      </c>
      <c r="F212">
        <v>1579.16</v>
      </c>
      <c r="G212">
        <v>1579.01</v>
      </c>
      <c r="H212">
        <v>1578.86</v>
      </c>
      <c r="I212">
        <v>1578.71</v>
      </c>
      <c r="J212">
        <v>1578.56</v>
      </c>
      <c r="K212">
        <v>1578.41</v>
      </c>
      <c r="L212">
        <v>1578.26</v>
      </c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x14ac:dyDescent="0.15">
      <c r="A213">
        <v>1040</v>
      </c>
      <c r="B213">
        <v>1579.84</v>
      </c>
      <c r="C213">
        <v>1579.69</v>
      </c>
      <c r="D213">
        <v>1579.54</v>
      </c>
      <c r="E213">
        <v>1579.39</v>
      </c>
      <c r="F213">
        <v>1579.24</v>
      </c>
      <c r="G213">
        <v>1579.09</v>
      </c>
      <c r="H213">
        <v>1578.94</v>
      </c>
      <c r="I213">
        <v>1578.79</v>
      </c>
      <c r="J213">
        <v>1578.64</v>
      </c>
      <c r="K213">
        <v>1578.48</v>
      </c>
      <c r="L213">
        <v>1578.33</v>
      </c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x14ac:dyDescent="0.15">
      <c r="A214">
        <v>1045</v>
      </c>
      <c r="B214">
        <v>1579.92</v>
      </c>
      <c r="C214">
        <v>1579.77</v>
      </c>
      <c r="D214">
        <v>1579.62</v>
      </c>
      <c r="E214">
        <v>1579.47</v>
      </c>
      <c r="F214">
        <v>1579.32</v>
      </c>
      <c r="G214">
        <v>1579.16</v>
      </c>
      <c r="H214">
        <v>1579.01</v>
      </c>
      <c r="I214">
        <v>1578.86</v>
      </c>
      <c r="J214">
        <v>1578.71</v>
      </c>
      <c r="K214">
        <v>1578.56</v>
      </c>
      <c r="L214">
        <v>1578.41</v>
      </c>
    </row>
    <row r="215" spans="1:23" x14ac:dyDescent="0.15">
      <c r="A215">
        <v>1050</v>
      </c>
      <c r="B215">
        <v>1579.99</v>
      </c>
      <c r="C215">
        <v>1579.84</v>
      </c>
      <c r="D215">
        <v>1579.69</v>
      </c>
      <c r="E215">
        <v>1579.54</v>
      </c>
      <c r="F215">
        <v>1579.39</v>
      </c>
      <c r="G215">
        <v>1579.24</v>
      </c>
      <c r="H215">
        <v>1579.09</v>
      </c>
      <c r="I215">
        <v>1578.94</v>
      </c>
      <c r="J215">
        <v>1578.79</v>
      </c>
      <c r="K215">
        <v>1578.64</v>
      </c>
      <c r="L215">
        <v>1578.49</v>
      </c>
    </row>
    <row r="216" spans="1:23" x14ac:dyDescent="0.15">
      <c r="A216">
        <v>1055</v>
      </c>
      <c r="B216">
        <v>1580.07</v>
      </c>
      <c r="C216">
        <v>1579.92</v>
      </c>
      <c r="D216">
        <v>1579.77</v>
      </c>
      <c r="E216">
        <v>1579.62</v>
      </c>
      <c r="F216">
        <v>1579.47</v>
      </c>
      <c r="G216">
        <v>1579.32</v>
      </c>
      <c r="H216">
        <v>1579.17</v>
      </c>
      <c r="I216">
        <v>1579.02</v>
      </c>
      <c r="J216">
        <v>1578.86</v>
      </c>
      <c r="K216">
        <v>1578.71</v>
      </c>
      <c r="L216">
        <v>1578.56</v>
      </c>
    </row>
    <row r="217" spans="1:23" x14ac:dyDescent="0.15">
      <c r="A217">
        <v>1060</v>
      </c>
      <c r="B217">
        <v>1580.15</v>
      </c>
      <c r="C217">
        <v>1580</v>
      </c>
      <c r="D217">
        <v>1579.85</v>
      </c>
      <c r="E217">
        <v>1579.69</v>
      </c>
      <c r="F217">
        <v>1579.54</v>
      </c>
      <c r="G217">
        <v>1579.39</v>
      </c>
      <c r="H217">
        <v>1579.24</v>
      </c>
      <c r="I217">
        <v>1579.09</v>
      </c>
      <c r="J217">
        <v>1578.94</v>
      </c>
      <c r="K217">
        <v>1578.79</v>
      </c>
      <c r="L217">
        <v>1578.64</v>
      </c>
    </row>
    <row r="218" spans="1:23" x14ac:dyDescent="0.15">
      <c r="A218">
        <v>1065</v>
      </c>
      <c r="B218">
        <v>1580.22</v>
      </c>
      <c r="C218">
        <v>1580.07</v>
      </c>
      <c r="D218">
        <v>1579.92</v>
      </c>
      <c r="E218">
        <v>1579.77</v>
      </c>
      <c r="F218">
        <v>1579.62</v>
      </c>
      <c r="G218">
        <v>1579.47</v>
      </c>
      <c r="H218">
        <v>1579.32</v>
      </c>
      <c r="I218">
        <v>1579.17</v>
      </c>
      <c r="J218">
        <v>1579.02</v>
      </c>
      <c r="K218">
        <v>1578.87</v>
      </c>
      <c r="L218">
        <v>1578.72</v>
      </c>
    </row>
    <row r="219" spans="1:23" x14ac:dyDescent="0.15">
      <c r="A219">
        <v>1070</v>
      </c>
      <c r="B219">
        <v>1580.3</v>
      </c>
      <c r="C219">
        <v>1580.15</v>
      </c>
      <c r="D219">
        <v>1580</v>
      </c>
      <c r="E219">
        <v>1579.85</v>
      </c>
      <c r="F219">
        <v>1579.7</v>
      </c>
      <c r="G219">
        <v>1579.55</v>
      </c>
      <c r="H219">
        <v>1579.4</v>
      </c>
      <c r="I219">
        <v>1579.24</v>
      </c>
      <c r="J219">
        <v>1579.09</v>
      </c>
      <c r="K219">
        <v>1578.94</v>
      </c>
      <c r="L219">
        <v>1578.79</v>
      </c>
    </row>
    <row r="220" spans="1:23" x14ac:dyDescent="0.15">
      <c r="A220">
        <v>1075</v>
      </c>
      <c r="B220">
        <v>1580.38</v>
      </c>
      <c r="C220">
        <v>1580.22</v>
      </c>
      <c r="D220">
        <v>1580.07</v>
      </c>
      <c r="E220">
        <v>1579.92</v>
      </c>
      <c r="F220">
        <v>1579.77</v>
      </c>
      <c r="G220">
        <v>1579.62</v>
      </c>
      <c r="H220">
        <v>1579.47</v>
      </c>
      <c r="I220">
        <v>1579.32</v>
      </c>
      <c r="J220">
        <v>1579.17</v>
      </c>
      <c r="K220">
        <v>1579.02</v>
      </c>
      <c r="L220">
        <v>1578.87</v>
      </c>
    </row>
    <row r="221" spans="1:23" x14ac:dyDescent="0.15">
      <c r="A221">
        <v>1080</v>
      </c>
      <c r="B221">
        <v>1580.45</v>
      </c>
      <c r="C221">
        <v>1580.3</v>
      </c>
      <c r="D221">
        <v>1580.15</v>
      </c>
      <c r="E221">
        <v>1580</v>
      </c>
      <c r="F221">
        <v>1579.85</v>
      </c>
      <c r="G221">
        <v>1579.7</v>
      </c>
      <c r="H221">
        <v>1579.55</v>
      </c>
      <c r="I221">
        <v>1579.4</v>
      </c>
      <c r="J221">
        <v>1579.25</v>
      </c>
      <c r="K221">
        <v>1579.1</v>
      </c>
      <c r="L221">
        <v>1578.94</v>
      </c>
    </row>
    <row r="222" spans="1:23" x14ac:dyDescent="0.15">
      <c r="A222">
        <v>1085</v>
      </c>
      <c r="B222">
        <v>1580.53</v>
      </c>
      <c r="C222">
        <v>1580.38</v>
      </c>
      <c r="D222">
        <v>1580.23</v>
      </c>
      <c r="E222">
        <v>1580.08</v>
      </c>
      <c r="F222">
        <v>1579.93</v>
      </c>
      <c r="G222">
        <v>1579.77</v>
      </c>
      <c r="H222">
        <v>1579.62</v>
      </c>
      <c r="I222">
        <v>1579.47</v>
      </c>
      <c r="J222">
        <v>1579.32</v>
      </c>
      <c r="K222">
        <v>1579.17</v>
      </c>
      <c r="L222">
        <v>1579.02</v>
      </c>
    </row>
    <row r="223" spans="1:23" x14ac:dyDescent="0.15">
      <c r="A223">
        <v>1090</v>
      </c>
      <c r="B223">
        <v>1580.6</v>
      </c>
      <c r="C223">
        <v>1580.45</v>
      </c>
      <c r="D223">
        <v>1580.3</v>
      </c>
      <c r="E223">
        <v>1580.15</v>
      </c>
      <c r="F223">
        <v>1580</v>
      </c>
      <c r="G223">
        <v>1579.85</v>
      </c>
      <c r="H223">
        <v>1579.7</v>
      </c>
      <c r="I223">
        <v>1579.55</v>
      </c>
      <c r="J223">
        <v>1579.4</v>
      </c>
      <c r="K223">
        <v>1579.25</v>
      </c>
      <c r="L223">
        <v>1579.1</v>
      </c>
    </row>
    <row r="224" spans="1:23" x14ac:dyDescent="0.15">
      <c r="A224">
        <v>1095</v>
      </c>
      <c r="B224">
        <v>1580.68</v>
      </c>
      <c r="C224">
        <v>1580.53</v>
      </c>
      <c r="D224">
        <v>1580.38</v>
      </c>
      <c r="E224">
        <v>1580.23</v>
      </c>
      <c r="F224">
        <v>1580.08</v>
      </c>
      <c r="G224">
        <v>1579.93</v>
      </c>
      <c r="H224">
        <v>1579.78</v>
      </c>
      <c r="I224">
        <v>1579.63</v>
      </c>
      <c r="J224">
        <v>1579.47</v>
      </c>
      <c r="K224">
        <v>1579.32</v>
      </c>
      <c r="L224">
        <v>1579.17</v>
      </c>
    </row>
    <row r="225" spans="1:12" x14ac:dyDescent="0.15">
      <c r="A225">
        <v>1100</v>
      </c>
      <c r="B225">
        <v>1580.76</v>
      </c>
      <c r="C225">
        <v>1580.61</v>
      </c>
      <c r="D225">
        <v>1580.46</v>
      </c>
      <c r="E225">
        <v>1580.3</v>
      </c>
      <c r="F225">
        <v>1580.15</v>
      </c>
      <c r="G225">
        <v>1580</v>
      </c>
      <c r="H225">
        <v>1579.85</v>
      </c>
      <c r="I225">
        <v>1579.7</v>
      </c>
      <c r="J225">
        <v>1579.55</v>
      </c>
      <c r="K225">
        <v>1579.4</v>
      </c>
      <c r="L225">
        <v>1579.25</v>
      </c>
    </row>
    <row r="226" spans="1:12" x14ac:dyDescent="0.15">
      <c r="A226">
        <v>1105</v>
      </c>
      <c r="B226">
        <v>1580.83</v>
      </c>
      <c r="C226">
        <v>1580.68</v>
      </c>
      <c r="D226">
        <v>1580.53</v>
      </c>
      <c r="E226">
        <v>1580.38</v>
      </c>
      <c r="F226">
        <v>1580.23</v>
      </c>
      <c r="G226">
        <v>1580.08</v>
      </c>
      <c r="H226">
        <v>1579.93</v>
      </c>
      <c r="I226">
        <v>1579.78</v>
      </c>
      <c r="J226">
        <v>1579.63</v>
      </c>
      <c r="K226">
        <v>1579.48</v>
      </c>
      <c r="L226">
        <v>1579.33</v>
      </c>
    </row>
    <row r="227" spans="1:12" x14ac:dyDescent="0.15">
      <c r="A227">
        <v>1110</v>
      </c>
      <c r="B227">
        <v>1580.91</v>
      </c>
      <c r="C227">
        <v>1580.76</v>
      </c>
      <c r="D227">
        <v>1580.61</v>
      </c>
      <c r="E227">
        <v>1580.46</v>
      </c>
      <c r="F227">
        <v>1580.31</v>
      </c>
      <c r="G227">
        <v>1580.16</v>
      </c>
      <c r="H227">
        <v>1580.01</v>
      </c>
      <c r="I227">
        <v>1579.85</v>
      </c>
      <c r="J227">
        <v>1579.7</v>
      </c>
      <c r="K227">
        <v>1579.55</v>
      </c>
      <c r="L227">
        <v>1579.4</v>
      </c>
    </row>
    <row r="228" spans="1:12" x14ac:dyDescent="0.15">
      <c r="A228">
        <v>1115</v>
      </c>
      <c r="B228">
        <v>1580.99</v>
      </c>
      <c r="C228">
        <v>1580.84</v>
      </c>
      <c r="D228">
        <v>1580.68</v>
      </c>
      <c r="E228">
        <v>1580.53</v>
      </c>
      <c r="F228">
        <v>1580.38</v>
      </c>
      <c r="G228">
        <v>1580.23</v>
      </c>
      <c r="H228">
        <v>1580.08</v>
      </c>
      <c r="I228">
        <v>1579.93</v>
      </c>
      <c r="J228">
        <v>1579.78</v>
      </c>
      <c r="K228">
        <v>1579.63</v>
      </c>
      <c r="L228">
        <v>1579.48</v>
      </c>
    </row>
    <row r="229" spans="1:12" x14ac:dyDescent="0.15">
      <c r="A229">
        <v>1120</v>
      </c>
      <c r="B229">
        <v>1581.06</v>
      </c>
      <c r="C229">
        <v>1580.91</v>
      </c>
      <c r="D229">
        <v>1580.76</v>
      </c>
      <c r="E229">
        <v>1580.61</v>
      </c>
      <c r="F229">
        <v>1580.46</v>
      </c>
      <c r="G229">
        <v>1580.31</v>
      </c>
      <c r="H229">
        <v>1580.16</v>
      </c>
      <c r="I229">
        <v>1580.01</v>
      </c>
      <c r="J229">
        <v>1579.86</v>
      </c>
      <c r="K229">
        <v>1579.71</v>
      </c>
      <c r="L229">
        <v>1579.55</v>
      </c>
    </row>
    <row r="230" spans="1:12" x14ac:dyDescent="0.15">
      <c r="A230">
        <v>1125</v>
      </c>
      <c r="B230">
        <v>1581.14</v>
      </c>
      <c r="C230">
        <v>1580.99</v>
      </c>
      <c r="D230">
        <v>1580.84</v>
      </c>
      <c r="E230">
        <v>1580.69</v>
      </c>
      <c r="F230">
        <v>1580.54</v>
      </c>
      <c r="G230">
        <v>1580.39</v>
      </c>
      <c r="H230">
        <v>1580.23</v>
      </c>
      <c r="I230">
        <v>1580.08</v>
      </c>
      <c r="J230">
        <v>1579.93</v>
      </c>
      <c r="K230">
        <v>1579.78</v>
      </c>
      <c r="L230">
        <v>1579.63</v>
      </c>
    </row>
    <row r="231" spans="1:12" x14ac:dyDescent="0.15">
      <c r="A231">
        <v>1130</v>
      </c>
      <c r="B231">
        <v>1581.21</v>
      </c>
      <c r="C231">
        <v>1581.06</v>
      </c>
      <c r="D231">
        <v>1580.91</v>
      </c>
      <c r="E231">
        <v>1580.76</v>
      </c>
      <c r="F231">
        <v>1580.61</v>
      </c>
      <c r="G231">
        <v>1580.46</v>
      </c>
      <c r="H231">
        <v>1580.31</v>
      </c>
      <c r="I231">
        <v>1580.16</v>
      </c>
      <c r="J231">
        <v>1580.01</v>
      </c>
      <c r="K231">
        <v>1579.86</v>
      </c>
      <c r="L231">
        <v>1579.71</v>
      </c>
    </row>
    <row r="232" spans="1:12" x14ac:dyDescent="0.15">
      <c r="A232">
        <v>1135</v>
      </c>
      <c r="B232">
        <v>1581.29</v>
      </c>
      <c r="C232">
        <v>1581.14</v>
      </c>
      <c r="D232">
        <v>1580.99</v>
      </c>
      <c r="E232">
        <v>1580.84</v>
      </c>
      <c r="F232">
        <v>1580.69</v>
      </c>
      <c r="G232">
        <v>1580.54</v>
      </c>
      <c r="H232">
        <v>1580.39</v>
      </c>
      <c r="I232">
        <v>1580.24</v>
      </c>
      <c r="J232">
        <v>1580.09</v>
      </c>
      <c r="K232">
        <v>1579.93</v>
      </c>
      <c r="L232">
        <v>1579.78</v>
      </c>
    </row>
    <row r="233" spans="1:12" x14ac:dyDescent="0.15">
      <c r="A233">
        <v>1140</v>
      </c>
      <c r="B233">
        <v>1581.37</v>
      </c>
      <c r="C233">
        <v>1581.22</v>
      </c>
      <c r="D233">
        <v>1581.07</v>
      </c>
      <c r="E233">
        <v>1580.92</v>
      </c>
      <c r="F233">
        <v>1580.76</v>
      </c>
      <c r="G233">
        <v>1580.61</v>
      </c>
      <c r="H233">
        <v>1580.46</v>
      </c>
      <c r="I233">
        <v>1580.31</v>
      </c>
      <c r="J233">
        <v>1580.16</v>
      </c>
      <c r="K233">
        <v>1580.01</v>
      </c>
      <c r="L233">
        <v>1579.86</v>
      </c>
    </row>
    <row r="234" spans="1:12" x14ac:dyDescent="0.15">
      <c r="A234">
        <v>1145</v>
      </c>
      <c r="B234">
        <v>1581.44</v>
      </c>
      <c r="C234">
        <v>1581.29</v>
      </c>
      <c r="D234">
        <v>1581.14</v>
      </c>
      <c r="E234">
        <v>1580.99</v>
      </c>
      <c r="F234">
        <v>1580.84</v>
      </c>
      <c r="G234">
        <v>1580.69</v>
      </c>
      <c r="H234">
        <v>1580.54</v>
      </c>
      <c r="I234">
        <v>1580.39</v>
      </c>
      <c r="J234">
        <v>1580.24</v>
      </c>
      <c r="K234">
        <v>1580.09</v>
      </c>
      <c r="L234">
        <v>1579.94</v>
      </c>
    </row>
    <row r="235" spans="1:12" x14ac:dyDescent="0.15">
      <c r="A235">
        <v>1150</v>
      </c>
      <c r="B235">
        <v>1581.52</v>
      </c>
      <c r="C235">
        <v>1581.37</v>
      </c>
      <c r="D235">
        <v>1581.22</v>
      </c>
      <c r="E235">
        <v>1581.07</v>
      </c>
      <c r="F235">
        <v>1580.92</v>
      </c>
      <c r="G235">
        <v>1580.77</v>
      </c>
      <c r="H235">
        <v>1580.62</v>
      </c>
      <c r="I235">
        <v>1580.46</v>
      </c>
      <c r="J235">
        <v>1580.31</v>
      </c>
      <c r="K235">
        <v>1580.16</v>
      </c>
      <c r="L235">
        <v>1580.01</v>
      </c>
    </row>
    <row r="236" spans="1:12" x14ac:dyDescent="0.15">
      <c r="A236">
        <v>1155</v>
      </c>
      <c r="B236">
        <v>1581.6</v>
      </c>
      <c r="C236">
        <v>1581.45</v>
      </c>
      <c r="D236">
        <v>1581.29</v>
      </c>
      <c r="E236">
        <v>1581.14</v>
      </c>
      <c r="F236">
        <v>1580.99</v>
      </c>
      <c r="G236">
        <v>1580.84</v>
      </c>
      <c r="H236">
        <v>1580.69</v>
      </c>
      <c r="I236">
        <v>1580.54</v>
      </c>
      <c r="J236">
        <v>1580.39</v>
      </c>
      <c r="K236">
        <v>1580.24</v>
      </c>
      <c r="L236">
        <v>1580.09</v>
      </c>
    </row>
    <row r="237" spans="1:12" x14ac:dyDescent="0.15">
      <c r="A237">
        <v>1160</v>
      </c>
      <c r="B237">
        <v>1581.67</v>
      </c>
      <c r="C237">
        <v>1581.52</v>
      </c>
      <c r="D237">
        <v>1581.37</v>
      </c>
      <c r="E237">
        <v>1581.22</v>
      </c>
      <c r="F237">
        <v>1581.07</v>
      </c>
      <c r="G237">
        <v>1580.92</v>
      </c>
      <c r="H237">
        <v>1580.77</v>
      </c>
      <c r="I237">
        <v>1580.62</v>
      </c>
      <c r="J237">
        <v>1580.47</v>
      </c>
      <c r="K237">
        <v>1580.32</v>
      </c>
      <c r="L237">
        <v>1580.17</v>
      </c>
    </row>
    <row r="238" spans="1:12" x14ac:dyDescent="0.15">
      <c r="A238">
        <v>1165</v>
      </c>
      <c r="B238">
        <v>1581.75</v>
      </c>
      <c r="C238">
        <v>1581.6</v>
      </c>
      <c r="D238">
        <v>1581.45</v>
      </c>
      <c r="E238">
        <v>1581.3</v>
      </c>
      <c r="F238">
        <v>1581.15</v>
      </c>
      <c r="G238">
        <v>1581</v>
      </c>
      <c r="H238">
        <v>1580.84</v>
      </c>
      <c r="I238">
        <v>1580.69</v>
      </c>
      <c r="J238">
        <v>1580.54</v>
      </c>
      <c r="K238">
        <v>1580.39</v>
      </c>
      <c r="L238">
        <v>1580.24</v>
      </c>
    </row>
    <row r="239" spans="1:12" x14ac:dyDescent="0.15">
      <c r="A239">
        <v>1170</v>
      </c>
      <c r="B239">
        <v>1581.82</v>
      </c>
      <c r="C239">
        <v>1581.67</v>
      </c>
      <c r="D239">
        <v>1581.52</v>
      </c>
      <c r="E239">
        <v>1581.37</v>
      </c>
      <c r="F239">
        <v>1581.22</v>
      </c>
      <c r="G239">
        <v>1581.07</v>
      </c>
      <c r="H239">
        <v>1580.92</v>
      </c>
      <c r="I239">
        <v>1580.77</v>
      </c>
      <c r="J239">
        <v>1580.62</v>
      </c>
      <c r="K239">
        <v>1580.47</v>
      </c>
      <c r="L239">
        <v>1580.32</v>
      </c>
    </row>
    <row r="240" spans="1:12" x14ac:dyDescent="0.15">
      <c r="A240">
        <v>1175</v>
      </c>
      <c r="B240">
        <v>1581.9</v>
      </c>
      <c r="C240">
        <v>1581.75</v>
      </c>
      <c r="D240">
        <v>1581.6</v>
      </c>
      <c r="E240">
        <v>1581.45</v>
      </c>
      <c r="F240">
        <v>1581.3</v>
      </c>
      <c r="G240">
        <v>1581.15</v>
      </c>
      <c r="H240">
        <v>1581</v>
      </c>
      <c r="I240">
        <v>1580.85</v>
      </c>
      <c r="J240">
        <v>1580.7</v>
      </c>
      <c r="K240">
        <v>1580.54</v>
      </c>
      <c r="L240">
        <v>1580.39</v>
      </c>
    </row>
    <row r="241" spans="1:12" x14ac:dyDescent="0.15">
      <c r="A241">
        <v>1180</v>
      </c>
      <c r="B241">
        <v>1581.98</v>
      </c>
      <c r="C241">
        <v>1581.83</v>
      </c>
      <c r="D241">
        <v>1581.68</v>
      </c>
      <c r="E241">
        <v>1581.53</v>
      </c>
      <c r="F241">
        <v>1581.37</v>
      </c>
      <c r="G241">
        <v>1581.22</v>
      </c>
      <c r="H241">
        <v>1581.07</v>
      </c>
      <c r="I241">
        <v>1580.92</v>
      </c>
      <c r="J241">
        <v>1580.77</v>
      </c>
      <c r="K241">
        <v>1580.62</v>
      </c>
      <c r="L241">
        <v>1580.47</v>
      </c>
    </row>
    <row r="242" spans="1:12" x14ac:dyDescent="0.15">
      <c r="A242">
        <v>1185</v>
      </c>
      <c r="B242">
        <v>1582.05</v>
      </c>
      <c r="C242">
        <v>1581.9</v>
      </c>
      <c r="D242">
        <v>1581.75</v>
      </c>
      <c r="E242">
        <v>1581.6</v>
      </c>
      <c r="F242">
        <v>1581.45</v>
      </c>
      <c r="G242">
        <v>1581.3</v>
      </c>
      <c r="H242">
        <v>1581.15</v>
      </c>
      <c r="I242">
        <v>1581</v>
      </c>
      <c r="J242">
        <v>1580.85</v>
      </c>
      <c r="K242">
        <v>1580.7</v>
      </c>
      <c r="L242">
        <v>1580.55</v>
      </c>
    </row>
    <row r="243" spans="1:12" x14ac:dyDescent="0.15">
      <c r="A243">
        <v>1190</v>
      </c>
      <c r="B243">
        <v>1582.13</v>
      </c>
      <c r="C243">
        <v>1581.98</v>
      </c>
      <c r="D243">
        <v>1581.83</v>
      </c>
      <c r="E243">
        <v>1581.68</v>
      </c>
      <c r="F243">
        <v>1581.53</v>
      </c>
      <c r="G243">
        <v>1581.38</v>
      </c>
      <c r="H243">
        <v>1581.23</v>
      </c>
      <c r="I243">
        <v>1581.08</v>
      </c>
      <c r="J243">
        <v>1580.92</v>
      </c>
      <c r="K243">
        <v>1580.77</v>
      </c>
      <c r="L243">
        <v>1580.62</v>
      </c>
    </row>
    <row r="244" spans="1:12" x14ac:dyDescent="0.15">
      <c r="A244">
        <v>1195</v>
      </c>
      <c r="B244">
        <v>1582.21</v>
      </c>
      <c r="C244">
        <v>1582.06</v>
      </c>
      <c r="D244">
        <v>1581.91</v>
      </c>
      <c r="E244">
        <v>1581.75</v>
      </c>
      <c r="F244">
        <v>1581.6</v>
      </c>
      <c r="G244">
        <v>1581.45</v>
      </c>
      <c r="H244">
        <v>1581.3</v>
      </c>
      <c r="I244">
        <v>1581.15</v>
      </c>
      <c r="J244">
        <v>1581</v>
      </c>
      <c r="K244">
        <v>1580.85</v>
      </c>
      <c r="L244">
        <v>1580.7</v>
      </c>
    </row>
    <row r="245" spans="1:12" x14ac:dyDescent="0.15">
      <c r="A245">
        <v>1200</v>
      </c>
      <c r="B245">
        <v>1582.28</v>
      </c>
      <c r="C245">
        <v>1582.13</v>
      </c>
      <c r="D245">
        <v>1581.98</v>
      </c>
      <c r="E245">
        <v>1581.83</v>
      </c>
      <c r="F245">
        <v>1581.68</v>
      </c>
      <c r="G245">
        <v>1581.53</v>
      </c>
      <c r="H245">
        <v>1581.38</v>
      </c>
      <c r="I245">
        <v>1581.23</v>
      </c>
      <c r="J245">
        <v>1581.08</v>
      </c>
      <c r="K245">
        <v>1580.93</v>
      </c>
      <c r="L245">
        <v>1580.78</v>
      </c>
    </row>
    <row r="246" spans="1:12" x14ac:dyDescent="0.15">
      <c r="A246">
        <v>1205</v>
      </c>
      <c r="B246">
        <v>1582.36</v>
      </c>
      <c r="C246">
        <v>1582.21</v>
      </c>
      <c r="D246">
        <v>1582.06</v>
      </c>
      <c r="E246">
        <v>1581.91</v>
      </c>
      <c r="F246">
        <v>1581.76</v>
      </c>
      <c r="G246">
        <v>1581.61</v>
      </c>
      <c r="H246">
        <v>1581.46</v>
      </c>
      <c r="I246">
        <v>1581.3</v>
      </c>
      <c r="J246">
        <v>1581.15</v>
      </c>
      <c r="K246">
        <v>1581</v>
      </c>
      <c r="L246">
        <v>1580.85</v>
      </c>
    </row>
    <row r="247" spans="1:12" x14ac:dyDescent="0.15">
      <c r="A247">
        <v>1210</v>
      </c>
      <c r="B247">
        <v>1582.44</v>
      </c>
      <c r="C247">
        <v>1582.28</v>
      </c>
      <c r="D247">
        <v>1582.13</v>
      </c>
      <c r="E247">
        <v>1581.98</v>
      </c>
      <c r="F247">
        <v>1581.83</v>
      </c>
      <c r="G247">
        <v>1581.68</v>
      </c>
      <c r="H247">
        <v>1581.53</v>
      </c>
      <c r="I247">
        <v>1581.38</v>
      </c>
      <c r="J247">
        <v>1581.23</v>
      </c>
      <c r="K247">
        <v>1581.08</v>
      </c>
      <c r="L247">
        <v>1580.93</v>
      </c>
    </row>
    <row r="248" spans="1:12" x14ac:dyDescent="0.15">
      <c r="A248">
        <v>1215</v>
      </c>
      <c r="B248">
        <v>1582.51</v>
      </c>
      <c r="C248">
        <v>1582.36</v>
      </c>
      <c r="D248">
        <v>1582.21</v>
      </c>
      <c r="E248">
        <v>1582.06</v>
      </c>
      <c r="F248">
        <v>1581.91</v>
      </c>
      <c r="G248">
        <v>1581.76</v>
      </c>
      <c r="H248">
        <v>1581.61</v>
      </c>
      <c r="I248">
        <v>1581.46</v>
      </c>
      <c r="J248">
        <v>1581.31</v>
      </c>
      <c r="K248">
        <v>1581.16</v>
      </c>
      <c r="L248">
        <v>1581</v>
      </c>
    </row>
    <row r="249" spans="1:12" x14ac:dyDescent="0.15">
      <c r="A249">
        <v>1220</v>
      </c>
      <c r="B249">
        <v>1582.59</v>
      </c>
      <c r="C249">
        <v>1582.44</v>
      </c>
      <c r="D249">
        <v>1582.29</v>
      </c>
      <c r="E249">
        <v>1582.14</v>
      </c>
      <c r="F249">
        <v>1581.99</v>
      </c>
      <c r="G249">
        <v>1581.83</v>
      </c>
      <c r="H249">
        <v>1581.68</v>
      </c>
      <c r="I249">
        <v>1581.53</v>
      </c>
      <c r="J249">
        <v>1581.38</v>
      </c>
      <c r="K249">
        <v>1581.23</v>
      </c>
      <c r="L249">
        <v>1581.08</v>
      </c>
    </row>
    <row r="250" spans="1:12" x14ac:dyDescent="0.15">
      <c r="A250">
        <v>1225</v>
      </c>
      <c r="B250">
        <v>1582.66</v>
      </c>
      <c r="C250">
        <v>1582.51</v>
      </c>
      <c r="D250">
        <v>1582.36</v>
      </c>
      <c r="E250">
        <v>1582.21</v>
      </c>
      <c r="F250">
        <v>1582.06</v>
      </c>
      <c r="G250">
        <v>1581.91</v>
      </c>
      <c r="H250">
        <v>1581.76</v>
      </c>
      <c r="I250">
        <v>1581.61</v>
      </c>
      <c r="J250">
        <v>1581.46</v>
      </c>
      <c r="K250">
        <v>1581.31</v>
      </c>
      <c r="L250">
        <v>1581.16</v>
      </c>
    </row>
    <row r="251" spans="1:12" x14ac:dyDescent="0.15">
      <c r="A251">
        <v>1230</v>
      </c>
      <c r="B251">
        <v>1582.74</v>
      </c>
      <c r="C251">
        <v>1582.59</v>
      </c>
      <c r="D251">
        <v>1582.44</v>
      </c>
      <c r="E251">
        <v>1582.29</v>
      </c>
      <c r="F251">
        <v>1582.14</v>
      </c>
      <c r="G251">
        <v>1581.99</v>
      </c>
      <c r="H251">
        <v>1581.84</v>
      </c>
      <c r="I251">
        <v>1581.69</v>
      </c>
      <c r="J251">
        <v>1581.53</v>
      </c>
      <c r="K251">
        <v>1581.38</v>
      </c>
      <c r="L251">
        <v>1581.23</v>
      </c>
    </row>
    <row r="252" spans="1:12" x14ac:dyDescent="0.15">
      <c r="A252">
        <v>1235</v>
      </c>
      <c r="B252">
        <v>1582.82</v>
      </c>
      <c r="C252">
        <v>1582.67</v>
      </c>
      <c r="D252">
        <v>1582.52</v>
      </c>
      <c r="E252">
        <v>1582.36</v>
      </c>
      <c r="F252">
        <v>1582.21</v>
      </c>
      <c r="G252">
        <v>1582.06</v>
      </c>
      <c r="H252">
        <v>1581.91</v>
      </c>
      <c r="I252">
        <v>1581.76</v>
      </c>
      <c r="J252">
        <v>1581.61</v>
      </c>
      <c r="K252">
        <v>1581.46</v>
      </c>
      <c r="L252">
        <v>1581.31</v>
      </c>
    </row>
    <row r="253" spans="1:12" x14ac:dyDescent="0.15">
      <c r="A253">
        <v>1240</v>
      </c>
      <c r="B253">
        <v>1582.89</v>
      </c>
      <c r="C253">
        <v>1582.74</v>
      </c>
      <c r="D253">
        <v>1582.59</v>
      </c>
      <c r="E253">
        <v>1582.44</v>
      </c>
      <c r="F253">
        <v>1582.29</v>
      </c>
      <c r="G253">
        <v>1582.14</v>
      </c>
      <c r="H253">
        <v>1581.99</v>
      </c>
      <c r="I253">
        <v>1581.84</v>
      </c>
      <c r="J253">
        <v>1581.69</v>
      </c>
      <c r="K253">
        <v>1581.54</v>
      </c>
      <c r="L253">
        <v>1581.39</v>
      </c>
    </row>
    <row r="254" spans="1:12" x14ac:dyDescent="0.15">
      <c r="A254">
        <v>1245</v>
      </c>
      <c r="B254">
        <v>1582.97</v>
      </c>
      <c r="C254">
        <v>1582.82</v>
      </c>
      <c r="D254">
        <v>1582.67</v>
      </c>
      <c r="E254">
        <v>1582.52</v>
      </c>
      <c r="F254">
        <v>1582.37</v>
      </c>
      <c r="G254">
        <v>1582.22</v>
      </c>
      <c r="H254">
        <v>1582.07</v>
      </c>
      <c r="I254">
        <v>1581.91</v>
      </c>
      <c r="J254">
        <v>1581.76</v>
      </c>
      <c r="K254">
        <v>1581.61</v>
      </c>
      <c r="L254">
        <v>1581.46</v>
      </c>
    </row>
    <row r="255" spans="1:12" x14ac:dyDescent="0.15">
      <c r="A255">
        <v>1250</v>
      </c>
      <c r="B255">
        <v>1583.05</v>
      </c>
      <c r="C255">
        <v>1582.89</v>
      </c>
      <c r="D255">
        <v>1582.74</v>
      </c>
      <c r="E255">
        <v>1582.59</v>
      </c>
      <c r="F255">
        <v>1582.44</v>
      </c>
      <c r="G255">
        <v>1582.29</v>
      </c>
      <c r="H255">
        <v>1582.14</v>
      </c>
      <c r="I255">
        <v>1581.99</v>
      </c>
      <c r="J255">
        <v>1581.84</v>
      </c>
      <c r="K255">
        <v>1581.69</v>
      </c>
      <c r="L255">
        <v>1581.54</v>
      </c>
    </row>
    <row r="256" spans="1:12" x14ac:dyDescent="0.15">
      <c r="A256">
        <v>1255</v>
      </c>
      <c r="B256">
        <v>1583.12</v>
      </c>
      <c r="C256">
        <v>1582.97</v>
      </c>
      <c r="D256">
        <v>1582.82</v>
      </c>
      <c r="E256">
        <v>1582.67</v>
      </c>
      <c r="F256">
        <v>1582.52</v>
      </c>
      <c r="G256">
        <v>1582.37</v>
      </c>
      <c r="H256">
        <v>1582.22</v>
      </c>
      <c r="I256">
        <v>1582.07</v>
      </c>
      <c r="J256">
        <v>1581.92</v>
      </c>
      <c r="K256">
        <v>1581.77</v>
      </c>
      <c r="L256">
        <v>1581.61</v>
      </c>
    </row>
    <row r="257" spans="1:12" x14ac:dyDescent="0.15">
      <c r="A257">
        <v>1260</v>
      </c>
      <c r="B257">
        <v>1583.2</v>
      </c>
      <c r="C257">
        <v>1583.05</v>
      </c>
      <c r="D257">
        <v>1582.9</v>
      </c>
      <c r="E257">
        <v>1582.75</v>
      </c>
      <c r="F257">
        <v>1582.6</v>
      </c>
      <c r="G257">
        <v>1582.44</v>
      </c>
      <c r="H257">
        <v>1582.29</v>
      </c>
      <c r="I257">
        <v>1582.14</v>
      </c>
      <c r="J257">
        <v>1581.99</v>
      </c>
      <c r="K257">
        <v>1581.84</v>
      </c>
      <c r="L257">
        <v>1581.69</v>
      </c>
    </row>
    <row r="258" spans="1:12" x14ac:dyDescent="0.15">
      <c r="A258">
        <v>1265</v>
      </c>
      <c r="B258">
        <v>1583.27</v>
      </c>
      <c r="C258">
        <v>1583.12</v>
      </c>
      <c r="D258">
        <v>1582.97</v>
      </c>
      <c r="E258">
        <v>1582.82</v>
      </c>
      <c r="F258">
        <v>1582.67</v>
      </c>
      <c r="G258">
        <v>1582.52</v>
      </c>
      <c r="H258">
        <v>1582.37</v>
      </c>
      <c r="I258">
        <v>1582.22</v>
      </c>
      <c r="J258">
        <v>1582.07</v>
      </c>
      <c r="K258">
        <v>1581.92</v>
      </c>
      <c r="L258">
        <v>1581.77</v>
      </c>
    </row>
    <row r="259" spans="1:12" x14ac:dyDescent="0.15">
      <c r="A259">
        <v>1270</v>
      </c>
      <c r="B259">
        <v>1583.35</v>
      </c>
      <c r="C259">
        <v>1583.2</v>
      </c>
      <c r="D259">
        <v>1583.05</v>
      </c>
      <c r="E259">
        <v>1582.9</v>
      </c>
      <c r="F259">
        <v>1582.75</v>
      </c>
      <c r="G259">
        <v>1582.6</v>
      </c>
      <c r="H259">
        <v>1582.45</v>
      </c>
      <c r="I259">
        <v>1582.3</v>
      </c>
      <c r="J259">
        <v>1582.15</v>
      </c>
      <c r="K259">
        <v>1581.99</v>
      </c>
      <c r="L259">
        <v>1581.84</v>
      </c>
    </row>
    <row r="260" spans="1:12" x14ac:dyDescent="0.15">
      <c r="A260">
        <v>1275</v>
      </c>
      <c r="B260">
        <v>1583.43</v>
      </c>
      <c r="C260">
        <v>1583.28</v>
      </c>
      <c r="D260">
        <v>1583.13</v>
      </c>
      <c r="E260">
        <v>1582.98</v>
      </c>
      <c r="F260">
        <v>1582.82</v>
      </c>
      <c r="G260">
        <v>1582.67</v>
      </c>
      <c r="H260">
        <v>1582.52</v>
      </c>
      <c r="I260">
        <v>1582.37</v>
      </c>
      <c r="J260">
        <v>1582.22</v>
      </c>
      <c r="K260">
        <v>1582.07</v>
      </c>
      <c r="L260">
        <v>1581.92</v>
      </c>
    </row>
    <row r="261" spans="1:12" x14ac:dyDescent="0.15">
      <c r="A261">
        <v>1280</v>
      </c>
      <c r="B261">
        <v>1583.5</v>
      </c>
      <c r="C261">
        <v>1583.35</v>
      </c>
      <c r="D261">
        <v>1583.2</v>
      </c>
      <c r="E261">
        <v>1583.05</v>
      </c>
      <c r="F261">
        <v>1582.9</v>
      </c>
      <c r="G261">
        <v>1582.75</v>
      </c>
      <c r="H261">
        <v>1582.6</v>
      </c>
      <c r="I261">
        <v>1582.45</v>
      </c>
      <c r="J261">
        <v>1582.3</v>
      </c>
      <c r="K261">
        <v>1582.15</v>
      </c>
      <c r="L261">
        <v>1582</v>
      </c>
    </row>
    <row r="262" spans="1:12" x14ac:dyDescent="0.15">
      <c r="A262">
        <v>1285</v>
      </c>
      <c r="B262">
        <v>1583.58</v>
      </c>
      <c r="C262">
        <v>1583.43</v>
      </c>
      <c r="D262">
        <v>1583.28</v>
      </c>
      <c r="E262">
        <v>1583.13</v>
      </c>
      <c r="F262">
        <v>1582.98</v>
      </c>
      <c r="G262">
        <v>1582.83</v>
      </c>
      <c r="H262">
        <v>1582.68</v>
      </c>
      <c r="I262">
        <v>1582.52</v>
      </c>
      <c r="J262">
        <v>1582.37</v>
      </c>
      <c r="K262">
        <v>1582.22</v>
      </c>
      <c r="L262">
        <v>1582.07</v>
      </c>
    </row>
    <row r="263" spans="1:12" x14ac:dyDescent="0.15">
      <c r="A263">
        <v>1290</v>
      </c>
      <c r="B263">
        <v>1583.66</v>
      </c>
      <c r="C263">
        <v>1583.51</v>
      </c>
      <c r="D263">
        <v>1583.35</v>
      </c>
      <c r="E263">
        <v>1583.2</v>
      </c>
      <c r="F263">
        <v>1583.05</v>
      </c>
      <c r="G263">
        <v>1582.9</v>
      </c>
      <c r="H263">
        <v>1582.75</v>
      </c>
      <c r="I263">
        <v>1582.6</v>
      </c>
      <c r="J263">
        <v>1582.45</v>
      </c>
      <c r="K263">
        <v>1582.3</v>
      </c>
      <c r="L263">
        <v>1582.15</v>
      </c>
    </row>
    <row r="264" spans="1:12" x14ac:dyDescent="0.15">
      <c r="A264">
        <v>1295</v>
      </c>
      <c r="B264">
        <v>1583.73</v>
      </c>
      <c r="C264">
        <v>1583.58</v>
      </c>
      <c r="D264">
        <v>1583.43</v>
      </c>
      <c r="E264">
        <v>1583.28</v>
      </c>
      <c r="F264">
        <v>1583.13</v>
      </c>
      <c r="G264">
        <v>1582.98</v>
      </c>
      <c r="H264">
        <v>1582.83</v>
      </c>
      <c r="I264">
        <v>1582.68</v>
      </c>
      <c r="J264">
        <v>1582.53</v>
      </c>
      <c r="K264">
        <v>1582.38</v>
      </c>
      <c r="L264">
        <v>1582.23</v>
      </c>
    </row>
    <row r="265" spans="1:12" x14ac:dyDescent="0.15">
      <c r="A265">
        <v>1300</v>
      </c>
      <c r="B265">
        <v>1583.81</v>
      </c>
      <c r="C265">
        <v>1583.66</v>
      </c>
      <c r="D265">
        <v>1583.51</v>
      </c>
      <c r="E265">
        <v>1583.36</v>
      </c>
      <c r="F265">
        <v>1583.21</v>
      </c>
      <c r="G265">
        <v>1583.06</v>
      </c>
      <c r="H265">
        <v>1582.9</v>
      </c>
      <c r="I265">
        <v>1582.75</v>
      </c>
      <c r="J265">
        <v>1582.6</v>
      </c>
      <c r="K265">
        <v>1582.45</v>
      </c>
      <c r="L265">
        <v>1582.3</v>
      </c>
    </row>
    <row r="266" spans="1:12" x14ac:dyDescent="0.15">
      <c r="A266">
        <v>1305</v>
      </c>
      <c r="B266">
        <v>1583.88</v>
      </c>
      <c r="C266">
        <v>1583.73</v>
      </c>
      <c r="D266">
        <v>1583.58</v>
      </c>
      <c r="E266">
        <v>1583.43</v>
      </c>
      <c r="F266">
        <v>1583.28</v>
      </c>
      <c r="G266">
        <v>1583.13</v>
      </c>
      <c r="H266">
        <v>1582.98</v>
      </c>
      <c r="I266">
        <v>1582.83</v>
      </c>
      <c r="J266">
        <v>1582.68</v>
      </c>
      <c r="K266">
        <v>1582.53</v>
      </c>
      <c r="L266">
        <v>1582.38</v>
      </c>
    </row>
    <row r="267" spans="1:12" x14ac:dyDescent="0.15">
      <c r="A267">
        <v>1310</v>
      </c>
      <c r="B267">
        <v>1583.96</v>
      </c>
      <c r="C267">
        <v>1583.81</v>
      </c>
      <c r="D267">
        <v>1583.66</v>
      </c>
      <c r="E267">
        <v>1583.51</v>
      </c>
      <c r="F267">
        <v>1583.36</v>
      </c>
      <c r="G267">
        <v>1583.21</v>
      </c>
      <c r="H267">
        <v>1583.06</v>
      </c>
      <c r="I267">
        <v>1582.91</v>
      </c>
      <c r="J267">
        <v>1582.76</v>
      </c>
      <c r="K267">
        <v>1582.6</v>
      </c>
      <c r="L267">
        <v>1582.45</v>
      </c>
    </row>
    <row r="268" spans="1:12" x14ac:dyDescent="0.15">
      <c r="A268">
        <v>1315</v>
      </c>
      <c r="B268">
        <v>1584.04</v>
      </c>
      <c r="C268">
        <v>1583.89</v>
      </c>
      <c r="D268">
        <v>1583.74</v>
      </c>
      <c r="E268">
        <v>1583.59</v>
      </c>
      <c r="F268">
        <v>1583.43</v>
      </c>
      <c r="G268">
        <v>1583.28</v>
      </c>
      <c r="H268">
        <v>1583.13</v>
      </c>
      <c r="I268">
        <v>1582.98</v>
      </c>
      <c r="J268">
        <v>1582.83</v>
      </c>
      <c r="K268">
        <v>1582.68</v>
      </c>
      <c r="L268">
        <v>1582.53</v>
      </c>
    </row>
    <row r="269" spans="1:12" x14ac:dyDescent="0.15">
      <c r="A269">
        <v>1320</v>
      </c>
      <c r="B269">
        <v>1584.11</v>
      </c>
      <c r="C269">
        <v>1583.96</v>
      </c>
      <c r="D269">
        <v>1583.81</v>
      </c>
      <c r="E269">
        <v>1583.66</v>
      </c>
      <c r="F269">
        <v>1583.51</v>
      </c>
      <c r="G269">
        <v>1583.36</v>
      </c>
      <c r="H269">
        <v>1583.21</v>
      </c>
      <c r="I269">
        <v>1583.06</v>
      </c>
      <c r="J269">
        <v>1582.91</v>
      </c>
      <c r="K269">
        <v>1582.76</v>
      </c>
      <c r="L269">
        <v>1582.61</v>
      </c>
    </row>
    <row r="270" spans="1:12" x14ac:dyDescent="0.15">
      <c r="A270">
        <v>1325</v>
      </c>
      <c r="B270">
        <v>1584.19</v>
      </c>
      <c r="C270">
        <v>1584.04</v>
      </c>
      <c r="D270">
        <v>1583.89</v>
      </c>
      <c r="E270">
        <v>1583.74</v>
      </c>
      <c r="F270">
        <v>1583.59</v>
      </c>
      <c r="G270">
        <v>1583.44</v>
      </c>
      <c r="H270">
        <v>1583.29</v>
      </c>
      <c r="I270">
        <v>1583.14</v>
      </c>
      <c r="J270">
        <v>1582.98</v>
      </c>
      <c r="K270">
        <v>1582.83</v>
      </c>
      <c r="L270">
        <v>1582.68</v>
      </c>
    </row>
    <row r="271" spans="1:12" x14ac:dyDescent="0.15">
      <c r="A271">
        <v>1330</v>
      </c>
      <c r="B271">
        <v>1584.27</v>
      </c>
      <c r="C271">
        <v>1584.12</v>
      </c>
      <c r="D271">
        <v>1583.96</v>
      </c>
      <c r="E271">
        <v>1583.81</v>
      </c>
      <c r="F271">
        <v>1583.66</v>
      </c>
      <c r="G271">
        <v>1583.51</v>
      </c>
      <c r="H271">
        <v>1583.36</v>
      </c>
      <c r="I271">
        <v>1583.21</v>
      </c>
      <c r="J271">
        <v>1583.06</v>
      </c>
      <c r="K271">
        <v>1582.91</v>
      </c>
      <c r="L271">
        <v>1582.76</v>
      </c>
    </row>
    <row r="272" spans="1:12" x14ac:dyDescent="0.15">
      <c r="A272">
        <v>1335</v>
      </c>
      <c r="B272">
        <v>1584.34</v>
      </c>
      <c r="C272">
        <v>1584.19</v>
      </c>
      <c r="D272">
        <v>1584.04</v>
      </c>
      <c r="E272">
        <v>1583.89</v>
      </c>
      <c r="F272">
        <v>1583.74</v>
      </c>
      <c r="G272">
        <v>1583.59</v>
      </c>
      <c r="H272">
        <v>1583.44</v>
      </c>
      <c r="I272">
        <v>1583.29</v>
      </c>
      <c r="J272">
        <v>1583.14</v>
      </c>
      <c r="K272">
        <v>1582.99</v>
      </c>
      <c r="L272">
        <v>1582.84</v>
      </c>
    </row>
    <row r="273" spans="1:12" x14ac:dyDescent="0.15">
      <c r="A273">
        <v>1340</v>
      </c>
      <c r="B273">
        <v>1584.42</v>
      </c>
      <c r="C273">
        <v>1584.27</v>
      </c>
      <c r="D273">
        <v>1584.12</v>
      </c>
      <c r="E273">
        <v>1583.97</v>
      </c>
      <c r="F273">
        <v>1583.82</v>
      </c>
      <c r="G273">
        <v>1583.67</v>
      </c>
      <c r="H273">
        <v>1583.52</v>
      </c>
      <c r="I273">
        <v>1583.36</v>
      </c>
      <c r="J273">
        <v>1583.21</v>
      </c>
      <c r="K273">
        <v>1583.06</v>
      </c>
      <c r="L273">
        <v>1582.91</v>
      </c>
    </row>
    <row r="274" spans="1:12" x14ac:dyDescent="0.15">
      <c r="A274">
        <v>1345</v>
      </c>
      <c r="B274">
        <v>1584.5</v>
      </c>
      <c r="C274">
        <v>1584.34</v>
      </c>
      <c r="D274">
        <v>1584.19</v>
      </c>
      <c r="E274">
        <v>1584.04</v>
      </c>
      <c r="F274">
        <v>1583.89</v>
      </c>
      <c r="G274">
        <v>1583.74</v>
      </c>
      <c r="H274">
        <v>1583.59</v>
      </c>
      <c r="I274">
        <v>1583.44</v>
      </c>
      <c r="J274">
        <v>1583.29</v>
      </c>
      <c r="K274">
        <v>1583.14</v>
      </c>
      <c r="L274">
        <v>1582.99</v>
      </c>
    </row>
    <row r="275" spans="1:12" x14ac:dyDescent="0.15">
      <c r="A275">
        <v>1350</v>
      </c>
      <c r="B275">
        <v>1584.57</v>
      </c>
      <c r="C275">
        <v>1584.42</v>
      </c>
      <c r="D275">
        <v>1584.27</v>
      </c>
      <c r="E275">
        <v>1584.12</v>
      </c>
      <c r="F275">
        <v>1583.97</v>
      </c>
      <c r="G275">
        <v>1583.82</v>
      </c>
      <c r="H275">
        <v>1583.67</v>
      </c>
      <c r="I275">
        <v>1583.52</v>
      </c>
      <c r="J275">
        <v>1583.37</v>
      </c>
      <c r="K275">
        <v>1583.22</v>
      </c>
      <c r="L275">
        <v>1583.06</v>
      </c>
    </row>
    <row r="276" spans="1:12" x14ac:dyDescent="0.15">
      <c r="A276">
        <v>1355</v>
      </c>
      <c r="B276">
        <v>1584.65</v>
      </c>
      <c r="C276">
        <v>1584.5</v>
      </c>
      <c r="D276">
        <v>1584.35</v>
      </c>
      <c r="E276">
        <v>1584.2</v>
      </c>
      <c r="F276">
        <v>1584.05</v>
      </c>
      <c r="G276">
        <v>1583.89</v>
      </c>
      <c r="H276">
        <v>1583.74</v>
      </c>
      <c r="I276">
        <v>1583.59</v>
      </c>
      <c r="J276">
        <v>1583.44</v>
      </c>
      <c r="K276">
        <v>1583.29</v>
      </c>
      <c r="L276">
        <v>1583.14</v>
      </c>
    </row>
    <row r="277" spans="1:12" x14ac:dyDescent="0.15">
      <c r="A277">
        <v>1360</v>
      </c>
      <c r="B277">
        <v>1584.72</v>
      </c>
      <c r="C277">
        <v>1584.57</v>
      </c>
      <c r="D277">
        <v>1584.42</v>
      </c>
      <c r="E277">
        <v>1584.27</v>
      </c>
      <c r="F277">
        <v>1584.12</v>
      </c>
      <c r="G277">
        <v>1583.97</v>
      </c>
      <c r="H277">
        <v>1583.82</v>
      </c>
      <c r="I277">
        <v>1583.67</v>
      </c>
      <c r="J277">
        <v>1583.52</v>
      </c>
      <c r="K277">
        <v>1583.37</v>
      </c>
      <c r="L277">
        <v>1583.22</v>
      </c>
    </row>
    <row r="278" spans="1:12" x14ac:dyDescent="0.15">
      <c r="A278">
        <v>1365</v>
      </c>
      <c r="B278">
        <v>1584.8</v>
      </c>
      <c r="C278">
        <v>1584.65</v>
      </c>
      <c r="D278">
        <v>1584.5</v>
      </c>
      <c r="E278">
        <v>1584.35</v>
      </c>
      <c r="F278">
        <v>1584.2</v>
      </c>
      <c r="G278">
        <v>1584.05</v>
      </c>
      <c r="H278">
        <v>1583.9</v>
      </c>
      <c r="I278">
        <v>1583.75</v>
      </c>
      <c r="J278">
        <v>1583.59</v>
      </c>
      <c r="K278">
        <v>1583.44</v>
      </c>
      <c r="L278">
        <v>1583.29</v>
      </c>
    </row>
    <row r="279" spans="1:12" x14ac:dyDescent="0.15">
      <c r="A279">
        <v>1370</v>
      </c>
      <c r="B279">
        <v>1584.88</v>
      </c>
      <c r="C279">
        <v>1584.73</v>
      </c>
      <c r="D279">
        <v>1584.58</v>
      </c>
      <c r="E279">
        <v>1584.42</v>
      </c>
      <c r="F279">
        <v>1584.27</v>
      </c>
      <c r="G279">
        <v>1584.12</v>
      </c>
      <c r="H279">
        <v>1583.97</v>
      </c>
      <c r="I279">
        <v>1583.82</v>
      </c>
      <c r="J279">
        <v>1583.67</v>
      </c>
      <c r="K279">
        <v>1583.52</v>
      </c>
      <c r="L279">
        <v>1583.37</v>
      </c>
    </row>
    <row r="280" spans="1:12" x14ac:dyDescent="0.15">
      <c r="A280">
        <v>1375</v>
      </c>
      <c r="B280">
        <v>1584.95</v>
      </c>
      <c r="C280">
        <v>1584.8</v>
      </c>
      <c r="D280">
        <v>1584.65</v>
      </c>
      <c r="E280">
        <v>1584.5</v>
      </c>
      <c r="F280">
        <v>1584.35</v>
      </c>
      <c r="G280">
        <v>1584.2</v>
      </c>
      <c r="H280">
        <v>1584.05</v>
      </c>
      <c r="I280">
        <v>1583.9</v>
      </c>
      <c r="J280">
        <v>1583.75</v>
      </c>
      <c r="K280">
        <v>1583.6</v>
      </c>
      <c r="L280">
        <v>1583.45</v>
      </c>
    </row>
    <row r="281" spans="1:12" x14ac:dyDescent="0.15">
      <c r="A281">
        <v>1380</v>
      </c>
      <c r="B281">
        <v>1585.03</v>
      </c>
      <c r="C281">
        <v>1584.88</v>
      </c>
      <c r="D281">
        <v>1584.73</v>
      </c>
      <c r="E281">
        <v>1584.58</v>
      </c>
      <c r="F281">
        <v>1584.43</v>
      </c>
      <c r="G281">
        <v>1584.28</v>
      </c>
      <c r="H281">
        <v>1584.13</v>
      </c>
      <c r="I281">
        <v>1583.97</v>
      </c>
      <c r="J281">
        <v>1583.82</v>
      </c>
      <c r="K281">
        <v>1583.67</v>
      </c>
      <c r="L281">
        <v>1583.52</v>
      </c>
    </row>
    <row r="282" spans="1:12" x14ac:dyDescent="0.15">
      <c r="A282">
        <v>1385</v>
      </c>
      <c r="B282">
        <v>1585.11</v>
      </c>
      <c r="C282">
        <v>1584.95</v>
      </c>
      <c r="D282">
        <v>1584.8</v>
      </c>
      <c r="E282">
        <v>1584.65</v>
      </c>
      <c r="F282">
        <v>1584.5</v>
      </c>
      <c r="G282">
        <v>1584.35</v>
      </c>
      <c r="H282">
        <v>1584.2</v>
      </c>
      <c r="I282">
        <v>1584.05</v>
      </c>
      <c r="J282">
        <v>1583.9</v>
      </c>
      <c r="K282">
        <v>1583.75</v>
      </c>
      <c r="L282">
        <v>1583.6</v>
      </c>
    </row>
    <row r="283" spans="1:12" x14ac:dyDescent="0.15">
      <c r="A283">
        <v>1390</v>
      </c>
      <c r="B283">
        <v>1585.18</v>
      </c>
      <c r="C283">
        <v>1585.03</v>
      </c>
      <c r="D283">
        <v>1584.88</v>
      </c>
      <c r="E283">
        <v>1584.73</v>
      </c>
      <c r="F283">
        <v>1584.58</v>
      </c>
      <c r="G283">
        <v>1584.43</v>
      </c>
      <c r="H283">
        <v>1584.28</v>
      </c>
      <c r="I283">
        <v>1584.13</v>
      </c>
      <c r="J283">
        <v>1583.98</v>
      </c>
      <c r="K283">
        <v>1583.83</v>
      </c>
      <c r="L283">
        <v>1583.67</v>
      </c>
    </row>
    <row r="284" spans="1:12" x14ac:dyDescent="0.15">
      <c r="A284">
        <v>1395</v>
      </c>
      <c r="B284">
        <v>1585.26</v>
      </c>
      <c r="C284">
        <v>1585.11</v>
      </c>
      <c r="D284">
        <v>1584.96</v>
      </c>
      <c r="E284">
        <v>1584.81</v>
      </c>
      <c r="F284">
        <v>1584.66</v>
      </c>
      <c r="G284">
        <v>1584.5</v>
      </c>
      <c r="H284">
        <v>1584.35</v>
      </c>
      <c r="I284">
        <v>1584.2</v>
      </c>
      <c r="J284">
        <v>1584.05</v>
      </c>
      <c r="K284">
        <v>1583.9</v>
      </c>
      <c r="L284">
        <v>1583.75</v>
      </c>
    </row>
    <row r="285" spans="1:12" x14ac:dyDescent="0.15">
      <c r="A285">
        <v>1400</v>
      </c>
      <c r="B285">
        <v>1585.33</v>
      </c>
      <c r="C285">
        <v>1585.18</v>
      </c>
      <c r="D285">
        <v>1585.03</v>
      </c>
      <c r="E285">
        <v>1584.88</v>
      </c>
      <c r="F285">
        <v>1584.73</v>
      </c>
      <c r="G285">
        <v>1584.58</v>
      </c>
      <c r="H285">
        <v>1584.43</v>
      </c>
      <c r="I285">
        <v>1584.28</v>
      </c>
      <c r="J285">
        <v>1584.13</v>
      </c>
      <c r="K285">
        <v>1583.98</v>
      </c>
      <c r="L285">
        <v>1583.83</v>
      </c>
    </row>
    <row r="286" spans="1:12" x14ac:dyDescent="0.15">
      <c r="A286">
        <v>1405</v>
      </c>
      <c r="B286">
        <v>1585.41</v>
      </c>
      <c r="C286">
        <v>1585.26</v>
      </c>
      <c r="D286">
        <v>1585.11</v>
      </c>
      <c r="E286">
        <v>1584.96</v>
      </c>
      <c r="F286">
        <v>1584.81</v>
      </c>
      <c r="G286">
        <v>1584.66</v>
      </c>
      <c r="H286">
        <v>1584.51</v>
      </c>
      <c r="I286">
        <v>1584.36</v>
      </c>
      <c r="J286">
        <v>1584.2</v>
      </c>
      <c r="K286">
        <v>1584.05</v>
      </c>
      <c r="L286">
        <v>1583.9</v>
      </c>
    </row>
    <row r="287" spans="1:12" x14ac:dyDescent="0.15">
      <c r="A287">
        <v>1410</v>
      </c>
      <c r="B287">
        <v>1585.49</v>
      </c>
      <c r="C287">
        <v>1585.34</v>
      </c>
      <c r="D287">
        <v>1585.19</v>
      </c>
      <c r="E287">
        <v>1585.03</v>
      </c>
      <c r="F287">
        <v>1584.88</v>
      </c>
      <c r="G287">
        <v>1584.73</v>
      </c>
      <c r="H287">
        <v>1584.58</v>
      </c>
      <c r="I287">
        <v>1584.43</v>
      </c>
      <c r="J287">
        <v>1584.28</v>
      </c>
      <c r="K287">
        <v>1584.13</v>
      </c>
      <c r="L287">
        <v>1583.98</v>
      </c>
    </row>
    <row r="288" spans="1:12" x14ac:dyDescent="0.15">
      <c r="A288">
        <v>1415</v>
      </c>
      <c r="B288">
        <v>1585.56</v>
      </c>
      <c r="C288">
        <v>1585.41</v>
      </c>
      <c r="D288">
        <v>1585.26</v>
      </c>
      <c r="E288">
        <v>1585.11</v>
      </c>
      <c r="F288">
        <v>1584.96</v>
      </c>
      <c r="G288">
        <v>1584.81</v>
      </c>
      <c r="H288">
        <v>1584.66</v>
      </c>
      <c r="I288">
        <v>1584.51</v>
      </c>
      <c r="J288">
        <v>1584.36</v>
      </c>
      <c r="K288">
        <v>1584.21</v>
      </c>
      <c r="L288">
        <v>1584.06</v>
      </c>
    </row>
    <row r="289" spans="1:12" x14ac:dyDescent="0.15">
      <c r="A289">
        <v>1420</v>
      </c>
      <c r="B289">
        <v>1585.64</v>
      </c>
      <c r="C289">
        <v>1585.49</v>
      </c>
      <c r="D289">
        <v>1585.34</v>
      </c>
      <c r="E289">
        <v>1585.19</v>
      </c>
      <c r="F289">
        <v>1585.04</v>
      </c>
      <c r="G289">
        <v>1584.89</v>
      </c>
      <c r="H289">
        <v>1584.74</v>
      </c>
      <c r="I289">
        <v>1584.59</v>
      </c>
      <c r="J289">
        <v>1584.43</v>
      </c>
      <c r="K289">
        <v>1584.28</v>
      </c>
      <c r="L289">
        <v>1584.13</v>
      </c>
    </row>
    <row r="290" spans="1:12" x14ac:dyDescent="0.15">
      <c r="A290">
        <v>1425</v>
      </c>
      <c r="B290">
        <v>1585.72</v>
      </c>
      <c r="C290">
        <v>1585.57</v>
      </c>
      <c r="D290">
        <v>1585.41</v>
      </c>
      <c r="E290">
        <v>1585.26</v>
      </c>
      <c r="F290">
        <v>1585.11</v>
      </c>
      <c r="G290">
        <v>1584.96</v>
      </c>
      <c r="H290">
        <v>1584.81</v>
      </c>
      <c r="I290">
        <v>1584.66</v>
      </c>
      <c r="J290">
        <v>1584.51</v>
      </c>
      <c r="K290">
        <v>1584.36</v>
      </c>
      <c r="L290">
        <v>1584.21</v>
      </c>
    </row>
    <row r="291" spans="1:12" x14ac:dyDescent="0.15">
      <c r="A291">
        <v>1430</v>
      </c>
      <c r="B291">
        <v>1585.79</v>
      </c>
      <c r="C291">
        <v>1585.64</v>
      </c>
      <c r="D291">
        <v>1585.49</v>
      </c>
      <c r="E291">
        <v>1585.34</v>
      </c>
      <c r="F291">
        <v>1585.19</v>
      </c>
      <c r="G291">
        <v>1585.04</v>
      </c>
      <c r="H291">
        <v>1584.89</v>
      </c>
      <c r="I291">
        <v>1584.74</v>
      </c>
      <c r="J291">
        <v>1584.59</v>
      </c>
      <c r="K291">
        <v>1584.44</v>
      </c>
      <c r="L291">
        <v>1584.28</v>
      </c>
    </row>
    <row r="292" spans="1:12" x14ac:dyDescent="0.15">
      <c r="A292">
        <v>1435</v>
      </c>
      <c r="B292">
        <v>1585.87</v>
      </c>
      <c r="C292">
        <v>1585.72</v>
      </c>
      <c r="D292">
        <v>1585.57</v>
      </c>
      <c r="E292">
        <v>1585.42</v>
      </c>
      <c r="F292">
        <v>1585.27</v>
      </c>
      <c r="G292">
        <v>1585.12</v>
      </c>
      <c r="H292">
        <v>1584.96</v>
      </c>
      <c r="I292">
        <v>1584.81</v>
      </c>
      <c r="J292">
        <v>1584.66</v>
      </c>
      <c r="K292">
        <v>1584.51</v>
      </c>
      <c r="L292">
        <v>1584.36</v>
      </c>
    </row>
    <row r="293" spans="1:12" x14ac:dyDescent="0.15">
      <c r="A293">
        <v>1440</v>
      </c>
      <c r="B293">
        <v>1585.94</v>
      </c>
      <c r="C293">
        <v>1585.79</v>
      </c>
      <c r="D293">
        <v>1585.64</v>
      </c>
      <c r="E293">
        <v>1585.49</v>
      </c>
      <c r="F293">
        <v>1585.34</v>
      </c>
      <c r="G293">
        <v>1585.19</v>
      </c>
      <c r="H293">
        <v>1585.04</v>
      </c>
      <c r="I293">
        <v>1584.89</v>
      </c>
      <c r="J293">
        <v>1584.74</v>
      </c>
      <c r="K293">
        <v>1584.59</v>
      </c>
      <c r="L293">
        <v>1584.44</v>
      </c>
    </row>
    <row r="294" spans="1:12" x14ac:dyDescent="0.15">
      <c r="A294">
        <v>1445</v>
      </c>
      <c r="B294">
        <v>1586.02</v>
      </c>
      <c r="C294">
        <v>1585.87</v>
      </c>
      <c r="D294">
        <v>1585.72</v>
      </c>
      <c r="E294">
        <v>1585.57</v>
      </c>
      <c r="F294">
        <v>1585.42</v>
      </c>
      <c r="G294">
        <v>1585.27</v>
      </c>
      <c r="H294">
        <v>1585.12</v>
      </c>
      <c r="I294">
        <v>1584.97</v>
      </c>
      <c r="J294">
        <v>1584.82</v>
      </c>
      <c r="K294">
        <v>1584.66</v>
      </c>
      <c r="L294">
        <v>1584.51</v>
      </c>
    </row>
    <row r="295" spans="1:12" x14ac:dyDescent="0.15">
      <c r="A295">
        <v>1450</v>
      </c>
      <c r="B295">
        <v>1586.1</v>
      </c>
      <c r="C295">
        <v>1585.95</v>
      </c>
      <c r="D295">
        <v>1585.8</v>
      </c>
      <c r="E295">
        <v>1585.65</v>
      </c>
      <c r="F295">
        <v>1585.49</v>
      </c>
      <c r="G295">
        <v>1585.34</v>
      </c>
      <c r="H295">
        <v>1585.19</v>
      </c>
      <c r="I295">
        <v>1585.04</v>
      </c>
      <c r="J295">
        <v>1584.89</v>
      </c>
      <c r="K295">
        <v>1584.74</v>
      </c>
      <c r="L295">
        <v>1584.59</v>
      </c>
    </row>
    <row r="296" spans="1:12" x14ac:dyDescent="0.15">
      <c r="A296">
        <v>1455</v>
      </c>
      <c r="B296">
        <v>1586.17</v>
      </c>
      <c r="C296">
        <v>1586.02</v>
      </c>
      <c r="D296">
        <v>1585.87</v>
      </c>
      <c r="E296">
        <v>1585.72</v>
      </c>
      <c r="F296">
        <v>1585.57</v>
      </c>
      <c r="G296">
        <v>1585.42</v>
      </c>
      <c r="H296">
        <v>1585.27</v>
      </c>
      <c r="I296">
        <v>1585.12</v>
      </c>
      <c r="J296">
        <v>1584.97</v>
      </c>
      <c r="K296">
        <v>1584.82</v>
      </c>
      <c r="L296">
        <v>1584.67</v>
      </c>
    </row>
    <row r="297" spans="1:12" x14ac:dyDescent="0.15">
      <c r="A297">
        <v>1460</v>
      </c>
      <c r="B297">
        <v>1586.25</v>
      </c>
      <c r="C297">
        <v>1586.1</v>
      </c>
      <c r="D297">
        <v>1585.95</v>
      </c>
      <c r="E297">
        <v>1585.8</v>
      </c>
      <c r="F297">
        <v>1585.65</v>
      </c>
      <c r="G297">
        <v>1585.5</v>
      </c>
      <c r="H297">
        <v>1585.35</v>
      </c>
      <c r="I297">
        <v>1585.2</v>
      </c>
      <c r="J297">
        <v>1585.04</v>
      </c>
      <c r="K297">
        <v>1584.89</v>
      </c>
      <c r="L297">
        <v>1584.74</v>
      </c>
    </row>
    <row r="298" spans="1:12" x14ac:dyDescent="0.15">
      <c r="A298">
        <v>1465</v>
      </c>
      <c r="B298">
        <v>1586.33</v>
      </c>
      <c r="C298">
        <v>1586.18</v>
      </c>
      <c r="D298">
        <v>1586.02</v>
      </c>
      <c r="E298">
        <v>1585.87</v>
      </c>
      <c r="F298">
        <v>1585.72</v>
      </c>
      <c r="G298">
        <v>1585.57</v>
      </c>
      <c r="H298">
        <v>1585.42</v>
      </c>
      <c r="I298">
        <v>1585.27</v>
      </c>
      <c r="J298">
        <v>1585.12</v>
      </c>
      <c r="K298">
        <v>1584.97</v>
      </c>
      <c r="L298">
        <v>1584.82</v>
      </c>
    </row>
    <row r="299" spans="1:12" x14ac:dyDescent="0.15">
      <c r="A299">
        <v>1470</v>
      </c>
      <c r="B299">
        <v>1586.4</v>
      </c>
      <c r="C299">
        <v>1586.25</v>
      </c>
      <c r="D299">
        <v>1586.1</v>
      </c>
      <c r="E299">
        <v>1585.95</v>
      </c>
      <c r="F299">
        <v>1585.8</v>
      </c>
      <c r="G299">
        <v>1585.65</v>
      </c>
      <c r="H299">
        <v>1585.5</v>
      </c>
      <c r="I299">
        <v>1585.35</v>
      </c>
      <c r="J299">
        <v>1585.2</v>
      </c>
      <c r="K299">
        <v>1585.05</v>
      </c>
      <c r="L299">
        <v>1584.9</v>
      </c>
    </row>
    <row r="300" spans="1:12" x14ac:dyDescent="0.15">
      <c r="A300">
        <v>1475</v>
      </c>
      <c r="B300">
        <v>1586.48</v>
      </c>
      <c r="C300">
        <v>1586.33</v>
      </c>
      <c r="D300">
        <v>1586.18</v>
      </c>
      <c r="E300">
        <v>1586.03</v>
      </c>
      <c r="F300">
        <v>1585.88</v>
      </c>
      <c r="G300">
        <v>1585.73</v>
      </c>
      <c r="H300">
        <v>1585.57</v>
      </c>
      <c r="I300">
        <v>1585.42</v>
      </c>
      <c r="J300">
        <v>1585.27</v>
      </c>
      <c r="K300">
        <v>1585.12</v>
      </c>
      <c r="L300">
        <v>1584.97</v>
      </c>
    </row>
    <row r="301" spans="1:12" x14ac:dyDescent="0.15">
      <c r="A301">
        <v>1480</v>
      </c>
      <c r="B301">
        <v>1586.56</v>
      </c>
      <c r="C301">
        <v>1586.4</v>
      </c>
      <c r="D301">
        <v>1586.25</v>
      </c>
      <c r="E301">
        <v>1586.1</v>
      </c>
      <c r="F301">
        <v>1585.95</v>
      </c>
      <c r="G301">
        <v>1585.8</v>
      </c>
      <c r="H301">
        <v>1585.65</v>
      </c>
      <c r="I301">
        <v>1585.5</v>
      </c>
      <c r="J301">
        <v>1585.35</v>
      </c>
      <c r="K301">
        <v>1585.2</v>
      </c>
      <c r="L301">
        <v>1585.05</v>
      </c>
    </row>
    <row r="302" spans="1:12" x14ac:dyDescent="0.15">
      <c r="A302">
        <v>1485</v>
      </c>
      <c r="B302">
        <v>1586.65</v>
      </c>
      <c r="C302">
        <v>1586.48</v>
      </c>
      <c r="D302">
        <v>1586.33</v>
      </c>
      <c r="E302">
        <v>1586.18</v>
      </c>
      <c r="F302">
        <v>1586.03</v>
      </c>
      <c r="G302">
        <v>1585.88</v>
      </c>
      <c r="H302">
        <v>1585.73</v>
      </c>
      <c r="I302">
        <v>1585.58</v>
      </c>
      <c r="J302">
        <v>1585.43</v>
      </c>
      <c r="K302">
        <v>1585.27</v>
      </c>
      <c r="L302">
        <v>1585.12</v>
      </c>
    </row>
    <row r="303" spans="1:12" x14ac:dyDescent="0.15">
      <c r="A303">
        <v>1490</v>
      </c>
      <c r="B303">
        <v>1586.8</v>
      </c>
      <c r="C303">
        <v>1586.56</v>
      </c>
      <c r="D303">
        <v>1586.41</v>
      </c>
      <c r="E303">
        <v>1586.26</v>
      </c>
      <c r="F303">
        <v>1586.1</v>
      </c>
      <c r="G303">
        <v>1585.95</v>
      </c>
      <c r="H303">
        <v>1585.8</v>
      </c>
      <c r="I303">
        <v>1585.65</v>
      </c>
      <c r="J303">
        <v>1585.5</v>
      </c>
      <c r="K303">
        <v>1585.35</v>
      </c>
      <c r="L303">
        <v>1585.2</v>
      </c>
    </row>
    <row r="304" spans="1:12" x14ac:dyDescent="0.15">
      <c r="A304">
        <v>1495</v>
      </c>
      <c r="B304">
        <v>1586.99</v>
      </c>
      <c r="C304">
        <v>1586.65</v>
      </c>
      <c r="D304">
        <v>1586.48</v>
      </c>
      <c r="E304">
        <v>1586.33</v>
      </c>
      <c r="F304">
        <v>1586.18</v>
      </c>
      <c r="G304">
        <v>1586.03</v>
      </c>
      <c r="H304">
        <v>1585.88</v>
      </c>
      <c r="I304">
        <v>1585.73</v>
      </c>
      <c r="J304">
        <v>1585.58</v>
      </c>
      <c r="K304">
        <v>1585.43</v>
      </c>
      <c r="L304">
        <v>1585.28</v>
      </c>
    </row>
    <row r="305" spans="1:12" x14ac:dyDescent="0.15">
      <c r="A305">
        <v>1500</v>
      </c>
      <c r="B305">
        <v>1587.23</v>
      </c>
      <c r="C305">
        <v>1586.8</v>
      </c>
      <c r="D305">
        <v>1586.56</v>
      </c>
      <c r="E305">
        <v>1586.41</v>
      </c>
      <c r="F305">
        <v>1586.26</v>
      </c>
      <c r="G305">
        <v>1586.11</v>
      </c>
      <c r="H305">
        <v>1585.96</v>
      </c>
      <c r="I305">
        <v>1585.81</v>
      </c>
      <c r="J305">
        <v>1585.65</v>
      </c>
      <c r="K305">
        <v>1585.5</v>
      </c>
      <c r="L305">
        <v>1585.35</v>
      </c>
    </row>
    <row r="306" spans="1:12" x14ac:dyDescent="0.15">
      <c r="A306">
        <v>1505</v>
      </c>
      <c r="B306">
        <v>1587.52</v>
      </c>
      <c r="C306">
        <v>1586.99</v>
      </c>
      <c r="D306">
        <v>1586.66</v>
      </c>
      <c r="E306">
        <v>1586.48</v>
      </c>
      <c r="F306">
        <v>1586.33</v>
      </c>
      <c r="G306">
        <v>1586.18</v>
      </c>
      <c r="H306">
        <v>1586.03</v>
      </c>
      <c r="I306">
        <v>1585.88</v>
      </c>
      <c r="J306">
        <v>1585.73</v>
      </c>
      <c r="K306">
        <v>1585.58</v>
      </c>
      <c r="L306">
        <v>1585.43</v>
      </c>
    </row>
    <row r="307" spans="1:12" x14ac:dyDescent="0.15">
      <c r="A307">
        <v>1510</v>
      </c>
      <c r="B307">
        <v>1587.85</v>
      </c>
      <c r="C307">
        <v>1587.23</v>
      </c>
      <c r="D307">
        <v>1586.8</v>
      </c>
      <c r="E307">
        <v>1586.56</v>
      </c>
      <c r="F307">
        <v>1586.41</v>
      </c>
      <c r="G307">
        <v>1586.26</v>
      </c>
      <c r="H307">
        <v>1586.11</v>
      </c>
      <c r="I307">
        <v>1585.96</v>
      </c>
      <c r="J307">
        <v>1585.81</v>
      </c>
      <c r="K307">
        <v>1585.66</v>
      </c>
      <c r="L307">
        <v>1585.51</v>
      </c>
    </row>
    <row r="308" spans="1:12" x14ac:dyDescent="0.15">
      <c r="A308">
        <v>1515</v>
      </c>
      <c r="B308">
        <v>1588.24</v>
      </c>
      <c r="C308">
        <v>1587.52</v>
      </c>
      <c r="D308">
        <v>1586.99</v>
      </c>
      <c r="E308">
        <v>1586.66</v>
      </c>
      <c r="F308">
        <v>1586.49</v>
      </c>
      <c r="G308">
        <v>1586.34</v>
      </c>
      <c r="H308">
        <v>1586.19</v>
      </c>
      <c r="I308">
        <v>1586.03</v>
      </c>
      <c r="J308">
        <v>1585.88</v>
      </c>
      <c r="K308">
        <v>1585.73</v>
      </c>
      <c r="L308">
        <v>1585.58</v>
      </c>
    </row>
    <row r="309" spans="1:12" x14ac:dyDescent="0.15">
      <c r="A309">
        <v>1520</v>
      </c>
      <c r="B309">
        <v>1588.67</v>
      </c>
      <c r="C309">
        <v>1587.85</v>
      </c>
      <c r="D309">
        <v>1587.23</v>
      </c>
      <c r="E309">
        <v>1586.8</v>
      </c>
      <c r="F309">
        <v>1586.56</v>
      </c>
      <c r="G309">
        <v>1586.41</v>
      </c>
      <c r="H309">
        <v>1586.26</v>
      </c>
      <c r="I309">
        <v>1586.11</v>
      </c>
      <c r="J309">
        <v>1585.96</v>
      </c>
      <c r="K309">
        <v>1585.81</v>
      </c>
      <c r="L309">
        <v>1585.66</v>
      </c>
    </row>
    <row r="310" spans="1:12" x14ac:dyDescent="0.15">
      <c r="A310">
        <v>1525</v>
      </c>
      <c r="B310">
        <v>1589.15</v>
      </c>
      <c r="C310">
        <v>1588.24</v>
      </c>
      <c r="D310">
        <v>1587.52</v>
      </c>
      <c r="E310">
        <v>1586.99</v>
      </c>
      <c r="F310">
        <v>1586.66</v>
      </c>
      <c r="G310">
        <v>1586.49</v>
      </c>
      <c r="H310">
        <v>1586.34</v>
      </c>
      <c r="I310">
        <v>1586.19</v>
      </c>
      <c r="J310">
        <v>1586.04</v>
      </c>
      <c r="K310">
        <v>1585.89</v>
      </c>
      <c r="L310">
        <v>1585.73</v>
      </c>
    </row>
    <row r="311" spans="1:12" x14ac:dyDescent="0.15">
      <c r="A311">
        <v>1530</v>
      </c>
      <c r="B311">
        <v>1589.67</v>
      </c>
      <c r="C311">
        <v>1588.67</v>
      </c>
      <c r="D311">
        <v>1587.86</v>
      </c>
      <c r="E311">
        <v>1587.24</v>
      </c>
      <c r="F311">
        <v>1586.81</v>
      </c>
      <c r="G311">
        <v>1586.57</v>
      </c>
      <c r="H311">
        <v>1586.41</v>
      </c>
      <c r="I311">
        <v>1586.26</v>
      </c>
      <c r="J311">
        <v>1586.11</v>
      </c>
      <c r="K311">
        <v>1585.96</v>
      </c>
      <c r="L311">
        <v>1585.81</v>
      </c>
    </row>
    <row r="312" spans="1:12" x14ac:dyDescent="0.15">
      <c r="A312">
        <v>1535</v>
      </c>
      <c r="B312">
        <v>1590.25</v>
      </c>
      <c r="C312">
        <v>1589.15</v>
      </c>
      <c r="D312">
        <v>1588.24</v>
      </c>
      <c r="E312">
        <v>1587.52</v>
      </c>
      <c r="F312">
        <v>1587</v>
      </c>
      <c r="G312">
        <v>1586.67</v>
      </c>
      <c r="H312">
        <v>1586.49</v>
      </c>
      <c r="I312">
        <v>1586.34</v>
      </c>
      <c r="J312">
        <v>1586.19</v>
      </c>
      <c r="K312">
        <v>1586.04</v>
      </c>
      <c r="L312">
        <v>1585.89</v>
      </c>
    </row>
    <row r="313" spans="1:12" x14ac:dyDescent="0.15">
      <c r="A313">
        <v>1540</v>
      </c>
      <c r="B313">
        <v>1590.88</v>
      </c>
      <c r="C313">
        <v>1589.67</v>
      </c>
      <c r="D313">
        <v>1588.67</v>
      </c>
      <c r="E313">
        <v>1587.86</v>
      </c>
      <c r="F313">
        <v>1587.24</v>
      </c>
      <c r="G313">
        <v>1586.81</v>
      </c>
      <c r="H313">
        <v>1586.57</v>
      </c>
      <c r="I313">
        <v>1586.42</v>
      </c>
      <c r="J313">
        <v>1586.26</v>
      </c>
      <c r="K313">
        <v>1586.11</v>
      </c>
      <c r="L313">
        <v>1585.96</v>
      </c>
    </row>
    <row r="314" spans="1:12" x14ac:dyDescent="0.15">
      <c r="A314">
        <v>1545</v>
      </c>
      <c r="B314">
        <v>1591.56</v>
      </c>
      <c r="C314">
        <v>1590.25</v>
      </c>
      <c r="D314">
        <v>1589.15</v>
      </c>
      <c r="E314">
        <v>1588.24</v>
      </c>
      <c r="F314">
        <v>1587.53</v>
      </c>
      <c r="G314">
        <v>1587</v>
      </c>
      <c r="H314">
        <v>1586.67</v>
      </c>
      <c r="I314">
        <v>1586.49</v>
      </c>
      <c r="J314">
        <v>1586.34</v>
      </c>
      <c r="K314">
        <v>1586.19</v>
      </c>
      <c r="L314">
        <v>1586.04</v>
      </c>
    </row>
    <row r="315" spans="1:12" x14ac:dyDescent="0.15">
      <c r="A315">
        <v>1550</v>
      </c>
      <c r="B315">
        <v>1592.3</v>
      </c>
      <c r="C315">
        <v>1590.88</v>
      </c>
      <c r="D315">
        <v>1589.68</v>
      </c>
      <c r="E315">
        <v>1588.68</v>
      </c>
      <c r="F315">
        <v>1587.86</v>
      </c>
      <c r="G315">
        <v>1587.25</v>
      </c>
      <c r="H315">
        <v>1586.82</v>
      </c>
      <c r="I315">
        <v>1586.58</v>
      </c>
      <c r="J315">
        <v>1586.42</v>
      </c>
      <c r="K315">
        <v>1586.27</v>
      </c>
      <c r="L315">
        <v>1586.12</v>
      </c>
    </row>
    <row r="316" spans="1:12" x14ac:dyDescent="0.15">
      <c r="A316">
        <v>1555</v>
      </c>
      <c r="B316">
        <v>1593.09</v>
      </c>
      <c r="C316">
        <v>1591.56</v>
      </c>
      <c r="D316">
        <v>1590.25</v>
      </c>
      <c r="E316">
        <v>1589.15</v>
      </c>
      <c r="F316">
        <v>1588.25</v>
      </c>
      <c r="G316">
        <v>1587.53</v>
      </c>
      <c r="H316">
        <v>1587.01</v>
      </c>
      <c r="I316">
        <v>1586.68</v>
      </c>
      <c r="J316">
        <v>1586.49</v>
      </c>
      <c r="K316">
        <v>1586.34</v>
      </c>
      <c r="L316">
        <v>1586.19</v>
      </c>
    </row>
    <row r="317" spans="1:12" x14ac:dyDescent="0.15">
      <c r="A317">
        <v>1560</v>
      </c>
      <c r="B317">
        <v>1593.94</v>
      </c>
      <c r="C317">
        <v>1592.3</v>
      </c>
      <c r="D317">
        <v>1590.88</v>
      </c>
      <c r="E317">
        <v>1589.68</v>
      </c>
      <c r="F317">
        <v>1588.68</v>
      </c>
      <c r="G317">
        <v>1587.87</v>
      </c>
      <c r="H317">
        <v>1587.25</v>
      </c>
      <c r="I317">
        <v>1586.82</v>
      </c>
      <c r="J317">
        <v>1586.58</v>
      </c>
      <c r="K317">
        <v>1586.42</v>
      </c>
      <c r="L317">
        <v>1586.27</v>
      </c>
    </row>
    <row r="318" spans="1:12" x14ac:dyDescent="0.15">
      <c r="A318">
        <v>1565</v>
      </c>
      <c r="B318">
        <v>1594.85</v>
      </c>
      <c r="C318">
        <v>1593.09</v>
      </c>
      <c r="D318">
        <v>1591.56</v>
      </c>
      <c r="E318">
        <v>1590.25</v>
      </c>
      <c r="F318">
        <v>1589.16</v>
      </c>
      <c r="G318">
        <v>1588.25</v>
      </c>
      <c r="H318">
        <v>1587.54</v>
      </c>
      <c r="I318">
        <v>1587.02</v>
      </c>
      <c r="J318">
        <v>1586.69</v>
      </c>
      <c r="K318">
        <v>1586.49</v>
      </c>
      <c r="L318">
        <v>1586.34</v>
      </c>
    </row>
    <row r="319" spans="1:12" x14ac:dyDescent="0.15">
      <c r="A319">
        <v>1570</v>
      </c>
      <c r="B319">
        <v>1595.8</v>
      </c>
      <c r="C319">
        <v>1593.94</v>
      </c>
      <c r="D319">
        <v>1592.3</v>
      </c>
      <c r="E319">
        <v>1590.88</v>
      </c>
      <c r="F319">
        <v>1589.68</v>
      </c>
      <c r="G319">
        <v>1588.68</v>
      </c>
      <c r="H319">
        <v>1587.88</v>
      </c>
      <c r="I319">
        <v>1587.26</v>
      </c>
      <c r="J319">
        <v>1586.83</v>
      </c>
      <c r="K319">
        <v>1586.59</v>
      </c>
      <c r="L319">
        <v>1586.42</v>
      </c>
    </row>
    <row r="320" spans="1:12" x14ac:dyDescent="0.15">
      <c r="A320">
        <v>1575</v>
      </c>
      <c r="B320">
        <v>1596.82</v>
      </c>
      <c r="C320">
        <v>1594.85</v>
      </c>
      <c r="D320">
        <v>1593.1</v>
      </c>
      <c r="E320">
        <v>1591.57</v>
      </c>
      <c r="F320">
        <v>1590.26</v>
      </c>
      <c r="G320">
        <v>1589.16</v>
      </c>
      <c r="H320">
        <v>1588.26</v>
      </c>
      <c r="I320">
        <v>1587.55</v>
      </c>
      <c r="J320">
        <v>1587.03</v>
      </c>
      <c r="K320">
        <v>1586.7</v>
      </c>
      <c r="L320">
        <v>1586.5</v>
      </c>
    </row>
    <row r="321" spans="1:12" x14ac:dyDescent="0.15">
      <c r="A321">
        <v>1580</v>
      </c>
      <c r="B321">
        <v>1597.89</v>
      </c>
      <c r="C321">
        <v>1595.81</v>
      </c>
      <c r="D321">
        <v>1593.95</v>
      </c>
      <c r="E321">
        <v>1592.31</v>
      </c>
      <c r="F321">
        <v>1590.89</v>
      </c>
      <c r="G321">
        <v>1589.69</v>
      </c>
      <c r="H321">
        <v>1588.69</v>
      </c>
      <c r="I321">
        <v>1587.88</v>
      </c>
      <c r="J321">
        <v>1587.27</v>
      </c>
      <c r="K321">
        <v>1586.84</v>
      </c>
      <c r="L321">
        <v>1586.59</v>
      </c>
    </row>
    <row r="322" spans="1:12" x14ac:dyDescent="0.15">
      <c r="A322">
        <v>1585</v>
      </c>
      <c r="B322">
        <v>1599.01</v>
      </c>
      <c r="C322">
        <v>1596.82</v>
      </c>
      <c r="D322">
        <v>1594.85</v>
      </c>
      <c r="E322">
        <v>1593.1</v>
      </c>
      <c r="F322">
        <v>1591.57</v>
      </c>
      <c r="G322">
        <v>1590.27</v>
      </c>
      <c r="H322">
        <v>1589.17</v>
      </c>
      <c r="I322">
        <v>1588.27</v>
      </c>
      <c r="J322">
        <v>1587.56</v>
      </c>
      <c r="K322">
        <v>1587.04</v>
      </c>
      <c r="L322">
        <v>1586.7</v>
      </c>
    </row>
    <row r="323" spans="1:12" x14ac:dyDescent="0.15">
      <c r="A323">
        <v>1590</v>
      </c>
      <c r="B323">
        <v>1600.19</v>
      </c>
      <c r="C323">
        <v>1597.89</v>
      </c>
      <c r="D323">
        <v>1595.81</v>
      </c>
      <c r="E323">
        <v>1593.95</v>
      </c>
      <c r="F323">
        <v>1592.31</v>
      </c>
      <c r="G323">
        <v>1590.9</v>
      </c>
      <c r="H323">
        <v>1589.7</v>
      </c>
      <c r="I323">
        <v>1588.7</v>
      </c>
      <c r="J323">
        <v>1587.89</v>
      </c>
      <c r="K323">
        <v>1587.28</v>
      </c>
      <c r="L323">
        <v>1586.86</v>
      </c>
    </row>
    <row r="324" spans="1:12" x14ac:dyDescent="0.15">
      <c r="A324">
        <v>1595</v>
      </c>
      <c r="B324">
        <v>1601.43</v>
      </c>
      <c r="C324">
        <v>1599.01</v>
      </c>
      <c r="D324">
        <v>1596.83</v>
      </c>
      <c r="E324">
        <v>1594.86</v>
      </c>
      <c r="F324">
        <v>1593.11</v>
      </c>
      <c r="G324">
        <v>1591.58</v>
      </c>
      <c r="H324">
        <v>1590.27</v>
      </c>
      <c r="I324">
        <v>1589.18</v>
      </c>
      <c r="J324">
        <v>1588.28</v>
      </c>
      <c r="K324">
        <v>1587.57</v>
      </c>
      <c r="L324">
        <v>1587.05</v>
      </c>
    </row>
    <row r="325" spans="1:12" x14ac:dyDescent="0.15">
      <c r="A325">
        <v>1600</v>
      </c>
      <c r="B325">
        <v>1602.71</v>
      </c>
      <c r="C325">
        <v>1600.19</v>
      </c>
      <c r="D325">
        <v>1597.9</v>
      </c>
      <c r="E325">
        <v>1595.82</v>
      </c>
      <c r="F325">
        <v>1593.96</v>
      </c>
      <c r="G325">
        <v>1592.32</v>
      </c>
      <c r="H325">
        <v>1590.91</v>
      </c>
      <c r="I325">
        <v>1589.71</v>
      </c>
      <c r="J325">
        <v>1588.71</v>
      </c>
      <c r="K325">
        <v>1587.9</v>
      </c>
      <c r="L325">
        <v>1587.29</v>
      </c>
    </row>
    <row r="326" spans="1:12" x14ac:dyDescent="0.15">
      <c r="A326">
        <v>1605</v>
      </c>
      <c r="B326">
        <v>1604.06</v>
      </c>
      <c r="C326">
        <v>1601.43</v>
      </c>
      <c r="D326">
        <v>1599.02</v>
      </c>
      <c r="E326">
        <v>1596.83</v>
      </c>
      <c r="F326">
        <v>1594.86</v>
      </c>
      <c r="G326">
        <v>1593.12</v>
      </c>
      <c r="H326">
        <v>1591.59</v>
      </c>
      <c r="I326">
        <v>1590.28</v>
      </c>
      <c r="J326">
        <v>1589.19</v>
      </c>
      <c r="K326">
        <v>1588.29</v>
      </c>
      <c r="L326">
        <v>1587.58</v>
      </c>
    </row>
    <row r="327" spans="1:12" x14ac:dyDescent="0.15">
      <c r="A327">
        <v>1610</v>
      </c>
      <c r="B327">
        <v>1605.46</v>
      </c>
      <c r="C327">
        <v>1602.72</v>
      </c>
      <c r="D327">
        <v>1600.2</v>
      </c>
      <c r="E327">
        <v>1597.9</v>
      </c>
      <c r="F327">
        <v>1595.82</v>
      </c>
      <c r="G327">
        <v>1593.97</v>
      </c>
      <c r="H327">
        <v>1592.33</v>
      </c>
      <c r="I327">
        <v>1590.92</v>
      </c>
      <c r="J327">
        <v>1589.72</v>
      </c>
      <c r="K327">
        <v>1588.72</v>
      </c>
      <c r="L327">
        <v>1587.91</v>
      </c>
    </row>
    <row r="328" spans="1:12" x14ac:dyDescent="0.15">
      <c r="A328">
        <v>1615</v>
      </c>
      <c r="B328">
        <v>1606.91</v>
      </c>
      <c r="C328">
        <v>1604.06</v>
      </c>
      <c r="D328">
        <v>1601.43</v>
      </c>
      <c r="E328">
        <v>1599.03</v>
      </c>
      <c r="F328">
        <v>1596.84</v>
      </c>
      <c r="G328">
        <v>1594.87</v>
      </c>
      <c r="H328">
        <v>1593.13</v>
      </c>
      <c r="I328">
        <v>1591.6</v>
      </c>
      <c r="J328">
        <v>1590.3</v>
      </c>
      <c r="K328">
        <v>1589.2</v>
      </c>
      <c r="L328">
        <v>1588.3</v>
      </c>
    </row>
    <row r="329" spans="1:12" x14ac:dyDescent="0.15">
      <c r="A329">
        <v>1620</v>
      </c>
      <c r="B329">
        <v>1608.42</v>
      </c>
      <c r="C329">
        <v>1605.46</v>
      </c>
      <c r="D329">
        <v>1602.72</v>
      </c>
      <c r="E329">
        <v>1600.21</v>
      </c>
      <c r="F329">
        <v>1597.91</v>
      </c>
      <c r="G329">
        <v>1595.83</v>
      </c>
      <c r="H329">
        <v>1593.98</v>
      </c>
      <c r="I329">
        <v>1592.34</v>
      </c>
      <c r="J329">
        <v>1590.93</v>
      </c>
      <c r="K329">
        <v>1589.73</v>
      </c>
      <c r="L329">
        <v>1588.73</v>
      </c>
    </row>
    <row r="330" spans="1:12" x14ac:dyDescent="0.15">
      <c r="A330">
        <v>1625</v>
      </c>
      <c r="B330">
        <v>1609.99</v>
      </c>
      <c r="C330">
        <v>1606.92</v>
      </c>
      <c r="D330">
        <v>1604.07</v>
      </c>
      <c r="E330">
        <v>1601.44</v>
      </c>
      <c r="F330">
        <v>1599.04</v>
      </c>
      <c r="G330">
        <v>1596.85</v>
      </c>
      <c r="H330">
        <v>1594.88</v>
      </c>
      <c r="I330">
        <v>1593.14</v>
      </c>
      <c r="J330">
        <v>1591.61</v>
      </c>
      <c r="K330">
        <v>1590.31</v>
      </c>
      <c r="L330">
        <v>1589.21</v>
      </c>
    </row>
    <row r="331" spans="1:12" x14ac:dyDescent="0.15">
      <c r="A331">
        <v>1630</v>
      </c>
      <c r="B331">
        <v>1611.61</v>
      </c>
      <c r="C331">
        <v>1608.43</v>
      </c>
      <c r="D331">
        <v>1605.47</v>
      </c>
      <c r="E331">
        <v>1602.73</v>
      </c>
      <c r="F331">
        <v>1600.22</v>
      </c>
      <c r="G331">
        <v>1597.92</v>
      </c>
      <c r="H331">
        <v>1595.84</v>
      </c>
      <c r="I331">
        <v>1593.99</v>
      </c>
      <c r="J331">
        <v>1592.35</v>
      </c>
      <c r="K331">
        <v>1590.94</v>
      </c>
      <c r="L331">
        <v>1589.74</v>
      </c>
    </row>
    <row r="332" spans="1:12" x14ac:dyDescent="0.15">
      <c r="A332">
        <v>1635</v>
      </c>
      <c r="B332">
        <v>1613.28</v>
      </c>
      <c r="C332">
        <v>1609.99</v>
      </c>
      <c r="D332">
        <v>1606.92</v>
      </c>
      <c r="E332">
        <v>1604.08</v>
      </c>
      <c r="F332">
        <v>1601.45</v>
      </c>
      <c r="G332">
        <v>1599.04</v>
      </c>
      <c r="H332">
        <v>1596.86</v>
      </c>
      <c r="I332">
        <v>1594.89</v>
      </c>
      <c r="J332">
        <v>1593.15</v>
      </c>
      <c r="K332">
        <v>1591.63</v>
      </c>
      <c r="L332">
        <v>1590.32</v>
      </c>
    </row>
    <row r="333" spans="1:12" x14ac:dyDescent="0.15">
      <c r="A333">
        <v>1640</v>
      </c>
      <c r="B333">
        <v>1615.01</v>
      </c>
      <c r="C333">
        <v>1611.61</v>
      </c>
      <c r="D333">
        <v>1608.43</v>
      </c>
      <c r="E333">
        <v>1605.48</v>
      </c>
      <c r="F333">
        <v>1602.74</v>
      </c>
      <c r="G333">
        <v>1600.23</v>
      </c>
      <c r="H333">
        <v>1597.93</v>
      </c>
      <c r="I333">
        <v>1595.85</v>
      </c>
      <c r="J333">
        <v>1594</v>
      </c>
      <c r="K333">
        <v>1592.37</v>
      </c>
      <c r="L333">
        <v>1590.95</v>
      </c>
    </row>
    <row r="334" spans="1:12" x14ac:dyDescent="0.15">
      <c r="A334">
        <v>1645</v>
      </c>
      <c r="B334">
        <v>1616.8</v>
      </c>
      <c r="C334">
        <v>1613.29</v>
      </c>
      <c r="D334">
        <v>1610</v>
      </c>
      <c r="E334">
        <v>1606.93</v>
      </c>
      <c r="F334">
        <v>1604.09</v>
      </c>
      <c r="G334">
        <v>1601.46</v>
      </c>
      <c r="H334">
        <v>1599.06</v>
      </c>
      <c r="I334">
        <v>1596.87</v>
      </c>
      <c r="J334">
        <v>1594.91</v>
      </c>
      <c r="K334">
        <v>1593.16</v>
      </c>
      <c r="L334">
        <v>1591.64</v>
      </c>
    </row>
    <row r="335" spans="1:12" x14ac:dyDescent="0.15">
      <c r="A335">
        <v>1650</v>
      </c>
      <c r="B335">
        <v>1618.63</v>
      </c>
      <c r="C335">
        <v>1615.02</v>
      </c>
      <c r="D335">
        <v>1611.62</v>
      </c>
      <c r="E335">
        <v>1608.44</v>
      </c>
      <c r="F335">
        <v>1605.49</v>
      </c>
      <c r="G335">
        <v>1602.75</v>
      </c>
      <c r="H335">
        <v>1600.24</v>
      </c>
      <c r="I335">
        <v>1597.94</v>
      </c>
      <c r="J335">
        <v>1595.87</v>
      </c>
      <c r="K335">
        <v>1594.02</v>
      </c>
      <c r="L335">
        <v>1592.38</v>
      </c>
    </row>
    <row r="336" spans="1:12" x14ac:dyDescent="0.15">
      <c r="A336">
        <v>1655</v>
      </c>
      <c r="B336">
        <v>1620.53</v>
      </c>
      <c r="C336">
        <v>1616.8</v>
      </c>
      <c r="D336">
        <v>1613.29</v>
      </c>
      <c r="E336">
        <v>1610.01</v>
      </c>
      <c r="F336">
        <v>1606.94</v>
      </c>
      <c r="G336">
        <v>1604.1</v>
      </c>
      <c r="H336">
        <v>1601.47</v>
      </c>
      <c r="I336">
        <v>1599.07</v>
      </c>
      <c r="J336">
        <v>1596.88</v>
      </c>
      <c r="K336">
        <v>1594.92</v>
      </c>
      <c r="L336">
        <v>1593.18</v>
      </c>
    </row>
    <row r="337" spans="1:12" x14ac:dyDescent="0.15">
      <c r="A337">
        <v>1660</v>
      </c>
      <c r="B337">
        <v>1622.48</v>
      </c>
      <c r="C337">
        <v>1618.64</v>
      </c>
      <c r="D337">
        <v>1615.02</v>
      </c>
      <c r="E337">
        <v>1611.63</v>
      </c>
      <c r="F337">
        <v>1608.45</v>
      </c>
      <c r="G337">
        <v>1605.5</v>
      </c>
      <c r="H337">
        <v>1602.76</v>
      </c>
      <c r="I337">
        <v>1600.25</v>
      </c>
      <c r="J337">
        <v>1597.96</v>
      </c>
      <c r="K337">
        <v>1595.88</v>
      </c>
      <c r="L337">
        <v>1594.03</v>
      </c>
    </row>
    <row r="338" spans="1:12" x14ac:dyDescent="0.15">
      <c r="A338">
        <v>1665</v>
      </c>
      <c r="B338">
        <v>1624.48</v>
      </c>
      <c r="C338">
        <v>1620.54</v>
      </c>
      <c r="D338">
        <v>1616.81</v>
      </c>
      <c r="E338">
        <v>1613.3</v>
      </c>
      <c r="F338">
        <v>1610.02</v>
      </c>
      <c r="G338">
        <v>1606.95</v>
      </c>
      <c r="H338">
        <v>1604.11</v>
      </c>
      <c r="I338">
        <v>1601.49</v>
      </c>
      <c r="J338">
        <v>1599.08</v>
      </c>
      <c r="K338">
        <v>1596.9</v>
      </c>
      <c r="L338">
        <v>1594.94</v>
      </c>
    </row>
    <row r="339" spans="1:12" x14ac:dyDescent="0.15">
      <c r="A339">
        <v>1670</v>
      </c>
      <c r="B339">
        <v>1626.54</v>
      </c>
      <c r="C339">
        <v>1622.49</v>
      </c>
      <c r="D339">
        <v>1618.65</v>
      </c>
      <c r="E339">
        <v>1615.04</v>
      </c>
      <c r="F339">
        <v>1611.64</v>
      </c>
      <c r="G339">
        <v>1608.46</v>
      </c>
      <c r="H339">
        <v>1605.51</v>
      </c>
      <c r="I339">
        <v>1602.78</v>
      </c>
      <c r="J339">
        <v>1600.26</v>
      </c>
      <c r="K339">
        <v>1597.97</v>
      </c>
      <c r="L339">
        <v>1595.9</v>
      </c>
    </row>
    <row r="340" spans="1:12" x14ac:dyDescent="0.15">
      <c r="A340">
        <v>1675</v>
      </c>
      <c r="B340">
        <v>1628.66</v>
      </c>
      <c r="C340">
        <v>1624.49</v>
      </c>
      <c r="D340">
        <v>1620.55</v>
      </c>
      <c r="E340">
        <v>1616.82</v>
      </c>
      <c r="F340">
        <v>1613.31</v>
      </c>
      <c r="G340">
        <v>1610.03</v>
      </c>
      <c r="H340">
        <v>1606.97</v>
      </c>
      <c r="I340">
        <v>1604.12</v>
      </c>
      <c r="J340">
        <v>1601.5</v>
      </c>
      <c r="K340">
        <v>1599.1</v>
      </c>
      <c r="L340">
        <v>1596.92</v>
      </c>
    </row>
    <row r="341" spans="1:12" x14ac:dyDescent="0.15">
      <c r="A341">
        <v>1680</v>
      </c>
      <c r="B341">
        <v>1630.83</v>
      </c>
      <c r="C341">
        <v>1626.55</v>
      </c>
      <c r="D341">
        <v>1622.5</v>
      </c>
      <c r="E341">
        <v>1618.66</v>
      </c>
      <c r="F341">
        <v>1615.05</v>
      </c>
      <c r="G341">
        <v>1611.65</v>
      </c>
      <c r="H341">
        <v>1608.48</v>
      </c>
      <c r="I341">
        <v>1605.52</v>
      </c>
      <c r="J341">
        <v>1602.79</v>
      </c>
      <c r="K341">
        <v>1600.28</v>
      </c>
      <c r="L341">
        <v>1597.99</v>
      </c>
    </row>
    <row r="342" spans="1:12" x14ac:dyDescent="0.15">
      <c r="A342">
        <v>1685</v>
      </c>
      <c r="B342">
        <v>1633.05</v>
      </c>
      <c r="C342">
        <v>1628.67</v>
      </c>
      <c r="D342">
        <v>1624.5</v>
      </c>
      <c r="E342">
        <v>1620.56</v>
      </c>
      <c r="F342">
        <v>1616.83</v>
      </c>
      <c r="G342">
        <v>1613.33</v>
      </c>
      <c r="H342">
        <v>1610.04</v>
      </c>
      <c r="I342">
        <v>1606.98</v>
      </c>
      <c r="J342">
        <v>1604.14</v>
      </c>
      <c r="K342">
        <v>1601.52</v>
      </c>
      <c r="L342">
        <v>1599.11</v>
      </c>
    </row>
    <row r="343" spans="1:12" x14ac:dyDescent="0.15">
      <c r="A343">
        <v>1690</v>
      </c>
      <c r="B343">
        <v>1635.33</v>
      </c>
      <c r="C343">
        <v>1630.84</v>
      </c>
      <c r="D343">
        <v>1626.56</v>
      </c>
      <c r="E343">
        <v>1622.51</v>
      </c>
      <c r="F343">
        <v>1618.67</v>
      </c>
      <c r="G343">
        <v>1615.06</v>
      </c>
      <c r="H343">
        <v>1611.66</v>
      </c>
      <c r="I343">
        <v>1608.49</v>
      </c>
      <c r="J343">
        <v>1605.54</v>
      </c>
      <c r="K343">
        <v>1602.81</v>
      </c>
      <c r="L343">
        <v>1600.3</v>
      </c>
    </row>
    <row r="344" spans="1:12" x14ac:dyDescent="0.15">
      <c r="A344">
        <v>1695</v>
      </c>
      <c r="B344">
        <v>1637.67</v>
      </c>
      <c r="C344">
        <v>1633.06</v>
      </c>
      <c r="D344">
        <v>1628.68</v>
      </c>
      <c r="E344">
        <v>1624.51</v>
      </c>
      <c r="F344">
        <v>1620.57</v>
      </c>
      <c r="G344">
        <v>1616.84</v>
      </c>
      <c r="H344">
        <v>1613.34</v>
      </c>
      <c r="I344">
        <v>1610.06</v>
      </c>
      <c r="J344">
        <v>1607</v>
      </c>
      <c r="K344">
        <v>1604.15</v>
      </c>
      <c r="L344">
        <v>1601.53</v>
      </c>
    </row>
    <row r="345" spans="1:12" x14ac:dyDescent="0.15">
      <c r="A345">
        <v>1700</v>
      </c>
      <c r="B345">
        <v>1640.06</v>
      </c>
      <c r="C345">
        <v>1635.34</v>
      </c>
      <c r="D345">
        <v>1630.85</v>
      </c>
      <c r="E345">
        <v>1626.57</v>
      </c>
      <c r="F345">
        <v>1622.52</v>
      </c>
      <c r="G345">
        <v>1618.69</v>
      </c>
      <c r="H345">
        <v>1615.07</v>
      </c>
      <c r="I345">
        <v>1611.68</v>
      </c>
      <c r="J345">
        <v>1608.51</v>
      </c>
      <c r="K345">
        <v>1605.56</v>
      </c>
      <c r="L345">
        <v>1602.83</v>
      </c>
    </row>
    <row r="346" spans="1:12" x14ac:dyDescent="0.15">
      <c r="A346">
        <v>1705</v>
      </c>
      <c r="B346">
        <v>1642.5</v>
      </c>
      <c r="C346">
        <v>1637.68</v>
      </c>
      <c r="D346">
        <v>1633.07</v>
      </c>
      <c r="E346">
        <v>1628.69</v>
      </c>
      <c r="F346">
        <v>1624.52</v>
      </c>
      <c r="G346">
        <v>1620.58</v>
      </c>
      <c r="H346">
        <v>1616.86</v>
      </c>
      <c r="I346">
        <v>1613.36</v>
      </c>
      <c r="J346">
        <v>1610.07</v>
      </c>
      <c r="K346">
        <v>1607.01</v>
      </c>
      <c r="L346">
        <v>1604.17</v>
      </c>
    </row>
    <row r="347" spans="1:12" x14ac:dyDescent="0.15">
      <c r="A347">
        <v>1710</v>
      </c>
      <c r="B347">
        <v>1645</v>
      </c>
      <c r="C347">
        <v>1640.07</v>
      </c>
      <c r="D347">
        <v>1635.35</v>
      </c>
      <c r="E347">
        <v>1630.86</v>
      </c>
      <c r="F347">
        <v>1626.59</v>
      </c>
      <c r="G347">
        <v>1622.53</v>
      </c>
      <c r="H347">
        <v>1618.7</v>
      </c>
      <c r="I347">
        <v>1615.09</v>
      </c>
      <c r="J347">
        <v>1611.7</v>
      </c>
      <c r="K347">
        <v>1608.53</v>
      </c>
      <c r="L347">
        <v>1605.58</v>
      </c>
    </row>
    <row r="348" spans="1:12" x14ac:dyDescent="0.15">
      <c r="A348">
        <v>1715</v>
      </c>
      <c r="B348">
        <v>1647.56</v>
      </c>
      <c r="C348">
        <v>1642.51</v>
      </c>
      <c r="D348">
        <v>1637.69</v>
      </c>
      <c r="E348">
        <v>1633.09</v>
      </c>
      <c r="F348">
        <v>1628.7</v>
      </c>
      <c r="G348">
        <v>1624.54</v>
      </c>
      <c r="H348">
        <v>1620.6</v>
      </c>
      <c r="I348">
        <v>1616.87</v>
      </c>
      <c r="J348">
        <v>1613.37</v>
      </c>
      <c r="K348">
        <v>1610.09</v>
      </c>
      <c r="L348">
        <v>1607.03</v>
      </c>
    </row>
    <row r="349" spans="1:12" x14ac:dyDescent="0.15">
      <c r="A349">
        <v>1720</v>
      </c>
      <c r="B349">
        <v>1650.17</v>
      </c>
      <c r="C349">
        <v>1645.01</v>
      </c>
      <c r="D349">
        <v>1640.08</v>
      </c>
      <c r="E349">
        <v>1635.37</v>
      </c>
      <c r="F349">
        <v>1630.87</v>
      </c>
      <c r="G349">
        <v>1626.6</v>
      </c>
      <c r="H349">
        <v>1622.55</v>
      </c>
      <c r="I349">
        <v>1618.72</v>
      </c>
      <c r="J349">
        <v>1615.1</v>
      </c>
      <c r="K349">
        <v>1611.71</v>
      </c>
      <c r="L349">
        <v>1608.54</v>
      </c>
    </row>
    <row r="350" spans="1:12" x14ac:dyDescent="0.15">
      <c r="A350">
        <v>1725</v>
      </c>
      <c r="B350">
        <v>1652.84</v>
      </c>
      <c r="C350">
        <v>1647.57</v>
      </c>
      <c r="D350">
        <v>1642.53</v>
      </c>
      <c r="E350">
        <v>1637.7</v>
      </c>
      <c r="F350">
        <v>1633.1</v>
      </c>
      <c r="G350">
        <v>1628.72</v>
      </c>
      <c r="H350">
        <v>1624.55</v>
      </c>
      <c r="I350">
        <v>1620.61</v>
      </c>
      <c r="J350">
        <v>1616.89</v>
      </c>
      <c r="K350">
        <v>1613.39</v>
      </c>
      <c r="L350">
        <v>1610.11</v>
      </c>
    </row>
    <row r="351" spans="1:12" x14ac:dyDescent="0.15">
      <c r="A351">
        <v>1730</v>
      </c>
      <c r="B351">
        <v>1655.56</v>
      </c>
      <c r="C351">
        <v>1650.18</v>
      </c>
      <c r="D351">
        <v>1645.03</v>
      </c>
      <c r="E351">
        <v>1640.09</v>
      </c>
      <c r="F351">
        <v>1635.38</v>
      </c>
      <c r="G351">
        <v>1630.89</v>
      </c>
      <c r="H351">
        <v>1626.62</v>
      </c>
      <c r="I351">
        <v>1622.56</v>
      </c>
      <c r="J351">
        <v>1618.73</v>
      </c>
      <c r="K351">
        <v>1615.12</v>
      </c>
      <c r="L351">
        <v>1611.73</v>
      </c>
    </row>
    <row r="352" spans="1:12" x14ac:dyDescent="0.15">
      <c r="A352">
        <v>1735</v>
      </c>
      <c r="B352">
        <v>1658.33</v>
      </c>
      <c r="C352">
        <v>1652.85</v>
      </c>
      <c r="D352">
        <v>1647.58</v>
      </c>
      <c r="E352">
        <v>1642.54</v>
      </c>
      <c r="F352">
        <v>1637.72</v>
      </c>
      <c r="G352">
        <v>1633.11</v>
      </c>
      <c r="H352">
        <v>1628.73</v>
      </c>
      <c r="I352">
        <v>1624.57</v>
      </c>
      <c r="J352">
        <v>1620.63</v>
      </c>
      <c r="K352">
        <v>1616.91</v>
      </c>
      <c r="L352">
        <v>1613.41</v>
      </c>
    </row>
    <row r="353" spans="1:12" x14ac:dyDescent="0.15">
      <c r="A353">
        <v>1740</v>
      </c>
      <c r="B353">
        <v>1661.16</v>
      </c>
      <c r="C353">
        <v>1655.57</v>
      </c>
      <c r="D353">
        <v>1650.19</v>
      </c>
      <c r="E353">
        <v>1645.04</v>
      </c>
      <c r="F353">
        <v>1640.11</v>
      </c>
      <c r="G353">
        <v>1635.4</v>
      </c>
      <c r="H353">
        <v>1630.9</v>
      </c>
      <c r="I353">
        <v>1626.63</v>
      </c>
      <c r="J353">
        <v>1622.58</v>
      </c>
      <c r="K353">
        <v>1618.75</v>
      </c>
      <c r="L353">
        <v>1615.14</v>
      </c>
    </row>
    <row r="354" spans="1:12" x14ac:dyDescent="0.15">
      <c r="A354">
        <v>1745</v>
      </c>
      <c r="B354">
        <v>1664.05</v>
      </c>
      <c r="C354">
        <v>1658.34</v>
      </c>
      <c r="D354">
        <v>1652.86</v>
      </c>
      <c r="E354">
        <v>1647.6</v>
      </c>
      <c r="F354">
        <v>1642.55</v>
      </c>
      <c r="G354">
        <v>1637.73</v>
      </c>
      <c r="H354">
        <v>1633.13</v>
      </c>
      <c r="I354">
        <v>1628.75</v>
      </c>
      <c r="J354">
        <v>1624.59</v>
      </c>
      <c r="K354">
        <v>1620.65</v>
      </c>
      <c r="L354">
        <v>1616.93</v>
      </c>
    </row>
    <row r="355" spans="1:12" x14ac:dyDescent="0.15">
      <c r="A355">
        <v>1750</v>
      </c>
      <c r="B355">
        <v>1666.99</v>
      </c>
      <c r="C355">
        <v>1661.17</v>
      </c>
      <c r="D355">
        <v>1655.58</v>
      </c>
      <c r="E355">
        <v>1650.21</v>
      </c>
      <c r="F355">
        <v>1645.06</v>
      </c>
      <c r="G355">
        <v>1640.12</v>
      </c>
      <c r="H355">
        <v>1635.41</v>
      </c>
      <c r="I355">
        <v>1630.92</v>
      </c>
      <c r="J355">
        <v>1626.65</v>
      </c>
      <c r="K355">
        <v>1622.6</v>
      </c>
      <c r="L355">
        <v>1618.77</v>
      </c>
    </row>
    <row r="356" spans="1:12" x14ac:dyDescent="0.15">
      <c r="A356">
        <v>1755</v>
      </c>
      <c r="B356">
        <v>1669.98</v>
      </c>
      <c r="C356">
        <v>1664.06</v>
      </c>
      <c r="D356">
        <v>1658.36</v>
      </c>
      <c r="E356">
        <v>1652.87</v>
      </c>
      <c r="F356">
        <v>1647.61</v>
      </c>
      <c r="G356">
        <v>1642.57</v>
      </c>
      <c r="H356">
        <v>1637.75</v>
      </c>
      <c r="I356">
        <v>1633.15</v>
      </c>
      <c r="J356">
        <v>1628.77</v>
      </c>
      <c r="K356">
        <v>1624.61</v>
      </c>
      <c r="L356">
        <v>1620.67</v>
      </c>
    </row>
    <row r="357" spans="1:12" x14ac:dyDescent="0.15">
      <c r="A357">
        <v>1760</v>
      </c>
      <c r="B357">
        <v>1673.03</v>
      </c>
      <c r="C357">
        <v>1667</v>
      </c>
      <c r="D357">
        <v>1661.19</v>
      </c>
      <c r="E357">
        <v>1655.6</v>
      </c>
      <c r="F357">
        <v>1650.22</v>
      </c>
      <c r="G357">
        <v>1645.07</v>
      </c>
      <c r="H357">
        <v>1640.14</v>
      </c>
      <c r="I357">
        <v>1635.43</v>
      </c>
      <c r="J357">
        <v>1630.94</v>
      </c>
      <c r="K357">
        <v>1626.67</v>
      </c>
      <c r="L357">
        <v>1622.62</v>
      </c>
    </row>
    <row r="358" spans="1:12" x14ac:dyDescent="0.15">
      <c r="A358">
        <v>1765</v>
      </c>
      <c r="B358">
        <v>1676.14</v>
      </c>
      <c r="C358">
        <v>1670</v>
      </c>
      <c r="D358">
        <v>1664.07</v>
      </c>
      <c r="E358">
        <v>1658.37</v>
      </c>
      <c r="F358">
        <v>1652.89</v>
      </c>
      <c r="G358">
        <v>1647.63</v>
      </c>
      <c r="H358">
        <v>1642.59</v>
      </c>
      <c r="I358">
        <v>1637.77</v>
      </c>
      <c r="J358">
        <v>1633.17</v>
      </c>
      <c r="K358">
        <v>1628.79</v>
      </c>
      <c r="L358">
        <v>1624.63</v>
      </c>
    </row>
    <row r="359" spans="1:12" x14ac:dyDescent="0.15">
      <c r="A359">
        <v>1770</v>
      </c>
      <c r="B359">
        <v>1679.3</v>
      </c>
      <c r="C359">
        <v>1673.05</v>
      </c>
      <c r="D359">
        <v>1667.02</v>
      </c>
      <c r="E359">
        <v>1661.2</v>
      </c>
      <c r="F359">
        <v>1655.61</v>
      </c>
      <c r="G359">
        <v>1650.24</v>
      </c>
      <c r="H359">
        <v>1645.09</v>
      </c>
      <c r="I359">
        <v>1640.16</v>
      </c>
      <c r="J359">
        <v>1635.45</v>
      </c>
      <c r="K359">
        <v>1630.96</v>
      </c>
      <c r="L359">
        <v>1626.69</v>
      </c>
    </row>
    <row r="360" spans="1:12" x14ac:dyDescent="0.15">
      <c r="A360">
        <v>1775</v>
      </c>
      <c r="B360">
        <v>1682.52</v>
      </c>
      <c r="C360">
        <v>1676.15</v>
      </c>
      <c r="D360">
        <v>1670.01</v>
      </c>
      <c r="E360">
        <v>1664.09</v>
      </c>
      <c r="F360">
        <v>1658.39</v>
      </c>
      <c r="G360">
        <v>1652.91</v>
      </c>
      <c r="H360">
        <v>1647.65</v>
      </c>
      <c r="I360">
        <v>1642.61</v>
      </c>
      <c r="J360">
        <v>1637.79</v>
      </c>
      <c r="K360">
        <v>1633.19</v>
      </c>
      <c r="L360">
        <v>1628.81</v>
      </c>
    </row>
    <row r="361" spans="1:12" x14ac:dyDescent="0.15">
      <c r="A361">
        <v>1780</v>
      </c>
      <c r="B361">
        <v>1685.79</v>
      </c>
      <c r="C361">
        <v>1679.31</v>
      </c>
      <c r="D361">
        <v>1673.06</v>
      </c>
      <c r="E361">
        <v>1667.03</v>
      </c>
      <c r="F361">
        <v>1661.22</v>
      </c>
      <c r="G361">
        <v>1655.63</v>
      </c>
      <c r="H361">
        <v>1650.26</v>
      </c>
      <c r="I361">
        <v>1645.11</v>
      </c>
      <c r="J361">
        <v>1640.18</v>
      </c>
      <c r="K361">
        <v>1635.47</v>
      </c>
      <c r="L361">
        <v>1630.98</v>
      </c>
    </row>
    <row r="362" spans="1:12" x14ac:dyDescent="0.15">
      <c r="A362">
        <v>1785</v>
      </c>
      <c r="B362">
        <v>1689.11</v>
      </c>
      <c r="C362">
        <v>1682.53</v>
      </c>
      <c r="D362">
        <v>1676.17</v>
      </c>
      <c r="E362">
        <v>1670.03</v>
      </c>
      <c r="F362">
        <v>1664.11</v>
      </c>
      <c r="G362">
        <v>1658.41</v>
      </c>
      <c r="H362">
        <v>1652.93</v>
      </c>
      <c r="I362">
        <v>1647.67</v>
      </c>
      <c r="J362">
        <v>1642.63</v>
      </c>
      <c r="K362">
        <v>1637.81</v>
      </c>
      <c r="L362">
        <v>1633.21</v>
      </c>
    </row>
    <row r="363" spans="1:12" x14ac:dyDescent="0.15">
      <c r="A363">
        <v>1790</v>
      </c>
      <c r="B363">
        <v>1692.49</v>
      </c>
      <c r="C363">
        <v>1685.8</v>
      </c>
      <c r="D363">
        <v>1679.33</v>
      </c>
      <c r="E363">
        <v>1673.08</v>
      </c>
      <c r="F363">
        <v>1667.05</v>
      </c>
      <c r="G363">
        <v>1661.24</v>
      </c>
      <c r="H363">
        <v>1655.65</v>
      </c>
      <c r="I363">
        <v>1650.28</v>
      </c>
      <c r="J363">
        <v>1645.13</v>
      </c>
      <c r="K363">
        <v>1640.2</v>
      </c>
      <c r="L363">
        <v>1635.5</v>
      </c>
    </row>
    <row r="364" spans="1:12" x14ac:dyDescent="0.15">
      <c r="A364">
        <v>1795</v>
      </c>
      <c r="B364">
        <v>1695.93</v>
      </c>
      <c r="C364">
        <v>1689.13</v>
      </c>
      <c r="D364">
        <v>1682.54</v>
      </c>
      <c r="E364">
        <v>1676.19</v>
      </c>
      <c r="F364">
        <v>1670.04</v>
      </c>
      <c r="G364">
        <v>1664.12</v>
      </c>
      <c r="H364">
        <v>1658.42</v>
      </c>
      <c r="I364">
        <v>1652.95</v>
      </c>
      <c r="J364">
        <v>1647.69</v>
      </c>
      <c r="K364">
        <v>1642.65</v>
      </c>
      <c r="L364">
        <v>1637.83</v>
      </c>
    </row>
    <row r="365" spans="1:12" x14ac:dyDescent="0.15">
      <c r="A365">
        <v>1800</v>
      </c>
      <c r="B365">
        <v>1699.42</v>
      </c>
      <c r="C365">
        <v>1692.51</v>
      </c>
      <c r="D365">
        <v>1685.81</v>
      </c>
      <c r="E365">
        <v>1679.35</v>
      </c>
      <c r="F365">
        <v>1673.1</v>
      </c>
      <c r="G365">
        <v>1667.07</v>
      </c>
      <c r="H365">
        <v>1661.26</v>
      </c>
      <c r="I365">
        <v>1655.67</v>
      </c>
      <c r="J365">
        <v>1650.3</v>
      </c>
      <c r="K365">
        <v>1645.15</v>
      </c>
      <c r="L365">
        <v>1640.23</v>
      </c>
    </row>
    <row r="366" spans="1:12" x14ac:dyDescent="0.15">
      <c r="A366">
        <v>1805</v>
      </c>
      <c r="B366">
        <v>1702.97</v>
      </c>
      <c r="C366">
        <v>1695.95</v>
      </c>
      <c r="D366">
        <v>1689.14</v>
      </c>
      <c r="E366">
        <v>1682.56</v>
      </c>
      <c r="F366">
        <v>1676.2</v>
      </c>
      <c r="G366">
        <v>1670.06</v>
      </c>
      <c r="H366">
        <v>1664.14</v>
      </c>
      <c r="I366">
        <v>1658.45</v>
      </c>
      <c r="J366">
        <v>1652.97</v>
      </c>
      <c r="K366">
        <v>1647.71</v>
      </c>
      <c r="L366">
        <v>1642.67</v>
      </c>
    </row>
    <row r="367" spans="1:12" x14ac:dyDescent="0.15">
      <c r="A367">
        <v>1810</v>
      </c>
      <c r="B367">
        <v>1706.57</v>
      </c>
      <c r="C367">
        <v>1699.44</v>
      </c>
      <c r="D367">
        <v>1692.52</v>
      </c>
      <c r="E367">
        <v>1685.84</v>
      </c>
      <c r="F367">
        <v>1679.36</v>
      </c>
      <c r="G367">
        <v>1673.12</v>
      </c>
      <c r="H367">
        <v>1667.09</v>
      </c>
      <c r="I367">
        <v>1661.28</v>
      </c>
      <c r="J367">
        <v>1655.69</v>
      </c>
      <c r="K367">
        <v>1650.32</v>
      </c>
      <c r="L367">
        <v>1645.18</v>
      </c>
    </row>
    <row r="368" spans="1:12" x14ac:dyDescent="0.15">
      <c r="A368">
        <v>1815</v>
      </c>
      <c r="B368">
        <v>1710.23</v>
      </c>
      <c r="C368">
        <v>1702.98</v>
      </c>
      <c r="D368">
        <v>1695.96</v>
      </c>
      <c r="E368">
        <v>1689.16</v>
      </c>
      <c r="F368">
        <v>1682.58</v>
      </c>
      <c r="G368">
        <v>1676.22</v>
      </c>
      <c r="H368">
        <v>1670.08</v>
      </c>
      <c r="I368">
        <v>1664.17</v>
      </c>
      <c r="J368">
        <v>1658.47</v>
      </c>
      <c r="K368">
        <v>1652.99</v>
      </c>
      <c r="L368">
        <v>1647.73</v>
      </c>
    </row>
    <row r="369" spans="1:12" x14ac:dyDescent="0.15">
      <c r="A369">
        <v>1820</v>
      </c>
      <c r="B369">
        <v>1713.94</v>
      </c>
      <c r="C369">
        <v>1706.58</v>
      </c>
      <c r="D369">
        <v>1699.45</v>
      </c>
      <c r="E369">
        <v>1692.54</v>
      </c>
      <c r="F369">
        <v>1685.85</v>
      </c>
      <c r="G369">
        <v>1679.38</v>
      </c>
      <c r="H369">
        <v>1673.14</v>
      </c>
      <c r="I369">
        <v>1667.11</v>
      </c>
      <c r="J369">
        <v>1661.3</v>
      </c>
      <c r="K369">
        <v>1655.71</v>
      </c>
      <c r="L369">
        <v>1650.35</v>
      </c>
    </row>
    <row r="370" spans="1:12" x14ac:dyDescent="0.15">
      <c r="A370">
        <v>1825</v>
      </c>
      <c r="B370">
        <v>1717.7</v>
      </c>
      <c r="C370">
        <v>1710.24</v>
      </c>
      <c r="D370">
        <v>1703</v>
      </c>
      <c r="E370">
        <v>1695.98</v>
      </c>
      <c r="F370">
        <v>1689.18</v>
      </c>
      <c r="G370">
        <v>1682.6</v>
      </c>
      <c r="H370">
        <v>1676.24</v>
      </c>
      <c r="I370">
        <v>1670.11</v>
      </c>
      <c r="J370">
        <v>1664.19</v>
      </c>
      <c r="K370">
        <v>1658.49</v>
      </c>
      <c r="L370">
        <v>1653.02</v>
      </c>
    </row>
    <row r="371" spans="1:12" x14ac:dyDescent="0.15">
      <c r="A371">
        <v>1830</v>
      </c>
      <c r="B371">
        <v>1721.52</v>
      </c>
      <c r="C371">
        <v>1713.95</v>
      </c>
      <c r="D371">
        <v>1706.6</v>
      </c>
      <c r="E371">
        <v>1699.47</v>
      </c>
      <c r="F371">
        <v>1692.56</v>
      </c>
      <c r="G371">
        <v>1685.87</v>
      </c>
      <c r="H371">
        <v>1679.41</v>
      </c>
      <c r="I371">
        <v>1673.16</v>
      </c>
      <c r="J371">
        <v>1667.13</v>
      </c>
      <c r="K371">
        <v>1661.33</v>
      </c>
      <c r="L371">
        <v>1655.74</v>
      </c>
    </row>
    <row r="372" spans="1:12" x14ac:dyDescent="0.15">
      <c r="A372">
        <v>1835</v>
      </c>
      <c r="B372">
        <v>1725.4</v>
      </c>
      <c r="C372">
        <v>1717.72</v>
      </c>
      <c r="D372">
        <v>1710.26</v>
      </c>
      <c r="E372">
        <v>1703.02</v>
      </c>
      <c r="F372">
        <v>1696</v>
      </c>
      <c r="G372">
        <v>1689.2</v>
      </c>
      <c r="H372">
        <v>1682.62</v>
      </c>
      <c r="I372">
        <v>1676.27</v>
      </c>
      <c r="J372">
        <v>1670.13</v>
      </c>
      <c r="K372">
        <v>1664.21</v>
      </c>
      <c r="L372">
        <v>1658.52</v>
      </c>
    </row>
    <row r="373" spans="1:12" x14ac:dyDescent="0.15">
      <c r="A373">
        <v>1840</v>
      </c>
      <c r="B373">
        <v>1729.33</v>
      </c>
      <c r="C373">
        <v>1721.54</v>
      </c>
      <c r="D373">
        <v>1713.97</v>
      </c>
      <c r="E373">
        <v>1706.62</v>
      </c>
      <c r="F373">
        <v>1699.49</v>
      </c>
      <c r="G373">
        <v>1692.58</v>
      </c>
      <c r="H373">
        <v>1685.9</v>
      </c>
      <c r="I373">
        <v>1679.43</v>
      </c>
      <c r="J373">
        <v>1673.18</v>
      </c>
      <c r="K373">
        <v>1667.16</v>
      </c>
      <c r="L373">
        <v>1661.35</v>
      </c>
    </row>
    <row r="374" spans="1:12" x14ac:dyDescent="0.15">
      <c r="A374">
        <v>1845</v>
      </c>
      <c r="B374">
        <v>1733.32</v>
      </c>
      <c r="C374">
        <v>1725.42</v>
      </c>
      <c r="D374">
        <v>1717.73</v>
      </c>
      <c r="E374">
        <v>1710.28</v>
      </c>
      <c r="F374">
        <v>1703.04</v>
      </c>
      <c r="G374">
        <v>1696.02</v>
      </c>
      <c r="H374">
        <v>1689.22</v>
      </c>
      <c r="I374">
        <v>1682.65</v>
      </c>
      <c r="J374">
        <v>1676.29</v>
      </c>
      <c r="K374">
        <v>1670.15</v>
      </c>
      <c r="L374">
        <v>1664.24</v>
      </c>
    </row>
    <row r="375" spans="1:12" x14ac:dyDescent="0.15">
      <c r="A375">
        <v>1850</v>
      </c>
      <c r="B375">
        <v>1737.36</v>
      </c>
      <c r="C375">
        <v>1729.35</v>
      </c>
      <c r="D375">
        <v>1721.56</v>
      </c>
      <c r="E375">
        <v>1713.99</v>
      </c>
      <c r="F375">
        <v>1706.64</v>
      </c>
      <c r="G375">
        <v>1699.51</v>
      </c>
      <c r="H375">
        <v>1692.61</v>
      </c>
      <c r="I375">
        <v>1685.92</v>
      </c>
      <c r="J375">
        <v>1679.45</v>
      </c>
      <c r="K375">
        <v>1673.21</v>
      </c>
      <c r="L375">
        <v>1667.18</v>
      </c>
    </row>
    <row r="376" spans="1:12" x14ac:dyDescent="0.15">
      <c r="A376">
        <v>1855</v>
      </c>
      <c r="B376">
        <v>1741.46</v>
      </c>
      <c r="C376">
        <v>1733.34</v>
      </c>
      <c r="D376">
        <v>1725.43</v>
      </c>
      <c r="E376">
        <v>1717.76</v>
      </c>
      <c r="F376">
        <v>1710.3</v>
      </c>
      <c r="G376">
        <v>1703.06</v>
      </c>
      <c r="H376">
        <v>1696.04</v>
      </c>
      <c r="I376">
        <v>1689.25</v>
      </c>
      <c r="J376">
        <v>1682.67</v>
      </c>
      <c r="K376">
        <v>1676.32</v>
      </c>
      <c r="L376">
        <v>1670.18</v>
      </c>
    </row>
    <row r="377" spans="1:12" x14ac:dyDescent="0.15">
      <c r="A377">
        <v>1860</v>
      </c>
      <c r="B377">
        <v>1745.61</v>
      </c>
      <c r="C377">
        <v>1737.38</v>
      </c>
      <c r="D377">
        <v>1729.36</v>
      </c>
      <c r="E377">
        <v>1721.58</v>
      </c>
      <c r="F377">
        <v>1714.01</v>
      </c>
      <c r="G377">
        <v>1706.66</v>
      </c>
      <c r="H377">
        <v>1699.54</v>
      </c>
      <c r="I377">
        <v>1692.63</v>
      </c>
      <c r="J377">
        <v>1685.94</v>
      </c>
      <c r="K377">
        <v>1679.48</v>
      </c>
      <c r="L377">
        <v>1673.23</v>
      </c>
    </row>
    <row r="378" spans="1:12" x14ac:dyDescent="0.15">
      <c r="A378">
        <v>1865</v>
      </c>
      <c r="B378">
        <v>1749.81</v>
      </c>
      <c r="C378">
        <v>1741.47</v>
      </c>
      <c r="D378">
        <v>1733.35</v>
      </c>
      <c r="E378">
        <v>1725.46</v>
      </c>
      <c r="F378">
        <v>1717.78</v>
      </c>
      <c r="G378">
        <v>1710.32</v>
      </c>
      <c r="H378">
        <v>1703.08</v>
      </c>
      <c r="I378">
        <v>1696.07</v>
      </c>
      <c r="J378">
        <v>1689.27</v>
      </c>
      <c r="K378">
        <v>1682.7</v>
      </c>
      <c r="L378">
        <v>1676.34</v>
      </c>
    </row>
    <row r="379" spans="1:12" x14ac:dyDescent="0.15">
      <c r="A379">
        <v>1870</v>
      </c>
      <c r="B379">
        <v>1754.08</v>
      </c>
      <c r="C379">
        <v>1745.63</v>
      </c>
      <c r="D379">
        <v>1737.39</v>
      </c>
      <c r="E379">
        <v>1729.39</v>
      </c>
      <c r="F379">
        <v>1721.6</v>
      </c>
      <c r="G379">
        <v>1714.03</v>
      </c>
      <c r="H379">
        <v>1706.69</v>
      </c>
      <c r="I379">
        <v>1699.56</v>
      </c>
      <c r="J379">
        <v>1692.66</v>
      </c>
      <c r="K379">
        <v>1685.97</v>
      </c>
      <c r="L379">
        <v>1679.51</v>
      </c>
    </row>
    <row r="380" spans="1:12" x14ac:dyDescent="0.15">
      <c r="A380">
        <v>1875</v>
      </c>
      <c r="B380">
        <v>1758.39</v>
      </c>
      <c r="C380">
        <v>1749.83</v>
      </c>
      <c r="D380">
        <v>1741.49</v>
      </c>
      <c r="E380">
        <v>1733.38</v>
      </c>
      <c r="F380">
        <v>1725.48</v>
      </c>
      <c r="G380">
        <v>1717.8</v>
      </c>
      <c r="H380">
        <v>1710.34</v>
      </c>
      <c r="I380">
        <v>1703.11</v>
      </c>
      <c r="J380">
        <v>1696.09</v>
      </c>
      <c r="K380">
        <v>1689.3</v>
      </c>
      <c r="L380">
        <v>1682.72</v>
      </c>
    </row>
    <row r="381" spans="1:12" x14ac:dyDescent="0.15">
      <c r="A381">
        <v>1880</v>
      </c>
      <c r="B381">
        <v>1762.76</v>
      </c>
      <c r="C381">
        <v>1754.09</v>
      </c>
      <c r="D381">
        <v>1745.64</v>
      </c>
      <c r="E381">
        <v>1737.42</v>
      </c>
      <c r="F381">
        <v>1729.41</v>
      </c>
      <c r="G381">
        <v>1721.62</v>
      </c>
      <c r="H381">
        <v>1714.06</v>
      </c>
      <c r="I381">
        <v>1706.71</v>
      </c>
      <c r="J381">
        <v>1699.59</v>
      </c>
      <c r="K381">
        <v>1692.68</v>
      </c>
      <c r="L381">
        <v>1686</v>
      </c>
    </row>
    <row r="382" spans="1:12" x14ac:dyDescent="0.15">
      <c r="A382">
        <v>1885</v>
      </c>
      <c r="B382">
        <v>1767.19</v>
      </c>
      <c r="C382">
        <v>1758.41</v>
      </c>
      <c r="D382">
        <v>1749.85</v>
      </c>
      <c r="E382">
        <v>1741.52</v>
      </c>
      <c r="F382">
        <v>1733.4</v>
      </c>
      <c r="G382">
        <v>1725.5</v>
      </c>
      <c r="H382">
        <v>1717.83</v>
      </c>
      <c r="I382">
        <v>1710.37</v>
      </c>
      <c r="J382">
        <v>1703.13</v>
      </c>
      <c r="K382">
        <v>1696.12</v>
      </c>
      <c r="L382">
        <v>1689.33</v>
      </c>
    </row>
    <row r="383" spans="1:12" x14ac:dyDescent="0.15">
      <c r="A383">
        <v>1890</v>
      </c>
      <c r="B383">
        <v>1771.67</v>
      </c>
      <c r="C383">
        <v>1762.78</v>
      </c>
      <c r="D383">
        <v>1754.11</v>
      </c>
      <c r="E383">
        <v>1745.67</v>
      </c>
      <c r="F383">
        <v>1737.44</v>
      </c>
      <c r="G383">
        <v>1729.43</v>
      </c>
      <c r="H383">
        <v>1721.65</v>
      </c>
      <c r="I383">
        <v>1714.08</v>
      </c>
      <c r="J383">
        <v>1706.74</v>
      </c>
      <c r="K383">
        <v>1699.61</v>
      </c>
      <c r="L383">
        <v>1692.71</v>
      </c>
    </row>
    <row r="384" spans="1:12" x14ac:dyDescent="0.15">
      <c r="A384">
        <v>1895</v>
      </c>
      <c r="B384">
        <v>1776.21</v>
      </c>
      <c r="C384">
        <v>1767.21</v>
      </c>
      <c r="D384">
        <v>1758.43</v>
      </c>
      <c r="E384">
        <v>1749.88</v>
      </c>
      <c r="F384">
        <v>1741.54</v>
      </c>
      <c r="G384">
        <v>1733.42</v>
      </c>
      <c r="H384">
        <v>1725.53</v>
      </c>
      <c r="I384">
        <v>1717.85</v>
      </c>
      <c r="J384">
        <v>1710.4</v>
      </c>
      <c r="K384">
        <v>1703.16</v>
      </c>
      <c r="L384">
        <v>1696.15</v>
      </c>
    </row>
    <row r="385" spans="1:12" x14ac:dyDescent="0.15">
      <c r="A385">
        <v>1900</v>
      </c>
      <c r="B385">
        <v>1780.8</v>
      </c>
      <c r="C385">
        <v>1771.69</v>
      </c>
      <c r="D385">
        <v>1762.8</v>
      </c>
      <c r="E385">
        <v>1754.14</v>
      </c>
      <c r="F385">
        <v>1745.69</v>
      </c>
      <c r="G385">
        <v>1737.46</v>
      </c>
      <c r="H385">
        <v>1729.46</v>
      </c>
      <c r="I385">
        <v>1721.67</v>
      </c>
      <c r="J385">
        <v>1714.11</v>
      </c>
      <c r="K385">
        <v>1706.77</v>
      </c>
      <c r="L385">
        <v>1699.64</v>
      </c>
    </row>
    <row r="386" spans="1:12" x14ac:dyDescent="0.15">
      <c r="A386">
        <v>1905</v>
      </c>
      <c r="B386">
        <v>1785.45</v>
      </c>
      <c r="C386">
        <v>1776.23</v>
      </c>
      <c r="D386">
        <v>1767.23</v>
      </c>
      <c r="E386">
        <v>1758.46</v>
      </c>
      <c r="F386">
        <v>1749.9</v>
      </c>
      <c r="G386">
        <v>1741.56</v>
      </c>
      <c r="H386">
        <v>1733.45</v>
      </c>
      <c r="I386">
        <v>1725.55</v>
      </c>
      <c r="J386">
        <v>1717.88</v>
      </c>
      <c r="K386">
        <v>1710.42</v>
      </c>
      <c r="L386">
        <v>1703.19</v>
      </c>
    </row>
    <row r="387" spans="1:12" x14ac:dyDescent="0.15">
      <c r="A387">
        <v>1910</v>
      </c>
      <c r="B387">
        <v>1790.15</v>
      </c>
      <c r="C387">
        <v>1780.82</v>
      </c>
      <c r="D387">
        <v>1771.71</v>
      </c>
      <c r="E387">
        <v>1762.83</v>
      </c>
      <c r="F387">
        <v>1754.16</v>
      </c>
      <c r="G387">
        <v>1745.72</v>
      </c>
      <c r="H387">
        <v>1737.49</v>
      </c>
      <c r="I387">
        <v>1729.49</v>
      </c>
      <c r="J387">
        <v>1721.7</v>
      </c>
      <c r="K387">
        <v>1714.14</v>
      </c>
      <c r="L387">
        <v>1706.8</v>
      </c>
    </row>
    <row r="388" spans="1:12" x14ac:dyDescent="0.15">
      <c r="A388">
        <v>1915</v>
      </c>
      <c r="B388">
        <v>1794.91</v>
      </c>
      <c r="C388">
        <v>1785.47</v>
      </c>
      <c r="D388">
        <v>1776.25</v>
      </c>
      <c r="E388">
        <v>1767.26</v>
      </c>
      <c r="F388">
        <v>1758.48</v>
      </c>
      <c r="G388">
        <v>1749.92</v>
      </c>
      <c r="H388">
        <v>1741.59</v>
      </c>
      <c r="I388">
        <v>1733.47</v>
      </c>
      <c r="J388">
        <v>1725.58</v>
      </c>
      <c r="K388">
        <v>1717.91</v>
      </c>
      <c r="L388">
        <v>1710.45</v>
      </c>
    </row>
    <row r="389" spans="1:12" x14ac:dyDescent="0.15">
      <c r="A389">
        <v>1920</v>
      </c>
      <c r="B389">
        <v>1799.72</v>
      </c>
      <c r="C389">
        <v>1790.17</v>
      </c>
      <c r="D389">
        <v>1780.84</v>
      </c>
      <c r="E389">
        <v>1771.74</v>
      </c>
      <c r="F389">
        <v>1762.85</v>
      </c>
      <c r="G389">
        <v>1754.19</v>
      </c>
      <c r="H389">
        <v>1745.74</v>
      </c>
      <c r="I389">
        <v>1737.52</v>
      </c>
      <c r="J389">
        <v>1729.51</v>
      </c>
      <c r="K389">
        <v>1721.73</v>
      </c>
      <c r="L389">
        <v>1714.17</v>
      </c>
    </row>
    <row r="390" spans="1:12" x14ac:dyDescent="0.15">
      <c r="A390">
        <v>1925</v>
      </c>
      <c r="B390">
        <v>1804.59</v>
      </c>
      <c r="C390">
        <v>1794.93</v>
      </c>
      <c r="D390">
        <v>1785.49</v>
      </c>
      <c r="E390">
        <v>1776.28</v>
      </c>
      <c r="F390">
        <v>1767.28</v>
      </c>
      <c r="G390">
        <v>1758.5</v>
      </c>
      <c r="H390">
        <v>1749.95</v>
      </c>
      <c r="I390">
        <v>1741.62</v>
      </c>
      <c r="J390">
        <v>1733.5</v>
      </c>
      <c r="K390">
        <v>1725.61</v>
      </c>
      <c r="L390">
        <v>1717.94</v>
      </c>
    </row>
    <row r="391" spans="1:12" x14ac:dyDescent="0.15">
      <c r="A391">
        <v>1930</v>
      </c>
      <c r="B391">
        <v>1809.51</v>
      </c>
      <c r="C391">
        <v>1799.74</v>
      </c>
      <c r="D391">
        <v>1790.19</v>
      </c>
      <c r="E391">
        <v>1780.87</v>
      </c>
      <c r="F391">
        <v>1771.76</v>
      </c>
      <c r="G391">
        <v>1762.88</v>
      </c>
      <c r="H391">
        <v>1754.21</v>
      </c>
      <c r="I391">
        <v>1745.77</v>
      </c>
      <c r="J391">
        <v>1737.55</v>
      </c>
      <c r="K391">
        <v>1729.54</v>
      </c>
      <c r="L391">
        <v>1721.76</v>
      </c>
    </row>
    <row r="392" spans="1:12" x14ac:dyDescent="0.15">
      <c r="A392">
        <v>1935</v>
      </c>
      <c r="B392">
        <v>1814.49</v>
      </c>
      <c r="C392">
        <v>1804.61</v>
      </c>
      <c r="D392">
        <v>1794.95</v>
      </c>
      <c r="E392">
        <v>1785.52</v>
      </c>
      <c r="F392">
        <v>1776.3</v>
      </c>
      <c r="G392">
        <v>1767.31</v>
      </c>
      <c r="H392">
        <v>1758.53</v>
      </c>
      <c r="I392">
        <v>1749.98</v>
      </c>
      <c r="J392">
        <v>1741.65</v>
      </c>
      <c r="K392">
        <v>1733.53</v>
      </c>
      <c r="L392">
        <v>1725.64</v>
      </c>
    </row>
    <row r="393" spans="1:12" x14ac:dyDescent="0.15">
      <c r="A393">
        <v>1940</v>
      </c>
      <c r="B393">
        <v>1819.52</v>
      </c>
      <c r="C393">
        <v>1809.53</v>
      </c>
      <c r="D393">
        <v>1799.76</v>
      </c>
      <c r="E393">
        <v>1790.22</v>
      </c>
      <c r="F393">
        <v>1780.89</v>
      </c>
      <c r="G393">
        <v>1771.79</v>
      </c>
      <c r="H393">
        <v>1762.91</v>
      </c>
      <c r="I393">
        <v>1754.24</v>
      </c>
      <c r="J393">
        <v>1745.8</v>
      </c>
      <c r="K393">
        <v>1737.58</v>
      </c>
      <c r="L393">
        <v>1729.58</v>
      </c>
    </row>
    <row r="394" spans="1:12" x14ac:dyDescent="0.15">
      <c r="A394">
        <v>1945</v>
      </c>
      <c r="B394">
        <v>1824.61</v>
      </c>
      <c r="C394">
        <v>1814.51</v>
      </c>
      <c r="D394">
        <v>1804.63</v>
      </c>
      <c r="E394">
        <v>1794.98</v>
      </c>
      <c r="F394">
        <v>1785.54</v>
      </c>
      <c r="G394">
        <v>1776.33</v>
      </c>
      <c r="H394">
        <v>1767.33</v>
      </c>
      <c r="I394">
        <v>1758.56</v>
      </c>
      <c r="J394">
        <v>1750.01</v>
      </c>
      <c r="K394">
        <v>1741.68</v>
      </c>
      <c r="L394">
        <v>1733.56</v>
      </c>
    </row>
    <row r="395" spans="1:12" x14ac:dyDescent="0.15">
      <c r="A395">
        <v>1950</v>
      </c>
      <c r="B395">
        <v>1829.75</v>
      </c>
      <c r="C395">
        <v>1819.54</v>
      </c>
      <c r="D395">
        <v>1809.55</v>
      </c>
      <c r="E395">
        <v>1799.79</v>
      </c>
      <c r="F395">
        <v>1790.24</v>
      </c>
      <c r="G395">
        <v>1780.92</v>
      </c>
      <c r="H395">
        <v>1771.82</v>
      </c>
      <c r="I395">
        <v>1762.93</v>
      </c>
      <c r="J395">
        <v>1754.27</v>
      </c>
      <c r="K395">
        <v>1745.83</v>
      </c>
      <c r="L395">
        <v>1737.61</v>
      </c>
    </row>
    <row r="396" spans="1:12" x14ac:dyDescent="0.15">
      <c r="A396">
        <v>1955</v>
      </c>
      <c r="B396">
        <v>1834.95</v>
      </c>
      <c r="C396">
        <v>1824.63</v>
      </c>
      <c r="D396">
        <v>1814.53</v>
      </c>
      <c r="E396">
        <v>1804.66</v>
      </c>
      <c r="F396">
        <v>1795</v>
      </c>
      <c r="G396">
        <v>1785.57</v>
      </c>
      <c r="H396">
        <v>1776.36</v>
      </c>
      <c r="I396">
        <v>1767.36</v>
      </c>
      <c r="J396">
        <v>1758.59</v>
      </c>
      <c r="K396">
        <v>1750.04</v>
      </c>
      <c r="L396">
        <v>1741.71</v>
      </c>
    </row>
    <row r="397" spans="1:12" x14ac:dyDescent="0.15">
      <c r="A397">
        <v>1960</v>
      </c>
      <c r="B397">
        <v>1840.2</v>
      </c>
      <c r="C397">
        <v>1829.77</v>
      </c>
      <c r="D397">
        <v>1819.56</v>
      </c>
      <c r="E397">
        <v>1809.58</v>
      </c>
      <c r="F397">
        <v>1799.82</v>
      </c>
      <c r="G397">
        <v>1790.27</v>
      </c>
      <c r="H397">
        <v>1780.95</v>
      </c>
      <c r="I397">
        <v>1771.85</v>
      </c>
      <c r="J397">
        <v>1762.96</v>
      </c>
      <c r="K397">
        <v>1754.3</v>
      </c>
      <c r="L397">
        <v>1745.86</v>
      </c>
    </row>
    <row r="398" spans="1:12" x14ac:dyDescent="0.15">
      <c r="A398">
        <v>1965</v>
      </c>
      <c r="B398">
        <v>1845.51</v>
      </c>
      <c r="C398">
        <v>1834.97</v>
      </c>
      <c r="D398">
        <v>1824.65</v>
      </c>
      <c r="E398">
        <v>1814.56</v>
      </c>
      <c r="F398">
        <v>1804.68</v>
      </c>
      <c r="G398">
        <v>1795.03</v>
      </c>
      <c r="H398">
        <v>1785.6</v>
      </c>
      <c r="I398">
        <v>1776.39</v>
      </c>
      <c r="J398">
        <v>1767.39</v>
      </c>
      <c r="K398">
        <v>1758.62</v>
      </c>
      <c r="L398">
        <v>1750.07</v>
      </c>
    </row>
    <row r="399" spans="1:12" x14ac:dyDescent="0.15">
      <c r="A399">
        <v>1970</v>
      </c>
      <c r="B399">
        <v>1850.87</v>
      </c>
      <c r="C399">
        <v>1840.22</v>
      </c>
      <c r="D399">
        <v>1829.79</v>
      </c>
      <c r="E399">
        <v>1819.59</v>
      </c>
      <c r="F399">
        <v>1809.61</v>
      </c>
      <c r="G399">
        <v>1799.84</v>
      </c>
      <c r="H399">
        <v>1790.3</v>
      </c>
      <c r="I399">
        <v>1780.98</v>
      </c>
      <c r="J399">
        <v>1771.88</v>
      </c>
      <c r="K399">
        <v>1763</v>
      </c>
      <c r="L399">
        <v>1754.34</v>
      </c>
    </row>
    <row r="400" spans="1:12" x14ac:dyDescent="0.15">
      <c r="A400">
        <v>1975</v>
      </c>
      <c r="B400">
        <v>1856.29</v>
      </c>
      <c r="C400">
        <v>1845.53</v>
      </c>
      <c r="D400">
        <v>1834.99</v>
      </c>
      <c r="E400">
        <v>1824.68</v>
      </c>
      <c r="F400">
        <v>1814.59</v>
      </c>
      <c r="G400">
        <v>1804.71</v>
      </c>
      <c r="H400">
        <v>1795.06</v>
      </c>
      <c r="I400">
        <v>1785.63</v>
      </c>
      <c r="J400">
        <v>1776.42</v>
      </c>
      <c r="K400">
        <v>1767.42</v>
      </c>
      <c r="L400">
        <v>1758.65</v>
      </c>
    </row>
    <row r="401" spans="1:12" x14ac:dyDescent="0.15">
      <c r="A401">
        <v>1980</v>
      </c>
      <c r="B401">
        <v>1861.75</v>
      </c>
      <c r="C401">
        <v>1850.89</v>
      </c>
      <c r="D401">
        <v>1840.24</v>
      </c>
      <c r="E401">
        <v>1829.82</v>
      </c>
      <c r="F401">
        <v>1819.62</v>
      </c>
      <c r="G401">
        <v>1809.64</v>
      </c>
      <c r="H401">
        <v>1799.87</v>
      </c>
      <c r="I401">
        <v>1790.33</v>
      </c>
      <c r="J401">
        <v>1781.01</v>
      </c>
      <c r="K401">
        <v>1771.91</v>
      </c>
      <c r="L401">
        <v>1763.03</v>
      </c>
    </row>
    <row r="402" spans="1:12" x14ac:dyDescent="0.15">
      <c r="A402">
        <v>1985</v>
      </c>
      <c r="B402">
        <v>1867.24</v>
      </c>
      <c r="C402">
        <v>1856.31</v>
      </c>
      <c r="D402">
        <v>1845.55</v>
      </c>
      <c r="E402">
        <v>1835.02</v>
      </c>
      <c r="F402">
        <v>1824.71</v>
      </c>
      <c r="G402">
        <v>1814.61</v>
      </c>
      <c r="H402">
        <v>1804.74</v>
      </c>
      <c r="I402">
        <v>1795.09</v>
      </c>
      <c r="J402">
        <v>1785.66</v>
      </c>
      <c r="K402">
        <v>1776.45</v>
      </c>
      <c r="L402">
        <v>1767.46</v>
      </c>
    </row>
    <row r="403" spans="1:12" x14ac:dyDescent="0.15">
      <c r="A403">
        <v>1990</v>
      </c>
      <c r="B403">
        <v>1872.73</v>
      </c>
      <c r="C403">
        <v>1861.78</v>
      </c>
      <c r="D403">
        <v>1850.92</v>
      </c>
      <c r="E403">
        <v>1840.27</v>
      </c>
      <c r="F403">
        <v>1829.85</v>
      </c>
      <c r="G403">
        <v>1819.65</v>
      </c>
      <c r="H403">
        <v>1809.67</v>
      </c>
      <c r="I403">
        <v>1799.9</v>
      </c>
      <c r="J403">
        <v>1790.36</v>
      </c>
      <c r="K403">
        <v>1781.04</v>
      </c>
      <c r="L403">
        <v>1771.94</v>
      </c>
    </row>
    <row r="404" spans="1:12" x14ac:dyDescent="0.15">
      <c r="A404">
        <v>1995</v>
      </c>
      <c r="B404">
        <v>1878.21</v>
      </c>
      <c r="C404">
        <v>1867.27</v>
      </c>
      <c r="D404">
        <v>1856.33</v>
      </c>
      <c r="E404">
        <v>1845.58</v>
      </c>
      <c r="F404">
        <v>1835.05</v>
      </c>
      <c r="G404">
        <v>1824.74</v>
      </c>
      <c r="H404">
        <v>1814.64</v>
      </c>
      <c r="I404">
        <v>1804.77</v>
      </c>
      <c r="J404">
        <v>1795.12</v>
      </c>
      <c r="K404">
        <v>1785.69</v>
      </c>
      <c r="L404">
        <v>1776.48</v>
      </c>
    </row>
    <row r="405" spans="1:12" x14ac:dyDescent="0.15">
      <c r="A405">
        <v>2000</v>
      </c>
      <c r="B405">
        <v>1883.59</v>
      </c>
      <c r="C405">
        <v>1872.75</v>
      </c>
      <c r="D405">
        <v>1861.8</v>
      </c>
      <c r="E405">
        <v>1850.95</v>
      </c>
      <c r="F405">
        <v>1840.3</v>
      </c>
      <c r="G405">
        <v>1829.88</v>
      </c>
      <c r="H405">
        <v>1819.68</v>
      </c>
      <c r="I405">
        <v>1809.7</v>
      </c>
      <c r="J405">
        <v>1799.94</v>
      </c>
      <c r="K405">
        <v>1790.4</v>
      </c>
      <c r="L405">
        <v>1781.08</v>
      </c>
    </row>
    <row r="406" spans="1:12" x14ac:dyDescent="0.15">
      <c r="A406">
        <v>2005</v>
      </c>
      <c r="B406">
        <v>1888.54</v>
      </c>
      <c r="C406">
        <v>1878.24</v>
      </c>
      <c r="D406">
        <v>1867.29</v>
      </c>
      <c r="E406">
        <v>1856.36</v>
      </c>
      <c r="F406">
        <v>1845.61</v>
      </c>
      <c r="G406">
        <v>1835.08</v>
      </c>
      <c r="H406">
        <v>1824.77</v>
      </c>
      <c r="I406">
        <v>1814.68</v>
      </c>
      <c r="J406">
        <v>1804.81</v>
      </c>
      <c r="K406">
        <v>1795.16</v>
      </c>
      <c r="L406">
        <v>1785.73</v>
      </c>
    </row>
    <row r="407" spans="1:12" x14ac:dyDescent="0.15">
      <c r="A407">
        <v>2010</v>
      </c>
      <c r="B407">
        <v>1893.01</v>
      </c>
      <c r="C407">
        <v>1883.63</v>
      </c>
      <c r="D407">
        <v>1872.78</v>
      </c>
      <c r="E407">
        <v>1861.83</v>
      </c>
      <c r="F407">
        <v>1850.98</v>
      </c>
      <c r="G407">
        <v>1840.33</v>
      </c>
      <c r="H407">
        <v>1829.91</v>
      </c>
      <c r="I407">
        <v>1819.71</v>
      </c>
      <c r="J407">
        <v>1809.73</v>
      </c>
      <c r="K407">
        <v>1799.97</v>
      </c>
      <c r="L407">
        <v>1790.43</v>
      </c>
    </row>
    <row r="408" spans="1:12" x14ac:dyDescent="0.15">
      <c r="A408">
        <v>2015</v>
      </c>
      <c r="B408">
        <v>1897</v>
      </c>
      <c r="C408">
        <v>1888.58</v>
      </c>
      <c r="D408">
        <v>1878.27</v>
      </c>
      <c r="E408">
        <v>1867.32</v>
      </c>
      <c r="F408">
        <v>1856.39</v>
      </c>
      <c r="G408">
        <v>1845.64</v>
      </c>
      <c r="H408">
        <v>1835.11</v>
      </c>
      <c r="I408">
        <v>1824.8</v>
      </c>
      <c r="J408">
        <v>1814.71</v>
      </c>
      <c r="K408">
        <v>1804.84</v>
      </c>
      <c r="L408">
        <v>1795.19</v>
      </c>
    </row>
    <row r="409" spans="1:12" x14ac:dyDescent="0.15">
      <c r="A409">
        <v>2020</v>
      </c>
      <c r="B409">
        <v>1900.51</v>
      </c>
      <c r="C409">
        <v>1893.05</v>
      </c>
      <c r="D409">
        <v>1883.66</v>
      </c>
      <c r="E409">
        <v>1872.81</v>
      </c>
      <c r="F409">
        <v>1861.86</v>
      </c>
      <c r="G409">
        <v>1851.01</v>
      </c>
      <c r="H409">
        <v>1840.36</v>
      </c>
      <c r="I409">
        <v>1829.94</v>
      </c>
      <c r="J409">
        <v>1819.74</v>
      </c>
      <c r="K409">
        <v>1809.77</v>
      </c>
      <c r="L409">
        <v>1800.01</v>
      </c>
    </row>
    <row r="410" spans="1:12" x14ac:dyDescent="0.15">
      <c r="A410">
        <v>2025</v>
      </c>
      <c r="B410">
        <v>1903.53</v>
      </c>
      <c r="C410">
        <v>1897.04</v>
      </c>
      <c r="D410">
        <v>1888.61</v>
      </c>
      <c r="E410">
        <v>1878.3</v>
      </c>
      <c r="F410">
        <v>1867.35</v>
      </c>
      <c r="G410">
        <v>1856.42</v>
      </c>
      <c r="H410">
        <v>1845.67</v>
      </c>
      <c r="I410">
        <v>1835.14</v>
      </c>
      <c r="J410">
        <v>1824.83</v>
      </c>
      <c r="K410">
        <v>1814.74</v>
      </c>
      <c r="L410">
        <v>1804.88</v>
      </c>
    </row>
    <row r="411" spans="1:12" x14ac:dyDescent="0.15">
      <c r="A411">
        <v>2030</v>
      </c>
      <c r="B411">
        <v>1906.07</v>
      </c>
      <c r="C411">
        <v>1900.54</v>
      </c>
      <c r="D411">
        <v>1893.08</v>
      </c>
      <c r="E411">
        <v>1883.68</v>
      </c>
      <c r="F411">
        <v>1872.84</v>
      </c>
      <c r="G411">
        <v>1861.89</v>
      </c>
      <c r="H411">
        <v>1851.04</v>
      </c>
      <c r="I411">
        <v>1840.4</v>
      </c>
      <c r="J411">
        <v>1829.98</v>
      </c>
      <c r="K411">
        <v>1819.78</v>
      </c>
      <c r="L411">
        <v>1809.8</v>
      </c>
    </row>
    <row r="412" spans="1:12" x14ac:dyDescent="0.15">
      <c r="A412">
        <v>2035</v>
      </c>
      <c r="B412">
        <v>1908.13</v>
      </c>
      <c r="C412">
        <v>1903.56</v>
      </c>
      <c r="D412">
        <v>1897.06</v>
      </c>
      <c r="E412">
        <v>1888.63</v>
      </c>
      <c r="F412">
        <v>1878.32</v>
      </c>
      <c r="G412">
        <v>1867.38</v>
      </c>
      <c r="H412">
        <v>1856.46</v>
      </c>
      <c r="I412">
        <v>1845.71</v>
      </c>
      <c r="J412">
        <v>1835.18</v>
      </c>
      <c r="K412">
        <v>1824.87</v>
      </c>
      <c r="L412">
        <v>1814.78</v>
      </c>
    </row>
    <row r="413" spans="1:12" x14ac:dyDescent="0.15">
      <c r="A413">
        <v>2040</v>
      </c>
      <c r="B413">
        <v>1909.7</v>
      </c>
      <c r="C413">
        <v>1906.1</v>
      </c>
      <c r="D413">
        <v>1900.56</v>
      </c>
      <c r="E413">
        <v>1893.1</v>
      </c>
      <c r="F413">
        <v>1883.69</v>
      </c>
      <c r="G413">
        <v>1872.86</v>
      </c>
      <c r="H413">
        <v>1861.92</v>
      </c>
      <c r="I413">
        <v>1851.07</v>
      </c>
      <c r="J413">
        <v>1840.43</v>
      </c>
      <c r="K413">
        <v>1830.01</v>
      </c>
      <c r="L413">
        <v>1819.82</v>
      </c>
    </row>
    <row r="414" spans="1:12" x14ac:dyDescent="0.15">
      <c r="A414">
        <v>2045</v>
      </c>
      <c r="B414">
        <v>1910.79</v>
      </c>
      <c r="C414">
        <v>1908.16</v>
      </c>
      <c r="D414">
        <v>1903.58</v>
      </c>
      <c r="E414">
        <v>1897.08</v>
      </c>
      <c r="F414">
        <v>1888.63</v>
      </c>
      <c r="G414">
        <v>1878.34</v>
      </c>
      <c r="H414">
        <v>1867.4</v>
      </c>
      <c r="I414">
        <v>1856.49</v>
      </c>
      <c r="J414">
        <v>1845.74</v>
      </c>
      <c r="K414">
        <v>1835.21</v>
      </c>
      <c r="L414">
        <v>1824.91</v>
      </c>
    </row>
    <row r="415" spans="1:12" x14ac:dyDescent="0.15">
      <c r="A415">
        <v>2050</v>
      </c>
      <c r="B415">
        <v>1911.4</v>
      </c>
      <c r="C415">
        <v>1909.73</v>
      </c>
      <c r="D415">
        <v>1906.12</v>
      </c>
      <c r="E415">
        <v>1900.58</v>
      </c>
      <c r="F415">
        <v>1893.1</v>
      </c>
      <c r="G415">
        <v>1883.68</v>
      </c>
      <c r="H415">
        <v>1872.89</v>
      </c>
      <c r="I415">
        <v>1861.95</v>
      </c>
      <c r="J415">
        <v>1851.11</v>
      </c>
      <c r="K415">
        <v>1840.47</v>
      </c>
      <c r="L415">
        <v>1830.05</v>
      </c>
    </row>
    <row r="416" spans="1:12" x14ac:dyDescent="0.15">
      <c r="A416">
        <v>2055</v>
      </c>
      <c r="B416">
        <v>1911.57</v>
      </c>
      <c r="C416">
        <v>1910.82</v>
      </c>
      <c r="D416">
        <v>1908.17</v>
      </c>
      <c r="E416">
        <v>1903.59</v>
      </c>
      <c r="F416">
        <v>1897.07</v>
      </c>
      <c r="G416">
        <v>1888.62</v>
      </c>
      <c r="H416">
        <v>1878.36</v>
      </c>
      <c r="I416">
        <v>1867.43</v>
      </c>
      <c r="J416">
        <v>1856.52</v>
      </c>
      <c r="K416">
        <v>1845.78</v>
      </c>
      <c r="L416">
        <v>1835.25</v>
      </c>
    </row>
    <row r="417" spans="1:12" x14ac:dyDescent="0.15">
      <c r="A417">
        <v>2060</v>
      </c>
      <c r="B417">
        <v>1911.57</v>
      </c>
      <c r="C417">
        <v>1911.43</v>
      </c>
      <c r="D417">
        <v>1909.74</v>
      </c>
      <c r="E417">
        <v>1906.13</v>
      </c>
      <c r="F417">
        <v>1900.57</v>
      </c>
      <c r="G417">
        <v>1893.08</v>
      </c>
      <c r="H417">
        <v>1883.67</v>
      </c>
      <c r="I417">
        <v>1872.92</v>
      </c>
      <c r="J417">
        <v>1861.98</v>
      </c>
      <c r="K417">
        <v>1851.14</v>
      </c>
      <c r="L417">
        <v>1840.51</v>
      </c>
    </row>
    <row r="418" spans="1:12" x14ac:dyDescent="0.15">
      <c r="A418">
        <v>2065</v>
      </c>
      <c r="B418">
        <v>1911.57</v>
      </c>
      <c r="C418">
        <v>1911.57</v>
      </c>
      <c r="D418">
        <v>1910.83</v>
      </c>
      <c r="E418">
        <v>1908.18</v>
      </c>
      <c r="F418">
        <v>1903.58</v>
      </c>
      <c r="G418">
        <v>1897.06</v>
      </c>
      <c r="H418">
        <v>1888.6</v>
      </c>
      <c r="I418">
        <v>1878.37</v>
      </c>
      <c r="J418">
        <v>1867.46</v>
      </c>
      <c r="K418">
        <v>1856.56</v>
      </c>
      <c r="L418">
        <v>1845.82</v>
      </c>
    </row>
    <row r="419" spans="1:12" x14ac:dyDescent="0.15">
      <c r="A419">
        <v>2070</v>
      </c>
      <c r="B419">
        <v>1911.57</v>
      </c>
      <c r="C419">
        <v>1911.57</v>
      </c>
      <c r="D419">
        <v>1911.43</v>
      </c>
      <c r="E419">
        <v>1909.74</v>
      </c>
      <c r="F419">
        <v>1906.12</v>
      </c>
      <c r="G419">
        <v>1900.55</v>
      </c>
      <c r="H419">
        <v>1893.06</v>
      </c>
      <c r="I419">
        <v>1883.64</v>
      </c>
      <c r="J419">
        <v>1872.94</v>
      </c>
      <c r="K419">
        <v>1862.01</v>
      </c>
      <c r="L419">
        <v>1851.18</v>
      </c>
    </row>
    <row r="420" spans="1:12" x14ac:dyDescent="0.15">
      <c r="A420">
        <v>2075</v>
      </c>
      <c r="B420">
        <v>1911.57</v>
      </c>
      <c r="C420">
        <v>1911.57</v>
      </c>
      <c r="D420">
        <v>1911.57</v>
      </c>
      <c r="E420">
        <v>1910.83</v>
      </c>
      <c r="F420">
        <v>1908.17</v>
      </c>
      <c r="G420">
        <v>1903.56</v>
      </c>
      <c r="H420">
        <v>1897.03</v>
      </c>
      <c r="I420">
        <v>1888.56</v>
      </c>
      <c r="J420">
        <v>1878.37</v>
      </c>
      <c r="K420">
        <v>1867.49</v>
      </c>
      <c r="L420">
        <v>1856.59</v>
      </c>
    </row>
    <row r="421" spans="1:12" x14ac:dyDescent="0.15">
      <c r="A421">
        <v>2080</v>
      </c>
      <c r="B421">
        <v>1911.57</v>
      </c>
      <c r="C421">
        <v>1911.57</v>
      </c>
      <c r="D421">
        <v>1911.57</v>
      </c>
      <c r="E421">
        <v>1911.43</v>
      </c>
      <c r="F421">
        <v>1909.73</v>
      </c>
      <c r="G421">
        <v>1906.09</v>
      </c>
      <c r="H421">
        <v>1900.52</v>
      </c>
      <c r="I421">
        <v>1893.02</v>
      </c>
      <c r="J421">
        <v>1883.61</v>
      </c>
      <c r="K421">
        <v>1872.97</v>
      </c>
      <c r="L421">
        <v>1862.04</v>
      </c>
    </row>
    <row r="422" spans="1:12" x14ac:dyDescent="0.15">
      <c r="A422">
        <v>2085</v>
      </c>
      <c r="B422">
        <v>1911.57</v>
      </c>
      <c r="C422">
        <v>1911.57</v>
      </c>
      <c r="D422">
        <v>1911.57</v>
      </c>
      <c r="E422">
        <v>1911.57</v>
      </c>
      <c r="F422">
        <v>1910.75</v>
      </c>
      <c r="G422">
        <v>1908.01</v>
      </c>
      <c r="H422">
        <v>1903.33</v>
      </c>
      <c r="I422">
        <v>1896.72</v>
      </c>
      <c r="J422">
        <v>1888.17</v>
      </c>
      <c r="K422">
        <v>1877.97</v>
      </c>
      <c r="L422">
        <v>1867.12</v>
      </c>
    </row>
  </sheetData>
  <mergeCells count="1">
    <mergeCell ref="R1:V1"/>
  </mergeCells>
  <phoneticPr fontId="1" type="noConversion"/>
  <hyperlinks>
    <hyperlink ref="R4" location="SOUNDING!A1" display="Back" xr:uid="{00000000-0004-0000-10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1" tint="0.34998626667073579"/>
  </sheetPr>
  <dimension ref="A1:W422"/>
  <sheetViews>
    <sheetView showRowColHeaders="0" workbookViewId="0">
      <pane xSplit="17" ySplit="4" topLeftCell="R401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85.35</v>
      </c>
      <c r="C5">
        <v>49.89</v>
      </c>
      <c r="D5">
        <v>15.03</v>
      </c>
      <c r="E5">
        <v>1.39</v>
      </c>
      <c r="F5">
        <v>0.59</v>
      </c>
      <c r="G5">
        <v>0.36</v>
      </c>
      <c r="H5">
        <v>0.24</v>
      </c>
      <c r="I5">
        <v>0.18</v>
      </c>
      <c r="J5">
        <v>0.13</v>
      </c>
      <c r="K5">
        <v>0.1</v>
      </c>
      <c r="L5">
        <v>0.08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116.93</v>
      </c>
      <c r="C6">
        <v>81.14</v>
      </c>
      <c r="D6">
        <v>45.81</v>
      </c>
      <c r="E6">
        <v>14.7</v>
      </c>
      <c r="F6">
        <v>6.85</v>
      </c>
      <c r="G6">
        <v>4.32</v>
      </c>
      <c r="H6">
        <v>3.06</v>
      </c>
      <c r="I6">
        <v>2.31</v>
      </c>
      <c r="J6">
        <v>1.86</v>
      </c>
      <c r="K6">
        <v>1.55</v>
      </c>
      <c r="L6">
        <v>1.31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148.86000000000001</v>
      </c>
      <c r="C7">
        <v>112.78</v>
      </c>
      <c r="D7">
        <v>77.099999999999994</v>
      </c>
      <c r="E7">
        <v>41.95</v>
      </c>
      <c r="F7">
        <v>20.38</v>
      </c>
      <c r="G7">
        <v>13.06</v>
      </c>
      <c r="H7">
        <v>9.4600000000000009</v>
      </c>
      <c r="I7">
        <v>7.33</v>
      </c>
      <c r="J7">
        <v>5.93</v>
      </c>
      <c r="K7">
        <v>4.9000000000000004</v>
      </c>
      <c r="L7">
        <v>4.1500000000000004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181.06</v>
      </c>
      <c r="C8">
        <v>144.75</v>
      </c>
      <c r="D8">
        <v>108.77</v>
      </c>
      <c r="E8">
        <v>73.23</v>
      </c>
      <c r="F8">
        <v>41.27</v>
      </c>
      <c r="G8">
        <v>26.74</v>
      </c>
      <c r="H8">
        <v>19.52</v>
      </c>
      <c r="I8">
        <v>15.14</v>
      </c>
      <c r="J8">
        <v>12.42</v>
      </c>
      <c r="K8">
        <v>10.41</v>
      </c>
      <c r="L8">
        <v>8.92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213.51</v>
      </c>
      <c r="C9">
        <v>176.98</v>
      </c>
      <c r="D9">
        <v>140.75</v>
      </c>
      <c r="E9">
        <v>104.9</v>
      </c>
      <c r="F9">
        <v>69.55</v>
      </c>
      <c r="G9">
        <v>45.37</v>
      </c>
      <c r="H9">
        <v>33.32</v>
      </c>
      <c r="I9">
        <v>26.12</v>
      </c>
      <c r="J9">
        <v>21.36</v>
      </c>
      <c r="K9">
        <v>17.989999999999998</v>
      </c>
      <c r="L9">
        <v>15.48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246.16</v>
      </c>
      <c r="C10">
        <v>209.43</v>
      </c>
      <c r="D10">
        <v>172.99</v>
      </c>
      <c r="E10">
        <v>136.87</v>
      </c>
      <c r="F10">
        <v>101.16</v>
      </c>
      <c r="G10">
        <v>68.989999999999995</v>
      </c>
      <c r="H10">
        <v>50.86</v>
      </c>
      <c r="I10">
        <v>40.03</v>
      </c>
      <c r="J10">
        <v>32.700000000000003</v>
      </c>
      <c r="K10">
        <v>27.71</v>
      </c>
      <c r="L10">
        <v>23.91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278.99</v>
      </c>
      <c r="C11">
        <v>242.09</v>
      </c>
      <c r="D11">
        <v>205.45</v>
      </c>
      <c r="E11">
        <v>169.1</v>
      </c>
      <c r="F11">
        <v>133.1</v>
      </c>
      <c r="G11">
        <v>97.62</v>
      </c>
      <c r="H11">
        <v>72.17</v>
      </c>
      <c r="I11">
        <v>56.94</v>
      </c>
      <c r="J11">
        <v>46.83</v>
      </c>
      <c r="K11">
        <v>39.6</v>
      </c>
      <c r="L11">
        <v>34.22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311.99</v>
      </c>
      <c r="C12">
        <v>274.93</v>
      </c>
      <c r="D12">
        <v>238.11</v>
      </c>
      <c r="E12">
        <v>201.55</v>
      </c>
      <c r="F12">
        <v>165.31</v>
      </c>
      <c r="G12">
        <v>129.46</v>
      </c>
      <c r="H12">
        <v>97.26</v>
      </c>
      <c r="I12">
        <v>76.89</v>
      </c>
      <c r="J12">
        <v>63.33</v>
      </c>
      <c r="K12">
        <v>53.69</v>
      </c>
      <c r="L12">
        <v>46.44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345.14</v>
      </c>
      <c r="C13">
        <v>307.94</v>
      </c>
      <c r="D13">
        <v>270.95</v>
      </c>
      <c r="E13">
        <v>234.2</v>
      </c>
      <c r="F13">
        <v>197.74</v>
      </c>
      <c r="G13">
        <v>161.62</v>
      </c>
      <c r="H13">
        <v>126.15</v>
      </c>
      <c r="I13">
        <v>99.88</v>
      </c>
      <c r="J13">
        <v>82.38</v>
      </c>
      <c r="K13">
        <v>69.92</v>
      </c>
      <c r="L13">
        <v>60.59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378.44</v>
      </c>
      <c r="C14">
        <v>341.1</v>
      </c>
      <c r="D14">
        <v>303.95</v>
      </c>
      <c r="E14">
        <v>267.04000000000002</v>
      </c>
      <c r="F14">
        <v>230.38</v>
      </c>
      <c r="G14">
        <v>194.02</v>
      </c>
      <c r="H14">
        <v>158.05000000000001</v>
      </c>
      <c r="I14">
        <v>125.91</v>
      </c>
      <c r="J14">
        <v>103.98</v>
      </c>
      <c r="K14">
        <v>88.34</v>
      </c>
      <c r="L14">
        <v>76.63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411.86</v>
      </c>
      <c r="C15">
        <v>374.39</v>
      </c>
      <c r="D15">
        <v>337.11</v>
      </c>
      <c r="E15">
        <v>300.02999999999997</v>
      </c>
      <c r="F15">
        <v>263.19</v>
      </c>
      <c r="G15">
        <v>226.63</v>
      </c>
      <c r="H15">
        <v>190.4</v>
      </c>
      <c r="I15">
        <v>155.01</v>
      </c>
      <c r="J15">
        <v>128.13</v>
      </c>
      <c r="K15">
        <v>108.96</v>
      </c>
      <c r="L15">
        <v>94.59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445.4</v>
      </c>
      <c r="C16">
        <v>407.81</v>
      </c>
      <c r="D16">
        <v>370.4</v>
      </c>
      <c r="E16">
        <v>333.18</v>
      </c>
      <c r="F16">
        <v>296.17</v>
      </c>
      <c r="G16">
        <v>259.42</v>
      </c>
      <c r="H16">
        <v>222.97</v>
      </c>
      <c r="I16">
        <v>186.89</v>
      </c>
      <c r="J16">
        <v>154.86000000000001</v>
      </c>
      <c r="K16">
        <v>131.79</v>
      </c>
      <c r="L16">
        <v>114.49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479.04</v>
      </c>
      <c r="C17">
        <v>441.35</v>
      </c>
      <c r="D17">
        <v>403.81</v>
      </c>
      <c r="E17">
        <v>366.46</v>
      </c>
      <c r="F17">
        <v>329.31</v>
      </c>
      <c r="G17">
        <v>292.38</v>
      </c>
      <c r="H17">
        <v>255.73</v>
      </c>
      <c r="I17">
        <v>219.4</v>
      </c>
      <c r="J17">
        <v>184.14</v>
      </c>
      <c r="K17">
        <v>156.80000000000001</v>
      </c>
      <c r="L17">
        <v>136.31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512.79999999999995</v>
      </c>
      <c r="C18">
        <v>475</v>
      </c>
      <c r="D18">
        <v>437.35</v>
      </c>
      <c r="E18">
        <v>399.87</v>
      </c>
      <c r="F18">
        <v>362.57</v>
      </c>
      <c r="G18">
        <v>325.49</v>
      </c>
      <c r="H18">
        <v>288.66000000000003</v>
      </c>
      <c r="I18">
        <v>252.11</v>
      </c>
      <c r="J18">
        <v>215.93</v>
      </c>
      <c r="K18">
        <v>184.04</v>
      </c>
      <c r="L18">
        <v>160.1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546.64</v>
      </c>
      <c r="C19">
        <v>508.75</v>
      </c>
      <c r="D19">
        <v>470.99</v>
      </c>
      <c r="E19">
        <v>433.39</v>
      </c>
      <c r="F19">
        <v>395.97</v>
      </c>
      <c r="G19">
        <v>358.75</v>
      </c>
      <c r="H19">
        <v>321.75</v>
      </c>
      <c r="I19">
        <v>285.01</v>
      </c>
      <c r="J19">
        <v>248.59</v>
      </c>
      <c r="K19">
        <v>213.59</v>
      </c>
      <c r="L19">
        <v>185.78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580.57000000000005</v>
      </c>
      <c r="C20">
        <v>542.59</v>
      </c>
      <c r="D20">
        <v>504.73</v>
      </c>
      <c r="E20">
        <v>467.03</v>
      </c>
      <c r="F20">
        <v>429.49</v>
      </c>
      <c r="G20">
        <v>392.13</v>
      </c>
      <c r="H20">
        <v>354.98</v>
      </c>
      <c r="I20">
        <v>318.06</v>
      </c>
      <c r="J20">
        <v>281.44</v>
      </c>
      <c r="K20">
        <v>245.16</v>
      </c>
      <c r="L20">
        <v>213.44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614.59</v>
      </c>
      <c r="C21">
        <v>576.52</v>
      </c>
      <c r="D21">
        <v>538.57000000000005</v>
      </c>
      <c r="E21">
        <v>500.77</v>
      </c>
      <c r="F21">
        <v>463.11</v>
      </c>
      <c r="G21">
        <v>425.63</v>
      </c>
      <c r="H21">
        <v>388.33</v>
      </c>
      <c r="I21">
        <v>351.26</v>
      </c>
      <c r="J21">
        <v>314.45</v>
      </c>
      <c r="K21">
        <v>277.95</v>
      </c>
      <c r="L21">
        <v>243.02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648.67999999999995</v>
      </c>
      <c r="C22">
        <v>610.53</v>
      </c>
      <c r="D22">
        <v>572.5</v>
      </c>
      <c r="E22">
        <v>534.6</v>
      </c>
      <c r="F22">
        <v>496.84</v>
      </c>
      <c r="G22">
        <v>459.24</v>
      </c>
      <c r="H22">
        <v>421.82</v>
      </c>
      <c r="I22">
        <v>384.6</v>
      </c>
      <c r="J22">
        <v>347.62</v>
      </c>
      <c r="K22">
        <v>310.91000000000003</v>
      </c>
      <c r="L22">
        <v>274.60000000000002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682.84</v>
      </c>
      <c r="C23">
        <v>644.63</v>
      </c>
      <c r="D23">
        <v>606.51</v>
      </c>
      <c r="E23">
        <v>568.52</v>
      </c>
      <c r="F23">
        <v>530.66</v>
      </c>
      <c r="G23">
        <v>492.95</v>
      </c>
      <c r="H23">
        <v>455.41</v>
      </c>
      <c r="I23">
        <v>418.06</v>
      </c>
      <c r="J23">
        <v>380.92</v>
      </c>
      <c r="K23">
        <v>344.03</v>
      </c>
      <c r="L23">
        <v>307.45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717.07</v>
      </c>
      <c r="C24">
        <v>678.79</v>
      </c>
      <c r="D24">
        <v>640.6</v>
      </c>
      <c r="E24">
        <v>602.52</v>
      </c>
      <c r="F24">
        <v>564.57000000000005</v>
      </c>
      <c r="G24">
        <v>526.76</v>
      </c>
      <c r="H24">
        <v>489.11</v>
      </c>
      <c r="I24">
        <v>451.63</v>
      </c>
      <c r="J24">
        <v>414.35</v>
      </c>
      <c r="K24">
        <v>377.3</v>
      </c>
      <c r="L24">
        <v>340.52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751.37</v>
      </c>
      <c r="C25">
        <v>713.02</v>
      </c>
      <c r="D25">
        <v>674.76</v>
      </c>
      <c r="E25">
        <v>636.61</v>
      </c>
      <c r="F25">
        <v>598.57000000000005</v>
      </c>
      <c r="G25">
        <v>560.66</v>
      </c>
      <c r="H25">
        <v>522.9</v>
      </c>
      <c r="I25">
        <v>485.31</v>
      </c>
      <c r="J25">
        <v>447.9</v>
      </c>
      <c r="K25">
        <v>410.7</v>
      </c>
      <c r="L25">
        <v>373.75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785.72</v>
      </c>
      <c r="C26">
        <v>747.31</v>
      </c>
      <c r="D26">
        <v>708.99</v>
      </c>
      <c r="E26">
        <v>670.76</v>
      </c>
      <c r="F26">
        <v>632.64</v>
      </c>
      <c r="G26">
        <v>594.65</v>
      </c>
      <c r="H26">
        <v>556.79</v>
      </c>
      <c r="I26">
        <v>519.09</v>
      </c>
      <c r="J26">
        <v>481.55</v>
      </c>
      <c r="K26">
        <v>444.22</v>
      </c>
      <c r="L26">
        <v>407.11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820.12</v>
      </c>
      <c r="C27">
        <v>781.66</v>
      </c>
      <c r="D27">
        <v>743.28</v>
      </c>
      <c r="E27">
        <v>704.99</v>
      </c>
      <c r="F27">
        <v>666.79</v>
      </c>
      <c r="G27">
        <v>628.71</v>
      </c>
      <c r="H27">
        <v>590.76</v>
      </c>
      <c r="I27">
        <v>552.96</v>
      </c>
      <c r="J27">
        <v>515.30999999999995</v>
      </c>
      <c r="K27">
        <v>477.85</v>
      </c>
      <c r="L27">
        <v>440.59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854.57</v>
      </c>
      <c r="C28">
        <v>816.06</v>
      </c>
      <c r="D28">
        <v>777.63</v>
      </c>
      <c r="E28">
        <v>739.27</v>
      </c>
      <c r="F28">
        <v>701.01</v>
      </c>
      <c r="G28">
        <v>662.85</v>
      </c>
      <c r="H28">
        <v>624.82000000000005</v>
      </c>
      <c r="I28">
        <v>586.91</v>
      </c>
      <c r="J28">
        <v>549.16</v>
      </c>
      <c r="K28">
        <v>511.58</v>
      </c>
      <c r="L28">
        <v>474.19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889.07</v>
      </c>
      <c r="C29">
        <v>850.52</v>
      </c>
      <c r="D29">
        <v>812.03</v>
      </c>
      <c r="E29">
        <v>773.62</v>
      </c>
      <c r="F29">
        <v>735.29</v>
      </c>
      <c r="G29">
        <v>697.06</v>
      </c>
      <c r="H29">
        <v>658.95</v>
      </c>
      <c r="I29">
        <v>620.95000000000005</v>
      </c>
      <c r="J29">
        <v>583.1</v>
      </c>
      <c r="K29">
        <v>545.41</v>
      </c>
      <c r="L29">
        <v>507.89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923.61</v>
      </c>
      <c r="C30">
        <v>885.02</v>
      </c>
      <c r="D30">
        <v>846.48</v>
      </c>
      <c r="E30">
        <v>808.02</v>
      </c>
      <c r="F30">
        <v>769.63</v>
      </c>
      <c r="G30">
        <v>731.33</v>
      </c>
      <c r="H30">
        <v>693.14</v>
      </c>
      <c r="I30">
        <v>655.07000000000005</v>
      </c>
      <c r="J30">
        <v>617.12</v>
      </c>
      <c r="K30">
        <v>579.33000000000004</v>
      </c>
      <c r="L30">
        <v>541.70000000000005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958.19</v>
      </c>
      <c r="C31">
        <v>919.56</v>
      </c>
      <c r="D31">
        <v>880.98</v>
      </c>
      <c r="E31">
        <v>842.47</v>
      </c>
      <c r="F31">
        <v>804.02</v>
      </c>
      <c r="G31">
        <v>765.67</v>
      </c>
      <c r="H31">
        <v>727.41</v>
      </c>
      <c r="I31">
        <v>689.25</v>
      </c>
      <c r="J31">
        <v>651.22</v>
      </c>
      <c r="K31">
        <v>613.33000000000004</v>
      </c>
      <c r="L31">
        <v>575.59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992.8</v>
      </c>
      <c r="C32">
        <v>954.14</v>
      </c>
      <c r="D32">
        <v>915.52</v>
      </c>
      <c r="E32">
        <v>876.96</v>
      </c>
      <c r="F32">
        <v>838.47</v>
      </c>
      <c r="G32">
        <v>800.05</v>
      </c>
      <c r="H32">
        <v>761.73</v>
      </c>
      <c r="I32">
        <v>723.5</v>
      </c>
      <c r="J32">
        <v>685.39</v>
      </c>
      <c r="K32">
        <v>647.41</v>
      </c>
      <c r="L32">
        <v>609.58000000000004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1027.44</v>
      </c>
      <c r="C33">
        <v>988.75</v>
      </c>
      <c r="D33">
        <v>950.1</v>
      </c>
      <c r="E33">
        <v>911.5</v>
      </c>
      <c r="F33">
        <v>872.96</v>
      </c>
      <c r="G33">
        <v>834.49</v>
      </c>
      <c r="H33">
        <v>796.11</v>
      </c>
      <c r="I33">
        <v>757.82</v>
      </c>
      <c r="J33">
        <v>719.63</v>
      </c>
      <c r="K33">
        <v>681.57</v>
      </c>
      <c r="L33">
        <v>643.64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1062.1099999999999</v>
      </c>
      <c r="C34">
        <v>1023.4</v>
      </c>
      <c r="D34">
        <v>984.71</v>
      </c>
      <c r="E34">
        <v>946.08</v>
      </c>
      <c r="F34">
        <v>907.5</v>
      </c>
      <c r="G34">
        <v>868.98</v>
      </c>
      <c r="H34">
        <v>830.54</v>
      </c>
      <c r="I34">
        <v>792.19</v>
      </c>
      <c r="J34">
        <v>753.93</v>
      </c>
      <c r="K34">
        <v>715.79</v>
      </c>
      <c r="L34">
        <v>677.77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1094.45</v>
      </c>
      <c r="C35">
        <v>1058.07</v>
      </c>
      <c r="D35">
        <v>1019.36</v>
      </c>
      <c r="E35">
        <v>980.7</v>
      </c>
      <c r="F35">
        <v>942.08</v>
      </c>
      <c r="G35">
        <v>903.51</v>
      </c>
      <c r="H35">
        <v>865.02</v>
      </c>
      <c r="I35">
        <v>826.61</v>
      </c>
      <c r="J35">
        <v>788.29</v>
      </c>
      <c r="K35">
        <v>750.08</v>
      </c>
      <c r="L35">
        <v>711.98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1121.21</v>
      </c>
      <c r="C36">
        <v>1092.77</v>
      </c>
      <c r="D36">
        <v>1054.04</v>
      </c>
      <c r="E36">
        <v>1015.34</v>
      </c>
      <c r="F36">
        <v>976.69</v>
      </c>
      <c r="G36">
        <v>938.09</v>
      </c>
      <c r="H36">
        <v>899.55</v>
      </c>
      <c r="I36">
        <v>861.08</v>
      </c>
      <c r="J36">
        <v>822.7</v>
      </c>
      <c r="K36">
        <v>784.42</v>
      </c>
      <c r="L36">
        <v>746.25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1142.33</v>
      </c>
      <c r="C37">
        <v>1124.7</v>
      </c>
      <c r="D37">
        <v>1088.74</v>
      </c>
      <c r="E37">
        <v>1050.02</v>
      </c>
      <c r="F37">
        <v>1011.33</v>
      </c>
      <c r="G37">
        <v>972.7</v>
      </c>
      <c r="H37">
        <v>934.12</v>
      </c>
      <c r="I37">
        <v>895.6</v>
      </c>
      <c r="J37">
        <v>857.17</v>
      </c>
      <c r="K37">
        <v>818.82</v>
      </c>
      <c r="L37">
        <v>780.58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1157.74</v>
      </c>
      <c r="C38">
        <v>1145.75</v>
      </c>
      <c r="D38">
        <v>1123.46</v>
      </c>
      <c r="E38">
        <v>1084.72</v>
      </c>
      <c r="F38">
        <v>1046.01</v>
      </c>
      <c r="G38">
        <v>1007.34</v>
      </c>
      <c r="H38">
        <v>968.72</v>
      </c>
      <c r="I38">
        <v>930.16</v>
      </c>
      <c r="J38">
        <v>891.68</v>
      </c>
      <c r="K38">
        <v>853.27</v>
      </c>
      <c r="L38">
        <v>814.96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1168.04</v>
      </c>
      <c r="C39">
        <v>1157.05</v>
      </c>
      <c r="D39">
        <v>1145.8699999999999</v>
      </c>
      <c r="E39">
        <v>1118.1199999999999</v>
      </c>
      <c r="F39">
        <v>1080.27</v>
      </c>
      <c r="G39">
        <v>1041.5899999999999</v>
      </c>
      <c r="H39">
        <v>1002.95</v>
      </c>
      <c r="I39">
        <v>964.37</v>
      </c>
      <c r="J39">
        <v>925.86</v>
      </c>
      <c r="K39">
        <v>887.42</v>
      </c>
      <c r="L39">
        <v>849.07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1177.78</v>
      </c>
      <c r="C40">
        <v>1166.92</v>
      </c>
      <c r="D40">
        <v>1155.8699999999999</v>
      </c>
      <c r="E40">
        <v>1141.8499999999999</v>
      </c>
      <c r="F40">
        <v>1109.52</v>
      </c>
      <c r="G40">
        <v>1072.73</v>
      </c>
      <c r="H40">
        <v>1035.1500000000001</v>
      </c>
      <c r="I40">
        <v>997.62</v>
      </c>
      <c r="J40">
        <v>959.47</v>
      </c>
      <c r="K40">
        <v>920.99</v>
      </c>
      <c r="L40">
        <v>882.58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1187.4100000000001</v>
      </c>
      <c r="C41">
        <v>1176.68</v>
      </c>
      <c r="D41">
        <v>1165.76</v>
      </c>
      <c r="E41">
        <v>1154.6400000000001</v>
      </c>
      <c r="F41">
        <v>1133.0999999999999</v>
      </c>
      <c r="G41">
        <v>1100.4000000000001</v>
      </c>
      <c r="H41">
        <v>1064.28</v>
      </c>
      <c r="I41">
        <v>1027.4000000000001</v>
      </c>
      <c r="J41">
        <v>989.9</v>
      </c>
      <c r="K41">
        <v>952.46</v>
      </c>
      <c r="L41">
        <v>915.09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1196.93</v>
      </c>
      <c r="C42">
        <v>1186.33</v>
      </c>
      <c r="D42">
        <v>1175.54</v>
      </c>
      <c r="E42">
        <v>1164.55</v>
      </c>
      <c r="F42">
        <v>1151.03</v>
      </c>
      <c r="G42">
        <v>1123.82</v>
      </c>
      <c r="H42">
        <v>1090.92</v>
      </c>
      <c r="I42">
        <v>1055.6099999999999</v>
      </c>
      <c r="J42">
        <v>1019.13</v>
      </c>
      <c r="K42">
        <v>982.18</v>
      </c>
      <c r="L42">
        <v>944.77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1206.33</v>
      </c>
      <c r="C43">
        <v>1195.8699999999999</v>
      </c>
      <c r="D43">
        <v>1185.21</v>
      </c>
      <c r="E43">
        <v>1174.3499999999999</v>
      </c>
      <c r="F43">
        <v>1163.3</v>
      </c>
      <c r="G43">
        <v>1143.75</v>
      </c>
      <c r="H43">
        <v>1114.44</v>
      </c>
      <c r="I43">
        <v>1081.43</v>
      </c>
      <c r="J43">
        <v>1046.94</v>
      </c>
      <c r="K43">
        <v>1010.48</v>
      </c>
      <c r="L43">
        <v>974.08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1215.6199999999999</v>
      </c>
      <c r="C44">
        <v>1205.29</v>
      </c>
      <c r="D44">
        <v>1194.76</v>
      </c>
      <c r="E44">
        <v>1184.04</v>
      </c>
      <c r="F44">
        <v>1173.1199999999999</v>
      </c>
      <c r="G44">
        <v>1159.5999999999999</v>
      </c>
      <c r="H44">
        <v>1135.2</v>
      </c>
      <c r="I44">
        <v>1105.06</v>
      </c>
      <c r="J44">
        <v>1071.94</v>
      </c>
      <c r="K44">
        <v>1038.26</v>
      </c>
      <c r="L44">
        <v>1001.83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1224.79</v>
      </c>
      <c r="C45">
        <v>1214.5999999999999</v>
      </c>
      <c r="D45">
        <v>1204.2</v>
      </c>
      <c r="E45">
        <v>1193.6099999999999</v>
      </c>
      <c r="F45">
        <v>1182.82</v>
      </c>
      <c r="G45">
        <v>1171.81</v>
      </c>
      <c r="H45">
        <v>1153.07</v>
      </c>
      <c r="I45">
        <v>1126.3</v>
      </c>
      <c r="J45">
        <v>1095.6199999999999</v>
      </c>
      <c r="K45">
        <v>1062.44</v>
      </c>
      <c r="L45">
        <v>1029.0899999999999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1233.8499999999999</v>
      </c>
      <c r="C46">
        <v>1223.79</v>
      </c>
      <c r="D46">
        <v>1213.53</v>
      </c>
      <c r="E46">
        <v>1203.07</v>
      </c>
      <c r="F46">
        <v>1192.4100000000001</v>
      </c>
      <c r="G46">
        <v>1181.56</v>
      </c>
      <c r="H46">
        <v>1168.05</v>
      </c>
      <c r="I46">
        <v>1145.46</v>
      </c>
      <c r="J46">
        <v>1117.3399999999999</v>
      </c>
      <c r="K46">
        <v>1086.1600000000001</v>
      </c>
      <c r="L46">
        <v>1052.94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1242.8</v>
      </c>
      <c r="C47">
        <v>1232.8699999999999</v>
      </c>
      <c r="D47">
        <v>1222.74</v>
      </c>
      <c r="E47">
        <v>1212.4100000000001</v>
      </c>
      <c r="F47">
        <v>1201.8900000000001</v>
      </c>
      <c r="G47">
        <v>1191.17</v>
      </c>
      <c r="H47">
        <v>1180.0899999999999</v>
      </c>
      <c r="I47">
        <v>1161.95</v>
      </c>
      <c r="J47">
        <v>1136.8800000000001</v>
      </c>
      <c r="K47">
        <v>1108.18</v>
      </c>
      <c r="L47">
        <v>1076.69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1251.6199999999999</v>
      </c>
      <c r="C48">
        <v>1241.83</v>
      </c>
      <c r="D48">
        <v>1231.83</v>
      </c>
      <c r="E48">
        <v>1221.6400000000001</v>
      </c>
      <c r="F48">
        <v>1211.25</v>
      </c>
      <c r="G48">
        <v>1200.6600000000001</v>
      </c>
      <c r="H48">
        <v>1189.8800000000001</v>
      </c>
      <c r="I48">
        <v>1176.3800000000001</v>
      </c>
      <c r="J48">
        <v>1154.6300000000001</v>
      </c>
      <c r="K48">
        <v>1128.22</v>
      </c>
      <c r="L48">
        <v>1098.75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1260.33</v>
      </c>
      <c r="C49">
        <v>1250.67</v>
      </c>
      <c r="D49">
        <v>1240.81</v>
      </c>
      <c r="E49">
        <v>1230.75</v>
      </c>
      <c r="F49">
        <v>1220.49</v>
      </c>
      <c r="G49">
        <v>1210.04</v>
      </c>
      <c r="H49">
        <v>1199.3900000000001</v>
      </c>
      <c r="I49">
        <v>1188.1400000000001</v>
      </c>
      <c r="J49">
        <v>1170.48</v>
      </c>
      <c r="K49">
        <v>1146.98</v>
      </c>
      <c r="L49">
        <v>1119.22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1268.52</v>
      </c>
      <c r="C50">
        <v>1258.97</v>
      </c>
      <c r="D50">
        <v>1249.23</v>
      </c>
      <c r="E50">
        <v>1239.3</v>
      </c>
      <c r="F50">
        <v>1229.1600000000001</v>
      </c>
      <c r="G50">
        <v>1218.83</v>
      </c>
      <c r="H50">
        <v>1208.3</v>
      </c>
      <c r="I50">
        <v>1197.57</v>
      </c>
      <c r="J50">
        <v>1183.83</v>
      </c>
      <c r="K50">
        <v>1162.75</v>
      </c>
      <c r="L50">
        <v>1137.3399999999999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1276.55</v>
      </c>
      <c r="C51">
        <v>1267.1300000000001</v>
      </c>
      <c r="D51">
        <v>1257.5</v>
      </c>
      <c r="E51">
        <v>1247.69</v>
      </c>
      <c r="F51">
        <v>1237.67</v>
      </c>
      <c r="G51">
        <v>1227.46</v>
      </c>
      <c r="H51">
        <v>1217.05</v>
      </c>
      <c r="I51">
        <v>1206.44</v>
      </c>
      <c r="J51">
        <v>1194.82</v>
      </c>
      <c r="K51">
        <v>1177.05</v>
      </c>
      <c r="L51">
        <v>1154.07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1284.47</v>
      </c>
      <c r="C52">
        <v>1275.17</v>
      </c>
      <c r="D52">
        <v>1265.67</v>
      </c>
      <c r="E52">
        <v>1255.98</v>
      </c>
      <c r="F52">
        <v>1246.08</v>
      </c>
      <c r="G52">
        <v>1235.99</v>
      </c>
      <c r="H52">
        <v>1225.69</v>
      </c>
      <c r="I52">
        <v>1215.2</v>
      </c>
      <c r="J52">
        <v>1204.52</v>
      </c>
      <c r="K52">
        <v>1190.22</v>
      </c>
      <c r="L52">
        <v>1169.47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1292.29</v>
      </c>
      <c r="C53">
        <v>1283.1099999999999</v>
      </c>
      <c r="D53">
        <v>1273.73</v>
      </c>
      <c r="E53">
        <v>1264.1600000000001</v>
      </c>
      <c r="F53">
        <v>1254.3800000000001</v>
      </c>
      <c r="G53">
        <v>1244.4100000000001</v>
      </c>
      <c r="H53">
        <v>1234.24</v>
      </c>
      <c r="I53">
        <v>1223.8699999999999</v>
      </c>
      <c r="J53">
        <v>1213.3</v>
      </c>
      <c r="K53">
        <v>1201.29</v>
      </c>
      <c r="L53">
        <v>1183.3900000000001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1300</v>
      </c>
      <c r="C54">
        <v>1290.95</v>
      </c>
      <c r="D54">
        <v>1281.69</v>
      </c>
      <c r="E54">
        <v>1272.23</v>
      </c>
      <c r="F54">
        <v>1262.58</v>
      </c>
      <c r="G54">
        <v>1252.73</v>
      </c>
      <c r="H54">
        <v>1242.67</v>
      </c>
      <c r="I54">
        <v>1232.42</v>
      </c>
      <c r="J54">
        <v>1221.98</v>
      </c>
      <c r="K54">
        <v>1211.28</v>
      </c>
      <c r="L54">
        <v>1196.46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1307.6099999999999</v>
      </c>
      <c r="C55">
        <v>1298.68</v>
      </c>
      <c r="D55">
        <v>1289.54</v>
      </c>
      <c r="E55">
        <v>1280.2</v>
      </c>
      <c r="F55">
        <v>1270.67</v>
      </c>
      <c r="G55">
        <v>1260.94</v>
      </c>
      <c r="H55">
        <v>1251.01</v>
      </c>
      <c r="I55">
        <v>1240.8800000000001</v>
      </c>
      <c r="J55">
        <v>1230.55</v>
      </c>
      <c r="K55">
        <v>1220.02</v>
      </c>
      <c r="L55">
        <v>1207.6199999999999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1315.11</v>
      </c>
      <c r="C56">
        <v>1306.3</v>
      </c>
      <c r="D56">
        <v>1297.28</v>
      </c>
      <c r="E56">
        <v>1288.07</v>
      </c>
      <c r="F56">
        <v>1278.6600000000001</v>
      </c>
      <c r="G56">
        <v>1269.05</v>
      </c>
      <c r="H56">
        <v>1259.24</v>
      </c>
      <c r="I56">
        <v>1249.23</v>
      </c>
      <c r="J56">
        <v>1239.02</v>
      </c>
      <c r="K56">
        <v>1228.6099999999999</v>
      </c>
      <c r="L56">
        <v>1217.77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1322.51</v>
      </c>
      <c r="C57">
        <v>1313.81</v>
      </c>
      <c r="D57">
        <v>1304.92</v>
      </c>
      <c r="E57">
        <v>1295.83</v>
      </c>
      <c r="F57">
        <v>1286.54</v>
      </c>
      <c r="G57">
        <v>1277.05</v>
      </c>
      <c r="H57">
        <v>1267.3599999999999</v>
      </c>
      <c r="I57">
        <v>1257.47</v>
      </c>
      <c r="J57">
        <v>1247.3800000000001</v>
      </c>
      <c r="K57">
        <v>1237.0899999999999</v>
      </c>
      <c r="L57">
        <v>1226.6099999999999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1329.79</v>
      </c>
      <c r="C58">
        <v>1321.22</v>
      </c>
      <c r="D58">
        <v>1312.45</v>
      </c>
      <c r="E58">
        <v>1303.48</v>
      </c>
      <c r="F58">
        <v>1294.31</v>
      </c>
      <c r="G58">
        <v>1284.94</v>
      </c>
      <c r="H58">
        <v>1275.3699999999999</v>
      </c>
      <c r="I58">
        <v>1265.6099999999999</v>
      </c>
      <c r="J58">
        <v>1255.6400000000001</v>
      </c>
      <c r="K58">
        <v>1245.47</v>
      </c>
      <c r="L58">
        <v>1235.0999999999999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1336.97</v>
      </c>
      <c r="C59">
        <v>1328.53</v>
      </c>
      <c r="D59">
        <v>1319.88</v>
      </c>
      <c r="E59">
        <v>1311.03</v>
      </c>
      <c r="F59">
        <v>1301.98</v>
      </c>
      <c r="G59">
        <v>1292.73</v>
      </c>
      <c r="H59">
        <v>1283.29</v>
      </c>
      <c r="I59">
        <v>1273.6400000000001</v>
      </c>
      <c r="J59">
        <v>1263.79</v>
      </c>
      <c r="K59">
        <v>1253.74</v>
      </c>
      <c r="L59">
        <v>1243.5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1344.05</v>
      </c>
      <c r="C60">
        <v>1335.72</v>
      </c>
      <c r="D60">
        <v>1327.19</v>
      </c>
      <c r="E60">
        <v>1318.47</v>
      </c>
      <c r="F60">
        <v>1309.54</v>
      </c>
      <c r="G60">
        <v>1300.42</v>
      </c>
      <c r="H60">
        <v>1291.0899999999999</v>
      </c>
      <c r="I60">
        <v>1281.56</v>
      </c>
      <c r="J60">
        <v>1271.8399999999999</v>
      </c>
      <c r="K60">
        <v>1261.9100000000001</v>
      </c>
      <c r="L60">
        <v>1251.79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1351.01</v>
      </c>
      <c r="C61">
        <v>1342.81</v>
      </c>
      <c r="D61">
        <v>1334.4</v>
      </c>
      <c r="E61">
        <v>1325.8</v>
      </c>
      <c r="F61">
        <v>1317</v>
      </c>
      <c r="G61">
        <v>1307.99</v>
      </c>
      <c r="H61">
        <v>1298.79</v>
      </c>
      <c r="I61">
        <v>1289.3800000000001</v>
      </c>
      <c r="J61">
        <v>1279.78</v>
      </c>
      <c r="K61">
        <v>1269.98</v>
      </c>
      <c r="L61">
        <v>1259.97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1357.87</v>
      </c>
      <c r="C62">
        <v>1349.79</v>
      </c>
      <c r="D62">
        <v>1341.51</v>
      </c>
      <c r="E62">
        <v>1333.03</v>
      </c>
      <c r="F62">
        <v>1324.35</v>
      </c>
      <c r="G62">
        <v>1315.46</v>
      </c>
      <c r="H62">
        <v>1306.3800000000001</v>
      </c>
      <c r="I62">
        <v>1297.0999999999999</v>
      </c>
      <c r="J62">
        <v>1287.6199999999999</v>
      </c>
      <c r="K62">
        <v>1277.93</v>
      </c>
      <c r="L62">
        <v>1268.05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1364.62</v>
      </c>
      <c r="C63">
        <v>1356.66</v>
      </c>
      <c r="D63">
        <v>1348.5</v>
      </c>
      <c r="E63">
        <v>1340.15</v>
      </c>
      <c r="F63">
        <v>1331.59</v>
      </c>
      <c r="G63">
        <v>1322.83</v>
      </c>
      <c r="H63">
        <v>1313.87</v>
      </c>
      <c r="I63">
        <v>1304.71</v>
      </c>
      <c r="J63">
        <v>1295.3499999999999</v>
      </c>
      <c r="K63">
        <v>1285.78</v>
      </c>
      <c r="L63">
        <v>1276.02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1371.26</v>
      </c>
      <c r="C64">
        <v>1363.43</v>
      </c>
      <c r="D64">
        <v>1355.39</v>
      </c>
      <c r="E64">
        <v>1347.16</v>
      </c>
      <c r="F64">
        <v>1338.72</v>
      </c>
      <c r="G64">
        <v>1330.09</v>
      </c>
      <c r="H64">
        <v>1321.25</v>
      </c>
      <c r="I64">
        <v>1312.21</v>
      </c>
      <c r="J64">
        <v>1302.97</v>
      </c>
      <c r="K64">
        <v>1293.53</v>
      </c>
      <c r="L64">
        <v>1283.8900000000001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1377.8</v>
      </c>
      <c r="C65">
        <v>1370.09</v>
      </c>
      <c r="D65">
        <v>1362.18</v>
      </c>
      <c r="E65">
        <v>1354.07</v>
      </c>
      <c r="F65">
        <v>1345.75</v>
      </c>
      <c r="G65">
        <v>1337.24</v>
      </c>
      <c r="H65">
        <v>1328.52</v>
      </c>
      <c r="I65">
        <v>1319.6</v>
      </c>
      <c r="J65">
        <v>1310.49</v>
      </c>
      <c r="K65">
        <v>1301.17</v>
      </c>
      <c r="L65">
        <v>1291.6500000000001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1384.23</v>
      </c>
      <c r="C66">
        <v>1376.64</v>
      </c>
      <c r="D66">
        <v>1368.85</v>
      </c>
      <c r="E66">
        <v>1360.86</v>
      </c>
      <c r="F66">
        <v>1352.67</v>
      </c>
      <c r="G66">
        <v>1344.28</v>
      </c>
      <c r="H66">
        <v>1335.69</v>
      </c>
      <c r="I66">
        <v>1326.89</v>
      </c>
      <c r="J66">
        <v>1317.9</v>
      </c>
      <c r="K66">
        <v>1308.7</v>
      </c>
      <c r="L66">
        <v>1299.3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1390.55</v>
      </c>
      <c r="C67">
        <v>1383.08</v>
      </c>
      <c r="D67">
        <v>1375.42</v>
      </c>
      <c r="E67">
        <v>1367.55</v>
      </c>
      <c r="F67">
        <v>1359.48</v>
      </c>
      <c r="G67">
        <v>1351.22</v>
      </c>
      <c r="H67">
        <v>1342.75</v>
      </c>
      <c r="I67">
        <v>1334.07</v>
      </c>
      <c r="J67">
        <v>1325.2</v>
      </c>
      <c r="K67">
        <v>1316.13</v>
      </c>
      <c r="L67">
        <v>1306.8499999999999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1396.76</v>
      </c>
      <c r="C68">
        <v>1389.42</v>
      </c>
      <c r="D68">
        <v>1381.88</v>
      </c>
      <c r="E68">
        <v>1374.14</v>
      </c>
      <c r="F68">
        <v>1366.19</v>
      </c>
      <c r="G68">
        <v>1358.05</v>
      </c>
      <c r="H68">
        <v>1349.7</v>
      </c>
      <c r="I68">
        <v>1341.15</v>
      </c>
      <c r="J68">
        <v>1332.4</v>
      </c>
      <c r="K68">
        <v>1323.45</v>
      </c>
      <c r="L68">
        <v>1314.29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1402.86</v>
      </c>
      <c r="C69">
        <v>1395.65</v>
      </c>
      <c r="D69">
        <v>1388.23</v>
      </c>
      <c r="E69">
        <v>1380.61</v>
      </c>
      <c r="F69">
        <v>1372.79</v>
      </c>
      <c r="G69">
        <v>1364.77</v>
      </c>
      <c r="H69">
        <v>1356.54</v>
      </c>
      <c r="I69">
        <v>1348.12</v>
      </c>
      <c r="J69">
        <v>1339.49</v>
      </c>
      <c r="K69">
        <v>1330.66</v>
      </c>
      <c r="L69">
        <v>1321.63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1408.86</v>
      </c>
      <c r="C70">
        <v>1401.77</v>
      </c>
      <c r="D70">
        <v>1394.47</v>
      </c>
      <c r="E70">
        <v>1386.98</v>
      </c>
      <c r="F70">
        <v>1379.28</v>
      </c>
      <c r="G70">
        <v>1371.38</v>
      </c>
      <c r="H70">
        <v>1363.28</v>
      </c>
      <c r="I70">
        <v>1354.98</v>
      </c>
      <c r="J70">
        <v>1346.47</v>
      </c>
      <c r="K70">
        <v>1337.77</v>
      </c>
      <c r="L70">
        <v>1328.86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1414.75</v>
      </c>
      <c r="C71">
        <v>1407.78</v>
      </c>
      <c r="D71">
        <v>1400.61</v>
      </c>
      <c r="E71">
        <v>1393.24</v>
      </c>
      <c r="F71">
        <v>1385.67</v>
      </c>
      <c r="G71">
        <v>1377.89</v>
      </c>
      <c r="H71">
        <v>1369.91</v>
      </c>
      <c r="I71">
        <v>1361.73</v>
      </c>
      <c r="J71">
        <v>1353.35</v>
      </c>
      <c r="K71">
        <v>1344.77</v>
      </c>
      <c r="L71">
        <v>1335.98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1420.53</v>
      </c>
      <c r="C72">
        <v>1413.68</v>
      </c>
      <c r="D72">
        <v>1406.64</v>
      </c>
      <c r="E72">
        <v>1399.39</v>
      </c>
      <c r="F72">
        <v>1391.94</v>
      </c>
      <c r="G72">
        <v>1384.29</v>
      </c>
      <c r="H72">
        <v>1376.44</v>
      </c>
      <c r="I72">
        <v>1368.38</v>
      </c>
      <c r="J72">
        <v>1360.12</v>
      </c>
      <c r="K72">
        <v>1351.66</v>
      </c>
      <c r="L72">
        <v>1343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1426.2</v>
      </c>
      <c r="C73">
        <v>1419.48</v>
      </c>
      <c r="D73">
        <v>1412.56</v>
      </c>
      <c r="E73">
        <v>1405.44</v>
      </c>
      <c r="F73">
        <v>1398.11</v>
      </c>
      <c r="G73">
        <v>1390.59</v>
      </c>
      <c r="H73">
        <v>1382.86</v>
      </c>
      <c r="I73">
        <v>1374.92</v>
      </c>
      <c r="J73">
        <v>1366.79</v>
      </c>
      <c r="K73">
        <v>1358.45</v>
      </c>
      <c r="L73">
        <v>1349.91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1431.76</v>
      </c>
      <c r="C74">
        <v>1425.17</v>
      </c>
      <c r="D74">
        <v>1418.38</v>
      </c>
      <c r="E74">
        <v>1411.38</v>
      </c>
      <c r="F74">
        <v>1404.18</v>
      </c>
      <c r="G74">
        <v>1396.77</v>
      </c>
      <c r="H74">
        <v>1389.17</v>
      </c>
      <c r="I74">
        <v>1381.36</v>
      </c>
      <c r="J74">
        <v>1373.35</v>
      </c>
      <c r="K74">
        <v>1365.13</v>
      </c>
      <c r="L74">
        <v>1356.72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1437.22</v>
      </c>
      <c r="C75">
        <v>1430.75</v>
      </c>
      <c r="D75">
        <v>1424.08</v>
      </c>
      <c r="E75">
        <v>1417.21</v>
      </c>
      <c r="F75">
        <v>1410.13</v>
      </c>
      <c r="G75">
        <v>1402.85</v>
      </c>
      <c r="H75">
        <v>1395.37</v>
      </c>
      <c r="I75">
        <v>1387.69</v>
      </c>
      <c r="J75">
        <v>1379.8</v>
      </c>
      <c r="K75">
        <v>1371.71</v>
      </c>
      <c r="L75">
        <v>1363.41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1442.57</v>
      </c>
      <c r="C76">
        <v>1436.23</v>
      </c>
      <c r="D76">
        <v>1429.68</v>
      </c>
      <c r="E76">
        <v>1422.93</v>
      </c>
      <c r="F76">
        <v>1415.98</v>
      </c>
      <c r="G76">
        <v>1408.83</v>
      </c>
      <c r="H76">
        <v>1401.47</v>
      </c>
      <c r="I76">
        <v>1393.91</v>
      </c>
      <c r="J76">
        <v>1386.14</v>
      </c>
      <c r="K76">
        <v>1378.18</v>
      </c>
      <c r="L76">
        <v>1370.01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1447.81</v>
      </c>
      <c r="C77">
        <v>1441.59</v>
      </c>
      <c r="D77">
        <v>1435.17</v>
      </c>
      <c r="E77">
        <v>1428.55</v>
      </c>
      <c r="F77">
        <v>1421.72</v>
      </c>
      <c r="G77">
        <v>1414.69</v>
      </c>
      <c r="H77">
        <v>1407.46</v>
      </c>
      <c r="I77">
        <v>1400.02</v>
      </c>
      <c r="J77">
        <v>1392.38</v>
      </c>
      <c r="K77">
        <v>1384.54</v>
      </c>
      <c r="L77">
        <v>1376.49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1452.94</v>
      </c>
      <c r="C78">
        <v>1446.85</v>
      </c>
      <c r="D78">
        <v>1440.55</v>
      </c>
      <c r="E78">
        <v>1434.06</v>
      </c>
      <c r="F78">
        <v>1427.36</v>
      </c>
      <c r="G78">
        <v>1420.45</v>
      </c>
      <c r="H78">
        <v>1413.34</v>
      </c>
      <c r="I78">
        <v>1406.03</v>
      </c>
      <c r="J78">
        <v>1398.51</v>
      </c>
      <c r="K78">
        <v>1390.79</v>
      </c>
      <c r="L78">
        <v>1382.87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1457.97</v>
      </c>
      <c r="C79">
        <v>1452</v>
      </c>
      <c r="D79">
        <v>1445.83</v>
      </c>
      <c r="E79">
        <v>1439.46</v>
      </c>
      <c r="F79">
        <v>1432.88</v>
      </c>
      <c r="G79">
        <v>1426.1</v>
      </c>
      <c r="H79">
        <v>1419.12</v>
      </c>
      <c r="I79">
        <v>1411.93</v>
      </c>
      <c r="J79">
        <v>1404.54</v>
      </c>
      <c r="K79">
        <v>1396.94</v>
      </c>
      <c r="L79">
        <v>1389.14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1462.88</v>
      </c>
      <c r="C80">
        <v>1457.04</v>
      </c>
      <c r="D80">
        <v>1451</v>
      </c>
      <c r="E80">
        <v>1444.75</v>
      </c>
      <c r="F80">
        <v>1438.3</v>
      </c>
      <c r="G80">
        <v>1431.64</v>
      </c>
      <c r="H80">
        <v>1424.79</v>
      </c>
      <c r="I80">
        <v>1417.72</v>
      </c>
      <c r="J80">
        <v>1410.46</v>
      </c>
      <c r="K80">
        <v>1402.98</v>
      </c>
      <c r="L80">
        <v>1395.31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1467.69</v>
      </c>
      <c r="C81">
        <v>1461.98</v>
      </c>
      <c r="D81">
        <v>1456.06</v>
      </c>
      <c r="E81">
        <v>1449.94</v>
      </c>
      <c r="F81">
        <v>1443.61</v>
      </c>
      <c r="G81">
        <v>1437.08</v>
      </c>
      <c r="H81">
        <v>1430.35</v>
      </c>
      <c r="I81">
        <v>1423.41</v>
      </c>
      <c r="J81">
        <v>1416.27</v>
      </c>
      <c r="K81">
        <v>1408.92</v>
      </c>
      <c r="L81">
        <v>1401.37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1472.39</v>
      </c>
      <c r="C82">
        <v>1466.8</v>
      </c>
      <c r="D82">
        <v>1461.01</v>
      </c>
      <c r="E82">
        <v>1455.02</v>
      </c>
      <c r="F82">
        <v>1448.81</v>
      </c>
      <c r="G82">
        <v>1442.41</v>
      </c>
      <c r="H82">
        <v>1435.8</v>
      </c>
      <c r="I82">
        <v>1428.99</v>
      </c>
      <c r="J82">
        <v>1421.97</v>
      </c>
      <c r="K82">
        <v>1414.75</v>
      </c>
      <c r="L82">
        <v>1407.32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1476.98</v>
      </c>
      <c r="C83">
        <v>1471.52</v>
      </c>
      <c r="D83">
        <v>1465.85</v>
      </c>
      <c r="E83">
        <v>1459.99</v>
      </c>
      <c r="F83">
        <v>1453.91</v>
      </c>
      <c r="G83">
        <v>1447.63</v>
      </c>
      <c r="H83">
        <v>1441.15</v>
      </c>
      <c r="I83">
        <v>1434.46</v>
      </c>
      <c r="J83">
        <v>1427.57</v>
      </c>
      <c r="K83">
        <v>1420.47</v>
      </c>
      <c r="L83">
        <v>1413.17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1481.46</v>
      </c>
      <c r="C84">
        <v>1476.13</v>
      </c>
      <c r="D84">
        <v>1470.59</v>
      </c>
      <c r="E84">
        <v>1464.85</v>
      </c>
      <c r="F84">
        <v>1458.9</v>
      </c>
      <c r="G84">
        <v>1452.75</v>
      </c>
      <c r="H84">
        <v>1446.39</v>
      </c>
      <c r="I84">
        <v>1439.82</v>
      </c>
      <c r="J84">
        <v>1433.06</v>
      </c>
      <c r="K84">
        <v>1426.09</v>
      </c>
      <c r="L84">
        <v>1418.91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1485.84</v>
      </c>
      <c r="C85">
        <v>1480.63</v>
      </c>
      <c r="D85">
        <v>1475.22</v>
      </c>
      <c r="E85">
        <v>1469.6</v>
      </c>
      <c r="F85">
        <v>1463.78</v>
      </c>
      <c r="G85">
        <v>1457.75</v>
      </c>
      <c r="H85">
        <v>1451.52</v>
      </c>
      <c r="I85">
        <v>1445.08</v>
      </c>
      <c r="J85">
        <v>1438.44</v>
      </c>
      <c r="K85">
        <v>1431.6</v>
      </c>
      <c r="L85">
        <v>1424.54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1490.11</v>
      </c>
      <c r="C86">
        <v>1485.03</v>
      </c>
      <c r="D86">
        <v>1479.74</v>
      </c>
      <c r="E86">
        <v>1474.25</v>
      </c>
      <c r="F86">
        <v>1468.55</v>
      </c>
      <c r="G86">
        <v>1462.65</v>
      </c>
      <c r="H86">
        <v>1456.55</v>
      </c>
      <c r="I86">
        <v>1450.24</v>
      </c>
      <c r="J86">
        <v>1443.72</v>
      </c>
      <c r="K86">
        <v>1437</v>
      </c>
      <c r="L86">
        <v>1430.07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1494.27</v>
      </c>
      <c r="C87">
        <v>1489.31</v>
      </c>
      <c r="D87">
        <v>1484.15</v>
      </c>
      <c r="E87">
        <v>1478.79</v>
      </c>
      <c r="F87">
        <v>1473.22</v>
      </c>
      <c r="G87">
        <v>1467.44</v>
      </c>
      <c r="H87">
        <v>1461.46</v>
      </c>
      <c r="I87">
        <v>1455.28</v>
      </c>
      <c r="J87">
        <v>1448.89</v>
      </c>
      <c r="K87">
        <v>1442.29</v>
      </c>
      <c r="L87">
        <v>1435.49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1498.32</v>
      </c>
      <c r="C88">
        <v>1493.49</v>
      </c>
      <c r="D88">
        <v>1488.46</v>
      </c>
      <c r="E88">
        <v>1483.22</v>
      </c>
      <c r="F88">
        <v>1477.78</v>
      </c>
      <c r="G88">
        <v>1472.13</v>
      </c>
      <c r="H88">
        <v>1466.28</v>
      </c>
      <c r="I88">
        <v>1460.22</v>
      </c>
      <c r="J88">
        <v>1453.95</v>
      </c>
      <c r="K88">
        <v>1447.48</v>
      </c>
      <c r="L88">
        <v>1440.8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1502.26</v>
      </c>
      <c r="C89">
        <v>1497.56</v>
      </c>
      <c r="D89">
        <v>1492.65</v>
      </c>
      <c r="E89">
        <v>1487.54</v>
      </c>
      <c r="F89">
        <v>1482.23</v>
      </c>
      <c r="G89">
        <v>1476.71</v>
      </c>
      <c r="H89">
        <v>1470.98</v>
      </c>
      <c r="I89">
        <v>1465.05</v>
      </c>
      <c r="J89">
        <v>1458.91</v>
      </c>
      <c r="K89">
        <v>1452.56</v>
      </c>
      <c r="L89">
        <v>1446.01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1506.09</v>
      </c>
      <c r="C90">
        <v>1501.52</v>
      </c>
      <c r="D90">
        <v>1496.74</v>
      </c>
      <c r="E90">
        <v>1491.76</v>
      </c>
      <c r="F90">
        <v>1486.57</v>
      </c>
      <c r="G90">
        <v>1481.18</v>
      </c>
      <c r="H90">
        <v>1475.58</v>
      </c>
      <c r="I90">
        <v>1469.77</v>
      </c>
      <c r="J90">
        <v>1463.76</v>
      </c>
      <c r="K90">
        <v>1457.54</v>
      </c>
      <c r="L90">
        <v>1451.11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1509.82</v>
      </c>
      <c r="C91">
        <v>1505.37</v>
      </c>
      <c r="D91">
        <v>1500.72</v>
      </c>
      <c r="E91">
        <v>1495.87</v>
      </c>
      <c r="F91">
        <v>1490.81</v>
      </c>
      <c r="G91">
        <v>1485.54</v>
      </c>
      <c r="H91">
        <v>1480.07</v>
      </c>
      <c r="I91">
        <v>1474.39</v>
      </c>
      <c r="J91">
        <v>1468.5</v>
      </c>
      <c r="K91">
        <v>1462.41</v>
      </c>
      <c r="L91">
        <v>1456.11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1513.44</v>
      </c>
      <c r="C92">
        <v>1509.12</v>
      </c>
      <c r="D92">
        <v>1504.6</v>
      </c>
      <c r="E92">
        <v>1499.87</v>
      </c>
      <c r="F92">
        <v>1494.94</v>
      </c>
      <c r="G92">
        <v>1489.79</v>
      </c>
      <c r="H92">
        <v>1484.45</v>
      </c>
      <c r="I92">
        <v>1478.89</v>
      </c>
      <c r="J92">
        <v>1473.13</v>
      </c>
      <c r="K92">
        <v>1467.17</v>
      </c>
      <c r="L92">
        <v>1461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1516.94</v>
      </c>
      <c r="C93">
        <v>1512.76</v>
      </c>
      <c r="D93">
        <v>1508.36</v>
      </c>
      <c r="E93">
        <v>1503.77</v>
      </c>
      <c r="F93">
        <v>1498.96</v>
      </c>
      <c r="G93">
        <v>1493.94</v>
      </c>
      <c r="H93">
        <v>1488.72</v>
      </c>
      <c r="I93">
        <v>1483.3</v>
      </c>
      <c r="J93">
        <v>1477.66</v>
      </c>
      <c r="K93">
        <v>1471.82</v>
      </c>
      <c r="L93">
        <v>1465.78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1520.35</v>
      </c>
      <c r="C94">
        <v>1516.29</v>
      </c>
      <c r="D94">
        <v>1512.02</v>
      </c>
      <c r="E94">
        <v>1507.55</v>
      </c>
      <c r="F94">
        <v>1502.87</v>
      </c>
      <c r="G94">
        <v>1497.98</v>
      </c>
      <c r="H94">
        <v>1492.89</v>
      </c>
      <c r="I94">
        <v>1487.59</v>
      </c>
      <c r="J94">
        <v>1482.08</v>
      </c>
      <c r="K94">
        <v>1476.37</v>
      </c>
      <c r="L94">
        <v>1470.45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1523.64</v>
      </c>
      <c r="C95">
        <v>1519.71</v>
      </c>
      <c r="D95">
        <v>1515.57</v>
      </c>
      <c r="E95">
        <v>1511.23</v>
      </c>
      <c r="F95">
        <v>1506.68</v>
      </c>
      <c r="G95">
        <v>1501.92</v>
      </c>
      <c r="H95">
        <v>1496.95</v>
      </c>
      <c r="I95">
        <v>1491.78</v>
      </c>
      <c r="J95">
        <v>1486.4</v>
      </c>
      <c r="K95">
        <v>1480.81</v>
      </c>
      <c r="L95">
        <v>1475.02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1526.82</v>
      </c>
      <c r="C96">
        <v>1523.02</v>
      </c>
      <c r="D96">
        <v>1519.01</v>
      </c>
      <c r="E96">
        <v>1514.8</v>
      </c>
      <c r="F96">
        <v>1510.37</v>
      </c>
      <c r="G96">
        <v>1505.74</v>
      </c>
      <c r="H96">
        <v>1500.9</v>
      </c>
      <c r="I96">
        <v>1495.86</v>
      </c>
      <c r="J96">
        <v>1490.61</v>
      </c>
      <c r="K96">
        <v>1485.15</v>
      </c>
      <c r="L96">
        <v>1479.48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1529.9</v>
      </c>
      <c r="C97">
        <v>1526.23</v>
      </c>
      <c r="D97">
        <v>1522.35</v>
      </c>
      <c r="E97">
        <v>1518.26</v>
      </c>
      <c r="F97">
        <v>1513.96</v>
      </c>
      <c r="G97">
        <v>1509.46</v>
      </c>
      <c r="H97">
        <v>1504.75</v>
      </c>
      <c r="I97">
        <v>1499.83</v>
      </c>
      <c r="J97">
        <v>1494.71</v>
      </c>
      <c r="K97">
        <v>1489.38</v>
      </c>
      <c r="L97">
        <v>1483.84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1532.87</v>
      </c>
      <c r="C98">
        <v>1529.32</v>
      </c>
      <c r="D98">
        <v>1525.57</v>
      </c>
      <c r="E98">
        <v>1521.61</v>
      </c>
      <c r="F98">
        <v>1517.45</v>
      </c>
      <c r="G98">
        <v>1513.07</v>
      </c>
      <c r="H98">
        <v>1508.49</v>
      </c>
      <c r="I98">
        <v>1503.7</v>
      </c>
      <c r="J98">
        <v>1498.7</v>
      </c>
      <c r="K98">
        <v>1493.5</v>
      </c>
      <c r="L98">
        <v>1488.08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1535.73</v>
      </c>
      <c r="C99">
        <v>1532.31</v>
      </c>
      <c r="D99">
        <v>1528.69</v>
      </c>
      <c r="E99">
        <v>1524.86</v>
      </c>
      <c r="F99">
        <v>1520.82</v>
      </c>
      <c r="G99">
        <v>1516.58</v>
      </c>
      <c r="H99">
        <v>1512.12</v>
      </c>
      <c r="I99">
        <v>1507.46</v>
      </c>
      <c r="J99">
        <v>1502.59</v>
      </c>
      <c r="K99">
        <v>1497.51</v>
      </c>
      <c r="L99">
        <v>1492.23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1538.48</v>
      </c>
      <c r="C100">
        <v>1535.2</v>
      </c>
      <c r="D100">
        <v>1531.7</v>
      </c>
      <c r="E100">
        <v>1528</v>
      </c>
      <c r="F100">
        <v>1524.09</v>
      </c>
      <c r="G100">
        <v>1519.97</v>
      </c>
      <c r="H100">
        <v>1515.65</v>
      </c>
      <c r="I100">
        <v>1511.11</v>
      </c>
      <c r="J100">
        <v>1506.37</v>
      </c>
      <c r="K100">
        <v>1501.42</v>
      </c>
      <c r="L100">
        <v>1496.26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1541.13</v>
      </c>
      <c r="C101">
        <v>1537.97</v>
      </c>
      <c r="D101">
        <v>1534.6</v>
      </c>
      <c r="E101">
        <v>1531.03</v>
      </c>
      <c r="F101">
        <v>1527.25</v>
      </c>
      <c r="G101">
        <v>1523.26</v>
      </c>
      <c r="H101">
        <v>1519.06</v>
      </c>
      <c r="I101">
        <v>1514.66</v>
      </c>
      <c r="J101">
        <v>1510.04</v>
      </c>
      <c r="K101">
        <v>1505.22</v>
      </c>
      <c r="L101">
        <v>1500.19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1543.75</v>
      </c>
      <c r="C102">
        <v>1540.73</v>
      </c>
      <c r="D102">
        <v>1537.5</v>
      </c>
      <c r="E102">
        <v>1534.06</v>
      </c>
      <c r="F102">
        <v>1530.42</v>
      </c>
      <c r="G102">
        <v>1526.56</v>
      </c>
      <c r="H102">
        <v>1522.5</v>
      </c>
      <c r="I102">
        <v>1518.23</v>
      </c>
      <c r="J102">
        <v>1513.75</v>
      </c>
      <c r="K102">
        <v>1509.06</v>
      </c>
      <c r="L102">
        <v>1504.17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1546.31</v>
      </c>
      <c r="C103">
        <v>1543.42</v>
      </c>
      <c r="D103">
        <v>1540.33</v>
      </c>
      <c r="E103">
        <v>1537.04</v>
      </c>
      <c r="F103">
        <v>1533.53</v>
      </c>
      <c r="G103">
        <v>1529.81</v>
      </c>
      <c r="H103">
        <v>1525.89</v>
      </c>
      <c r="I103">
        <v>1521.76</v>
      </c>
      <c r="J103">
        <v>1517.42</v>
      </c>
      <c r="K103">
        <v>1512.87</v>
      </c>
      <c r="L103">
        <v>1508.11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1548.74</v>
      </c>
      <c r="C104">
        <v>1546</v>
      </c>
      <c r="D104">
        <v>1543.05</v>
      </c>
      <c r="E104">
        <v>1539.89</v>
      </c>
      <c r="F104">
        <v>1536.52</v>
      </c>
      <c r="G104">
        <v>1532.95</v>
      </c>
      <c r="H104">
        <v>1529.16</v>
      </c>
      <c r="I104">
        <v>1525.17</v>
      </c>
      <c r="J104">
        <v>1520.97</v>
      </c>
      <c r="K104">
        <v>1516.56</v>
      </c>
      <c r="L104">
        <v>1511.94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1551.06</v>
      </c>
      <c r="C105">
        <v>1548.46</v>
      </c>
      <c r="D105">
        <v>1545.64</v>
      </c>
      <c r="E105">
        <v>1542.62</v>
      </c>
      <c r="F105">
        <v>1539.39</v>
      </c>
      <c r="G105">
        <v>1535.96</v>
      </c>
      <c r="H105">
        <v>1532.31</v>
      </c>
      <c r="I105">
        <v>1528.46</v>
      </c>
      <c r="J105">
        <v>1524.4</v>
      </c>
      <c r="K105">
        <v>1520.13</v>
      </c>
      <c r="L105">
        <v>1515.65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1553.26</v>
      </c>
      <c r="C106">
        <v>1550.79</v>
      </c>
      <c r="D106">
        <v>1548.11</v>
      </c>
      <c r="E106">
        <v>1545.24</v>
      </c>
      <c r="F106">
        <v>1542.15</v>
      </c>
      <c r="G106">
        <v>1538.85</v>
      </c>
      <c r="H106">
        <v>1535.34</v>
      </c>
      <c r="I106">
        <v>1531.63</v>
      </c>
      <c r="J106">
        <v>1527.7</v>
      </c>
      <c r="K106">
        <v>1523.57</v>
      </c>
      <c r="L106">
        <v>1519.23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1555.35</v>
      </c>
      <c r="C107">
        <v>1553.01</v>
      </c>
      <c r="D107">
        <v>1550.47</v>
      </c>
      <c r="E107">
        <v>1547.73</v>
      </c>
      <c r="F107">
        <v>1544.78</v>
      </c>
      <c r="G107">
        <v>1541.62</v>
      </c>
      <c r="H107">
        <v>1538.25</v>
      </c>
      <c r="I107">
        <v>1534.67</v>
      </c>
      <c r="J107">
        <v>1530.89</v>
      </c>
      <c r="K107">
        <v>1526.9</v>
      </c>
      <c r="L107">
        <v>1522.7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1557.32</v>
      </c>
      <c r="C108">
        <v>1555.1</v>
      </c>
      <c r="D108">
        <v>1552.7</v>
      </c>
      <c r="E108">
        <v>1550.1</v>
      </c>
      <c r="F108">
        <v>1547.28</v>
      </c>
      <c r="G108">
        <v>1544.27</v>
      </c>
      <c r="H108">
        <v>1541.04</v>
      </c>
      <c r="I108">
        <v>1537.6</v>
      </c>
      <c r="J108">
        <v>1533.96</v>
      </c>
      <c r="K108">
        <v>1530.1</v>
      </c>
      <c r="L108">
        <v>1526.04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1559.17</v>
      </c>
      <c r="C109">
        <v>1557.09</v>
      </c>
      <c r="D109">
        <v>1554.81</v>
      </c>
      <c r="E109">
        <v>1552.35</v>
      </c>
      <c r="F109">
        <v>1549.67</v>
      </c>
      <c r="G109">
        <v>1546.8</v>
      </c>
      <c r="H109">
        <v>1543.7</v>
      </c>
      <c r="I109">
        <v>1540.41</v>
      </c>
      <c r="J109">
        <v>1536.9</v>
      </c>
      <c r="K109">
        <v>1533.19</v>
      </c>
      <c r="L109">
        <v>1529.27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1560.9</v>
      </c>
      <c r="C110">
        <v>1558.95</v>
      </c>
      <c r="D110">
        <v>1556.81</v>
      </c>
      <c r="E110">
        <v>1554.48</v>
      </c>
      <c r="F110">
        <v>1551.94</v>
      </c>
      <c r="G110">
        <v>1549.2</v>
      </c>
      <c r="H110">
        <v>1546.25</v>
      </c>
      <c r="I110">
        <v>1543.09</v>
      </c>
      <c r="J110">
        <v>1539.73</v>
      </c>
      <c r="K110">
        <v>1536.15</v>
      </c>
      <c r="L110">
        <v>1532.37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1562.52</v>
      </c>
      <c r="C111">
        <v>1560.7</v>
      </c>
      <c r="D111">
        <v>1558.69</v>
      </c>
      <c r="E111">
        <v>1556.49</v>
      </c>
      <c r="F111">
        <v>1554.09</v>
      </c>
      <c r="G111">
        <v>1551.49</v>
      </c>
      <c r="H111">
        <v>1548.68</v>
      </c>
      <c r="I111">
        <v>1545.66</v>
      </c>
      <c r="J111">
        <v>1542.43</v>
      </c>
      <c r="K111">
        <v>1538.99</v>
      </c>
      <c r="L111">
        <v>1535.35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1564.02</v>
      </c>
      <c r="C112">
        <v>1562.34</v>
      </c>
      <c r="D112">
        <v>1560.45</v>
      </c>
      <c r="E112">
        <v>1558.38</v>
      </c>
      <c r="F112">
        <v>1556.12</v>
      </c>
      <c r="G112">
        <v>1553.65</v>
      </c>
      <c r="H112">
        <v>1550.98</v>
      </c>
      <c r="I112">
        <v>1548.1</v>
      </c>
      <c r="J112">
        <v>1545.01</v>
      </c>
      <c r="K112">
        <v>1541.72</v>
      </c>
      <c r="L112">
        <v>1538.21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1565.41</v>
      </c>
      <c r="C113">
        <v>1563.85</v>
      </c>
      <c r="D113">
        <v>1562.1</v>
      </c>
      <c r="E113">
        <v>1560.16</v>
      </c>
      <c r="F113">
        <v>1558.03</v>
      </c>
      <c r="G113">
        <v>1555.7</v>
      </c>
      <c r="H113">
        <v>1553.17</v>
      </c>
      <c r="I113">
        <v>1550.42</v>
      </c>
      <c r="J113">
        <v>1547.47</v>
      </c>
      <c r="K113">
        <v>1544.32</v>
      </c>
      <c r="L113">
        <v>1540.95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1566.68</v>
      </c>
      <c r="C114">
        <v>1565.25</v>
      </c>
      <c r="D114">
        <v>1563.63</v>
      </c>
      <c r="E114">
        <v>1561.83</v>
      </c>
      <c r="F114">
        <v>1559.82</v>
      </c>
      <c r="G114">
        <v>1557.62</v>
      </c>
      <c r="H114">
        <v>1555.23</v>
      </c>
      <c r="I114">
        <v>1552.63</v>
      </c>
      <c r="J114">
        <v>1549.82</v>
      </c>
      <c r="K114">
        <v>1546.8</v>
      </c>
      <c r="L114">
        <v>1543.57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1567.83</v>
      </c>
      <c r="C115">
        <v>1566.53</v>
      </c>
      <c r="D115">
        <v>1565.04</v>
      </c>
      <c r="E115">
        <v>1563.37</v>
      </c>
      <c r="F115">
        <v>1561.49</v>
      </c>
      <c r="G115">
        <v>1559.43</v>
      </c>
      <c r="H115">
        <v>1557.17</v>
      </c>
      <c r="I115">
        <v>1554.71</v>
      </c>
      <c r="J115">
        <v>1552.04</v>
      </c>
      <c r="K115">
        <v>1549.16</v>
      </c>
      <c r="L115">
        <v>1546.07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1568.87</v>
      </c>
      <c r="C116">
        <v>1567.7</v>
      </c>
      <c r="D116">
        <v>1566.34</v>
      </c>
      <c r="E116">
        <v>1564.8</v>
      </c>
      <c r="F116">
        <v>1563.05</v>
      </c>
      <c r="G116">
        <v>1561.12</v>
      </c>
      <c r="H116">
        <v>1558.99</v>
      </c>
      <c r="I116">
        <v>1556.67</v>
      </c>
      <c r="J116">
        <v>1554.14</v>
      </c>
      <c r="K116">
        <v>1551.4</v>
      </c>
      <c r="L116">
        <v>1548.45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1569.79</v>
      </c>
      <c r="C117">
        <v>1568.75</v>
      </c>
      <c r="D117">
        <v>1567.52</v>
      </c>
      <c r="E117">
        <v>1566.11</v>
      </c>
      <c r="F117">
        <v>1564.49</v>
      </c>
      <c r="G117">
        <v>1562.69</v>
      </c>
      <c r="H117">
        <v>1560.7</v>
      </c>
      <c r="I117">
        <v>1558.51</v>
      </c>
      <c r="J117">
        <v>1556.12</v>
      </c>
      <c r="K117">
        <v>1553.51</v>
      </c>
      <c r="L117">
        <v>1550.7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1570.59</v>
      </c>
      <c r="C118">
        <v>1569.68</v>
      </c>
      <c r="D118">
        <v>1568.59</v>
      </c>
      <c r="E118">
        <v>1567.3</v>
      </c>
      <c r="F118">
        <v>1565.82</v>
      </c>
      <c r="G118">
        <v>1564.15</v>
      </c>
      <c r="H118">
        <v>1562.29</v>
      </c>
      <c r="I118">
        <v>1560.23</v>
      </c>
      <c r="J118">
        <v>1557.97</v>
      </c>
      <c r="K118">
        <v>1555.51</v>
      </c>
      <c r="L118">
        <v>1552.84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15">
      <c r="A119">
        <v>570</v>
      </c>
      <c r="B119">
        <v>1571.28</v>
      </c>
      <c r="C119">
        <v>1570.5</v>
      </c>
      <c r="D119">
        <v>1569.53</v>
      </c>
      <c r="E119">
        <v>1568.38</v>
      </c>
      <c r="F119">
        <v>1567.03</v>
      </c>
      <c r="G119">
        <v>1565.49</v>
      </c>
      <c r="H119">
        <v>1563.76</v>
      </c>
      <c r="I119">
        <v>1561.83</v>
      </c>
      <c r="J119">
        <v>1559.71</v>
      </c>
      <c r="K119">
        <v>1557.39</v>
      </c>
      <c r="L119">
        <v>1554.86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15">
      <c r="A120">
        <v>575</v>
      </c>
      <c r="B120">
        <v>1571.85</v>
      </c>
      <c r="C120">
        <v>1571.2</v>
      </c>
      <c r="D120">
        <v>1570.36</v>
      </c>
      <c r="E120">
        <v>1569.34</v>
      </c>
      <c r="F120">
        <v>1568.12</v>
      </c>
      <c r="G120">
        <v>1566.71</v>
      </c>
      <c r="H120">
        <v>1565.11</v>
      </c>
      <c r="I120">
        <v>1563.32</v>
      </c>
      <c r="J120">
        <v>1561.33</v>
      </c>
      <c r="K120">
        <v>1559.14</v>
      </c>
      <c r="L120">
        <v>1556.75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15">
      <c r="A121">
        <v>580</v>
      </c>
      <c r="B121">
        <v>1572.3</v>
      </c>
      <c r="C121">
        <v>1571.78</v>
      </c>
      <c r="D121">
        <v>1571.08</v>
      </c>
      <c r="E121">
        <v>1570.18</v>
      </c>
      <c r="F121">
        <v>1569.1</v>
      </c>
      <c r="G121">
        <v>1567.82</v>
      </c>
      <c r="H121">
        <v>1566.35</v>
      </c>
      <c r="I121">
        <v>1564.68</v>
      </c>
      <c r="J121">
        <v>1562.83</v>
      </c>
      <c r="K121">
        <v>1560.78</v>
      </c>
      <c r="L121">
        <v>1558.52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15">
      <c r="A122">
        <v>585</v>
      </c>
      <c r="B122">
        <v>1572.63</v>
      </c>
      <c r="C122">
        <v>1572.25</v>
      </c>
      <c r="D122">
        <v>1571.68</v>
      </c>
      <c r="E122">
        <v>1570.91</v>
      </c>
      <c r="F122">
        <v>1569.96</v>
      </c>
      <c r="G122">
        <v>1568.81</v>
      </c>
      <c r="H122">
        <v>1567.47</v>
      </c>
      <c r="I122">
        <v>1565.94</v>
      </c>
      <c r="J122">
        <v>1564.21</v>
      </c>
      <c r="K122">
        <v>1562.29</v>
      </c>
      <c r="L122">
        <v>1560.18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15">
      <c r="A123">
        <v>590</v>
      </c>
      <c r="B123">
        <v>1572.87</v>
      </c>
      <c r="C123">
        <v>1572.6</v>
      </c>
      <c r="D123">
        <v>1572.16</v>
      </c>
      <c r="E123">
        <v>1571.52</v>
      </c>
      <c r="F123">
        <v>1570.7</v>
      </c>
      <c r="G123">
        <v>1569.68</v>
      </c>
      <c r="H123">
        <v>1568.47</v>
      </c>
      <c r="I123">
        <v>1567.07</v>
      </c>
      <c r="J123">
        <v>1565.48</v>
      </c>
      <c r="K123">
        <v>1563.69</v>
      </c>
      <c r="L123">
        <v>1561.71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15">
      <c r="A124">
        <v>595</v>
      </c>
      <c r="B124">
        <v>1573.02</v>
      </c>
      <c r="C124">
        <v>1572.84</v>
      </c>
      <c r="D124">
        <v>1572.52</v>
      </c>
      <c r="E124">
        <v>1572.02</v>
      </c>
      <c r="F124">
        <v>1571.33</v>
      </c>
      <c r="G124">
        <v>1570.44</v>
      </c>
      <c r="H124">
        <v>1569.36</v>
      </c>
      <c r="I124">
        <v>1568.09</v>
      </c>
      <c r="J124">
        <v>1566.63</v>
      </c>
      <c r="K124">
        <v>1564.97</v>
      </c>
      <c r="L124">
        <v>1563.13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15">
      <c r="A125">
        <v>600</v>
      </c>
      <c r="B125">
        <v>1573.11</v>
      </c>
      <c r="C125">
        <v>1572.97</v>
      </c>
      <c r="D125">
        <v>1572.77</v>
      </c>
      <c r="E125">
        <v>1572.4</v>
      </c>
      <c r="F125">
        <v>1571.84</v>
      </c>
      <c r="G125">
        <v>1571.08</v>
      </c>
      <c r="H125">
        <v>1570.13</v>
      </c>
      <c r="I125">
        <v>1568.99</v>
      </c>
      <c r="J125">
        <v>1567.66</v>
      </c>
      <c r="K125">
        <v>1566.14</v>
      </c>
      <c r="L125">
        <v>1564.42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15">
      <c r="A126">
        <v>605</v>
      </c>
      <c r="B126">
        <v>1573.2</v>
      </c>
      <c r="C126">
        <v>1573.05</v>
      </c>
      <c r="D126">
        <v>1572.9</v>
      </c>
      <c r="E126">
        <v>1572.66</v>
      </c>
      <c r="F126">
        <v>1572.23</v>
      </c>
      <c r="G126">
        <v>1571.6</v>
      </c>
      <c r="H126">
        <v>1570.78</v>
      </c>
      <c r="I126">
        <v>1569.77</v>
      </c>
      <c r="J126">
        <v>1568.58</v>
      </c>
      <c r="K126">
        <v>1567.18</v>
      </c>
      <c r="L126">
        <v>1565.6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15">
      <c r="A127">
        <v>610</v>
      </c>
      <c r="B127">
        <v>1573.28</v>
      </c>
      <c r="C127">
        <v>1573.13</v>
      </c>
      <c r="D127">
        <v>1572.98</v>
      </c>
      <c r="E127">
        <v>1572.81</v>
      </c>
      <c r="F127">
        <v>1572.5</v>
      </c>
      <c r="G127">
        <v>1571.51</v>
      </c>
      <c r="H127">
        <v>1570.96</v>
      </c>
      <c r="I127">
        <v>1570.31</v>
      </c>
      <c r="J127">
        <v>1569.35</v>
      </c>
      <c r="K127">
        <v>1568.1</v>
      </c>
      <c r="L127">
        <v>1566.65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15">
      <c r="A128">
        <v>615</v>
      </c>
      <c r="B128">
        <v>1573.36</v>
      </c>
      <c r="C128">
        <v>1573.21</v>
      </c>
      <c r="D128">
        <v>1573.06</v>
      </c>
      <c r="E128">
        <v>1572.91</v>
      </c>
      <c r="F128">
        <v>1572.69</v>
      </c>
      <c r="G128">
        <v>1572.29</v>
      </c>
      <c r="H128">
        <v>1571.75</v>
      </c>
      <c r="I128">
        <v>1570.76</v>
      </c>
      <c r="J128">
        <v>1569.55</v>
      </c>
      <c r="K128">
        <v>1568.44</v>
      </c>
      <c r="L128">
        <v>1567.25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15">
      <c r="A129">
        <v>620</v>
      </c>
      <c r="B129">
        <v>1573.43</v>
      </c>
      <c r="C129">
        <v>1573.28</v>
      </c>
      <c r="D129">
        <v>1573.13</v>
      </c>
      <c r="E129">
        <v>1572.98</v>
      </c>
      <c r="F129">
        <v>1572.82</v>
      </c>
      <c r="G129">
        <v>1572.52</v>
      </c>
      <c r="H129">
        <v>1572.04</v>
      </c>
      <c r="I129">
        <v>1571.47</v>
      </c>
      <c r="J129">
        <v>1570.65</v>
      </c>
      <c r="K129">
        <v>1569.53</v>
      </c>
      <c r="L129">
        <v>1568.09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15">
      <c r="A130">
        <v>625</v>
      </c>
      <c r="B130">
        <v>1573.51</v>
      </c>
      <c r="C130">
        <v>1573.36</v>
      </c>
      <c r="D130">
        <v>1573.21</v>
      </c>
      <c r="E130">
        <v>1573.06</v>
      </c>
      <c r="F130">
        <v>1572.91</v>
      </c>
      <c r="G130">
        <v>1572.7</v>
      </c>
      <c r="H130">
        <v>1572.34</v>
      </c>
      <c r="I130">
        <v>1571.75</v>
      </c>
      <c r="J130">
        <v>1571.15</v>
      </c>
      <c r="K130">
        <v>1570.27</v>
      </c>
      <c r="L130">
        <v>1569.19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15">
      <c r="A131">
        <v>630</v>
      </c>
      <c r="B131">
        <v>1573.59</v>
      </c>
      <c r="C131">
        <v>1573.44</v>
      </c>
      <c r="D131">
        <v>1573.29</v>
      </c>
      <c r="E131">
        <v>1573.13</v>
      </c>
      <c r="F131">
        <v>1572.98</v>
      </c>
      <c r="G131">
        <v>1572.82</v>
      </c>
      <c r="H131">
        <v>1572.56</v>
      </c>
      <c r="I131">
        <v>1572.15</v>
      </c>
      <c r="J131">
        <v>1571.44</v>
      </c>
      <c r="K131">
        <v>1570.75</v>
      </c>
      <c r="L131">
        <v>1569.83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15">
      <c r="A132">
        <v>635</v>
      </c>
      <c r="B132">
        <v>1573.66</v>
      </c>
      <c r="C132">
        <v>1573.51</v>
      </c>
      <c r="D132">
        <v>1573.36</v>
      </c>
      <c r="E132">
        <v>1573.21</v>
      </c>
      <c r="F132">
        <v>1573.06</v>
      </c>
      <c r="G132">
        <v>1572.91</v>
      </c>
      <c r="H132">
        <v>1572.71</v>
      </c>
      <c r="I132">
        <v>1572.38</v>
      </c>
      <c r="J132">
        <v>1571.9</v>
      </c>
      <c r="K132">
        <v>1571.14</v>
      </c>
      <c r="L132">
        <v>1570.35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15">
      <c r="A133">
        <v>640</v>
      </c>
      <c r="B133">
        <v>1573.74</v>
      </c>
      <c r="C133">
        <v>1573.59</v>
      </c>
      <c r="D133">
        <v>1573.44</v>
      </c>
      <c r="E133">
        <v>1573.29</v>
      </c>
      <c r="F133">
        <v>1573.14</v>
      </c>
      <c r="G133">
        <v>1572.99</v>
      </c>
      <c r="H133">
        <v>1572.82</v>
      </c>
      <c r="I133">
        <v>1572.57</v>
      </c>
      <c r="J133">
        <v>1572.18</v>
      </c>
      <c r="K133">
        <v>1571.6</v>
      </c>
      <c r="L133">
        <v>1570.79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15">
      <c r="A134">
        <v>645</v>
      </c>
      <c r="B134">
        <v>1573.82</v>
      </c>
      <c r="C134">
        <v>1573.66</v>
      </c>
      <c r="D134">
        <v>1573.51</v>
      </c>
      <c r="E134">
        <v>1573.36</v>
      </c>
      <c r="F134">
        <v>1573.21</v>
      </c>
      <c r="G134">
        <v>1573.06</v>
      </c>
      <c r="H134">
        <v>1572.91</v>
      </c>
      <c r="I134">
        <v>1572.71</v>
      </c>
      <c r="J134">
        <v>1572.4</v>
      </c>
      <c r="K134">
        <v>1571.94</v>
      </c>
      <c r="L134">
        <v>1571.32</v>
      </c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15">
      <c r="A135">
        <v>650</v>
      </c>
      <c r="B135">
        <v>1573.89</v>
      </c>
      <c r="C135">
        <v>1573.74</v>
      </c>
      <c r="D135">
        <v>1573.59</v>
      </c>
      <c r="E135">
        <v>1573.44</v>
      </c>
      <c r="F135">
        <v>1573.29</v>
      </c>
      <c r="G135">
        <v>1573.14</v>
      </c>
      <c r="H135">
        <v>1572.99</v>
      </c>
      <c r="I135">
        <v>1572.82</v>
      </c>
      <c r="J135">
        <v>1572.57</v>
      </c>
      <c r="K135">
        <v>1572.2</v>
      </c>
      <c r="L135">
        <v>1571.67</v>
      </c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15">
      <c r="A136">
        <v>655</v>
      </c>
      <c r="B136">
        <v>1573.97</v>
      </c>
      <c r="C136">
        <v>1573.82</v>
      </c>
      <c r="D136">
        <v>1573.67</v>
      </c>
      <c r="E136">
        <v>1573.52</v>
      </c>
      <c r="F136">
        <v>1573.37</v>
      </c>
      <c r="G136">
        <v>1573.21</v>
      </c>
      <c r="H136">
        <v>1573.06</v>
      </c>
      <c r="I136">
        <v>1572.91</v>
      </c>
      <c r="J136">
        <v>1572.71</v>
      </c>
      <c r="K136">
        <v>1572.41</v>
      </c>
      <c r="L136">
        <v>1571.97</v>
      </c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15">
      <c r="A137">
        <v>660</v>
      </c>
      <c r="B137">
        <v>1574.04</v>
      </c>
      <c r="C137">
        <v>1573.89</v>
      </c>
      <c r="D137">
        <v>1573.74</v>
      </c>
      <c r="E137">
        <v>1573.59</v>
      </c>
      <c r="F137">
        <v>1573.44</v>
      </c>
      <c r="G137">
        <v>1573.29</v>
      </c>
      <c r="H137">
        <v>1573.14</v>
      </c>
      <c r="I137">
        <v>1572.99</v>
      </c>
      <c r="J137">
        <v>1572.82</v>
      </c>
      <c r="K137">
        <v>1572.58</v>
      </c>
      <c r="L137">
        <v>1572.21</v>
      </c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15">
      <c r="A138">
        <v>665</v>
      </c>
      <c r="B138">
        <v>1574.12</v>
      </c>
      <c r="C138">
        <v>1573.97</v>
      </c>
      <c r="D138">
        <v>1573.82</v>
      </c>
      <c r="E138">
        <v>1573.67</v>
      </c>
      <c r="F138">
        <v>1573.52</v>
      </c>
      <c r="G138">
        <v>1573.37</v>
      </c>
      <c r="H138">
        <v>1573.22</v>
      </c>
      <c r="I138">
        <v>1573.07</v>
      </c>
      <c r="J138">
        <v>1572.91</v>
      </c>
      <c r="K138">
        <v>1572.71</v>
      </c>
      <c r="L138">
        <v>1572.41</v>
      </c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15">
      <c r="A139">
        <v>670</v>
      </c>
      <c r="B139">
        <v>1574.2</v>
      </c>
      <c r="C139">
        <v>1574.05</v>
      </c>
      <c r="D139">
        <v>1573.9</v>
      </c>
      <c r="E139">
        <v>1573.74</v>
      </c>
      <c r="F139">
        <v>1573.59</v>
      </c>
      <c r="G139">
        <v>1573.44</v>
      </c>
      <c r="H139">
        <v>1573.29</v>
      </c>
      <c r="I139">
        <v>1573.14</v>
      </c>
      <c r="J139">
        <v>1572.99</v>
      </c>
      <c r="K139">
        <v>1572.82</v>
      </c>
      <c r="L139">
        <v>1572.57</v>
      </c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15">
      <c r="A140">
        <v>675</v>
      </c>
      <c r="B140">
        <v>1574.27</v>
      </c>
      <c r="C140">
        <v>1574.12</v>
      </c>
      <c r="D140">
        <v>1573.97</v>
      </c>
      <c r="E140">
        <v>1573.82</v>
      </c>
      <c r="F140">
        <v>1573.67</v>
      </c>
      <c r="G140">
        <v>1573.52</v>
      </c>
      <c r="H140">
        <v>1573.37</v>
      </c>
      <c r="I140">
        <v>1573.22</v>
      </c>
      <c r="J140">
        <v>1573.07</v>
      </c>
      <c r="K140">
        <v>1572.91</v>
      </c>
      <c r="L140">
        <v>1572.71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15">
      <c r="A141">
        <v>680</v>
      </c>
      <c r="B141">
        <v>1574.35</v>
      </c>
      <c r="C141">
        <v>1574.2</v>
      </c>
      <c r="D141">
        <v>1574.05</v>
      </c>
      <c r="E141">
        <v>1573.9</v>
      </c>
      <c r="F141">
        <v>1573.75</v>
      </c>
      <c r="G141">
        <v>1573.6</v>
      </c>
      <c r="H141">
        <v>1573.45</v>
      </c>
      <c r="I141">
        <v>1573.29</v>
      </c>
      <c r="J141">
        <v>1573.14</v>
      </c>
      <c r="K141">
        <v>1572.99</v>
      </c>
      <c r="L141">
        <v>1572.82</v>
      </c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</row>
    <row r="142" spans="1:23" x14ac:dyDescent="0.15">
      <c r="A142">
        <v>685</v>
      </c>
      <c r="B142">
        <v>1574.43</v>
      </c>
      <c r="C142">
        <v>1574.28</v>
      </c>
      <c r="D142">
        <v>1574.12</v>
      </c>
      <c r="E142">
        <v>1573.97</v>
      </c>
      <c r="F142">
        <v>1573.82</v>
      </c>
      <c r="G142">
        <v>1573.67</v>
      </c>
      <c r="H142">
        <v>1573.52</v>
      </c>
      <c r="I142">
        <v>1573.37</v>
      </c>
      <c r="J142">
        <v>1573.22</v>
      </c>
      <c r="K142">
        <v>1573.07</v>
      </c>
      <c r="L142">
        <v>1572.91</v>
      </c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</row>
    <row r="143" spans="1:23" x14ac:dyDescent="0.15">
      <c r="A143">
        <v>690</v>
      </c>
      <c r="B143">
        <v>1574.5</v>
      </c>
      <c r="C143">
        <v>1574.35</v>
      </c>
      <c r="D143">
        <v>1574.2</v>
      </c>
      <c r="E143">
        <v>1574.05</v>
      </c>
      <c r="F143">
        <v>1573.9</v>
      </c>
      <c r="G143">
        <v>1573.75</v>
      </c>
      <c r="H143">
        <v>1573.6</v>
      </c>
      <c r="I143">
        <v>1573.45</v>
      </c>
      <c r="J143">
        <v>1573.3</v>
      </c>
      <c r="K143">
        <v>1573.15</v>
      </c>
      <c r="L143">
        <v>1572.99</v>
      </c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</row>
    <row r="144" spans="1:23" x14ac:dyDescent="0.15">
      <c r="A144">
        <v>695</v>
      </c>
      <c r="B144">
        <v>1574.58</v>
      </c>
      <c r="C144">
        <v>1574.43</v>
      </c>
      <c r="D144">
        <v>1574.28</v>
      </c>
      <c r="E144">
        <v>1574.13</v>
      </c>
      <c r="F144">
        <v>1573.98</v>
      </c>
      <c r="G144">
        <v>1573.83</v>
      </c>
      <c r="H144">
        <v>1573.67</v>
      </c>
      <c r="I144">
        <v>1573.52</v>
      </c>
      <c r="J144">
        <v>1573.37</v>
      </c>
      <c r="K144">
        <v>1573.22</v>
      </c>
      <c r="L144">
        <v>1573.07</v>
      </c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23" x14ac:dyDescent="0.15">
      <c r="A145">
        <v>700</v>
      </c>
      <c r="B145">
        <v>1574.65</v>
      </c>
      <c r="C145">
        <v>1574.5</v>
      </c>
      <c r="D145">
        <v>1574.35</v>
      </c>
      <c r="E145">
        <v>1574.2</v>
      </c>
      <c r="F145">
        <v>1574.05</v>
      </c>
      <c r="G145">
        <v>1573.9</v>
      </c>
      <c r="H145">
        <v>1573.75</v>
      </c>
      <c r="I145">
        <v>1573.6</v>
      </c>
      <c r="J145">
        <v>1573.45</v>
      </c>
      <c r="K145">
        <v>1573.3</v>
      </c>
      <c r="L145">
        <v>1573.15</v>
      </c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23" x14ac:dyDescent="0.15">
      <c r="A146">
        <v>705</v>
      </c>
      <c r="B146">
        <v>1574.73</v>
      </c>
      <c r="C146">
        <v>1574.58</v>
      </c>
      <c r="D146">
        <v>1574.43</v>
      </c>
      <c r="E146">
        <v>1574.28</v>
      </c>
      <c r="F146">
        <v>1574.13</v>
      </c>
      <c r="G146">
        <v>1573.98</v>
      </c>
      <c r="H146">
        <v>1573.83</v>
      </c>
      <c r="I146">
        <v>1573.68</v>
      </c>
      <c r="J146">
        <v>1573.53</v>
      </c>
      <c r="K146">
        <v>1573.37</v>
      </c>
      <c r="L146">
        <v>1573.22</v>
      </c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23" x14ac:dyDescent="0.15">
      <c r="A147">
        <v>710</v>
      </c>
      <c r="B147">
        <v>1574.81</v>
      </c>
      <c r="C147">
        <v>1574.66</v>
      </c>
      <c r="D147">
        <v>1574.51</v>
      </c>
      <c r="E147">
        <v>1574.36</v>
      </c>
      <c r="F147">
        <v>1574.2</v>
      </c>
      <c r="G147">
        <v>1574.05</v>
      </c>
      <c r="H147">
        <v>1573.9</v>
      </c>
      <c r="I147">
        <v>1573.75</v>
      </c>
      <c r="J147">
        <v>1573.6</v>
      </c>
      <c r="K147">
        <v>1573.45</v>
      </c>
      <c r="L147">
        <v>1573.3</v>
      </c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23" x14ac:dyDescent="0.15">
      <c r="A148">
        <v>715</v>
      </c>
      <c r="B148">
        <v>1574.88</v>
      </c>
      <c r="C148">
        <v>1574.73</v>
      </c>
      <c r="D148">
        <v>1574.58</v>
      </c>
      <c r="E148">
        <v>1574.43</v>
      </c>
      <c r="F148">
        <v>1574.28</v>
      </c>
      <c r="G148">
        <v>1574.13</v>
      </c>
      <c r="H148">
        <v>1573.98</v>
      </c>
      <c r="I148">
        <v>1573.83</v>
      </c>
      <c r="J148">
        <v>1573.68</v>
      </c>
      <c r="K148">
        <v>1573.53</v>
      </c>
      <c r="L148">
        <v>1573.38</v>
      </c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23" x14ac:dyDescent="0.15">
      <c r="A149">
        <v>720</v>
      </c>
      <c r="B149">
        <v>1574.96</v>
      </c>
      <c r="C149">
        <v>1574.81</v>
      </c>
      <c r="D149">
        <v>1574.66</v>
      </c>
      <c r="E149">
        <v>1574.51</v>
      </c>
      <c r="F149">
        <v>1574.36</v>
      </c>
      <c r="G149">
        <v>1574.21</v>
      </c>
      <c r="H149">
        <v>1574.06</v>
      </c>
      <c r="I149">
        <v>1573.9</v>
      </c>
      <c r="J149">
        <v>1573.75</v>
      </c>
      <c r="K149">
        <v>1573.6</v>
      </c>
      <c r="L149">
        <v>1573.45</v>
      </c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23" x14ac:dyDescent="0.15">
      <c r="A150">
        <v>725</v>
      </c>
      <c r="B150">
        <v>1575.04</v>
      </c>
      <c r="C150">
        <v>1574.89</v>
      </c>
      <c r="D150">
        <v>1574.73</v>
      </c>
      <c r="E150">
        <v>1574.58</v>
      </c>
      <c r="F150">
        <v>1574.43</v>
      </c>
      <c r="G150">
        <v>1574.28</v>
      </c>
      <c r="H150">
        <v>1574.13</v>
      </c>
      <c r="I150">
        <v>1573.98</v>
      </c>
      <c r="J150">
        <v>1573.83</v>
      </c>
      <c r="K150">
        <v>1573.68</v>
      </c>
      <c r="L150">
        <v>1573.53</v>
      </c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23" x14ac:dyDescent="0.15">
      <c r="A151">
        <v>730</v>
      </c>
      <c r="B151">
        <v>1575.11</v>
      </c>
      <c r="C151">
        <v>1574.96</v>
      </c>
      <c r="D151">
        <v>1574.81</v>
      </c>
      <c r="E151">
        <v>1574.66</v>
      </c>
      <c r="F151">
        <v>1574.51</v>
      </c>
      <c r="G151">
        <v>1574.36</v>
      </c>
      <c r="H151">
        <v>1574.21</v>
      </c>
      <c r="I151">
        <v>1574.06</v>
      </c>
      <c r="J151">
        <v>1573.91</v>
      </c>
      <c r="K151">
        <v>1573.76</v>
      </c>
      <c r="L151">
        <v>1573.61</v>
      </c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23" x14ac:dyDescent="0.15">
      <c r="A152">
        <v>735</v>
      </c>
      <c r="B152">
        <v>1575.19</v>
      </c>
      <c r="C152">
        <v>1575.04</v>
      </c>
      <c r="D152">
        <v>1574.89</v>
      </c>
      <c r="E152">
        <v>1574.74</v>
      </c>
      <c r="F152">
        <v>1574.59</v>
      </c>
      <c r="G152">
        <v>1574.44</v>
      </c>
      <c r="H152">
        <v>1574.28</v>
      </c>
      <c r="I152">
        <v>1574.13</v>
      </c>
      <c r="J152">
        <v>1573.98</v>
      </c>
      <c r="K152">
        <v>1573.83</v>
      </c>
      <c r="L152">
        <v>1573.68</v>
      </c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23" x14ac:dyDescent="0.15">
      <c r="A153">
        <v>740</v>
      </c>
      <c r="B153">
        <v>1575.26</v>
      </c>
      <c r="C153">
        <v>1575.11</v>
      </c>
      <c r="D153">
        <v>1574.96</v>
      </c>
      <c r="E153">
        <v>1574.81</v>
      </c>
      <c r="F153">
        <v>1574.66</v>
      </c>
      <c r="G153">
        <v>1574.51</v>
      </c>
      <c r="H153">
        <v>1574.36</v>
      </c>
      <c r="I153">
        <v>1574.21</v>
      </c>
      <c r="J153">
        <v>1574.06</v>
      </c>
      <c r="K153">
        <v>1573.91</v>
      </c>
      <c r="L153">
        <v>1573.76</v>
      </c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23" x14ac:dyDescent="0.15">
      <c r="A154">
        <v>745</v>
      </c>
      <c r="B154">
        <v>1575.34</v>
      </c>
      <c r="C154">
        <v>1575.19</v>
      </c>
      <c r="D154">
        <v>1575.04</v>
      </c>
      <c r="E154">
        <v>1574.89</v>
      </c>
      <c r="F154">
        <v>1574.74</v>
      </c>
      <c r="G154">
        <v>1574.59</v>
      </c>
      <c r="H154">
        <v>1574.44</v>
      </c>
      <c r="I154">
        <v>1574.29</v>
      </c>
      <c r="J154">
        <v>1574.14</v>
      </c>
      <c r="K154">
        <v>1573.98</v>
      </c>
      <c r="L154">
        <v>1573.83</v>
      </c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</row>
    <row r="155" spans="1:23" x14ac:dyDescent="0.15">
      <c r="A155">
        <v>750</v>
      </c>
      <c r="B155">
        <v>1575.42</v>
      </c>
      <c r="C155">
        <v>1575.27</v>
      </c>
      <c r="D155">
        <v>1575.12</v>
      </c>
      <c r="E155">
        <v>1574.97</v>
      </c>
      <c r="F155">
        <v>1574.81</v>
      </c>
      <c r="G155">
        <v>1574.66</v>
      </c>
      <c r="H155">
        <v>1574.51</v>
      </c>
      <c r="I155">
        <v>1574.36</v>
      </c>
      <c r="J155">
        <v>1574.21</v>
      </c>
      <c r="K155">
        <v>1574.06</v>
      </c>
      <c r="L155">
        <v>1573.91</v>
      </c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23" x14ac:dyDescent="0.15">
      <c r="A156">
        <v>755</v>
      </c>
      <c r="B156">
        <v>1575.49</v>
      </c>
      <c r="C156">
        <v>1575.34</v>
      </c>
      <c r="D156">
        <v>1575.19</v>
      </c>
      <c r="E156">
        <v>1575.04</v>
      </c>
      <c r="F156">
        <v>1574.89</v>
      </c>
      <c r="G156">
        <v>1574.74</v>
      </c>
      <c r="H156">
        <v>1574.59</v>
      </c>
      <c r="I156">
        <v>1574.44</v>
      </c>
      <c r="J156">
        <v>1574.29</v>
      </c>
      <c r="K156">
        <v>1574.14</v>
      </c>
      <c r="L156">
        <v>1573.99</v>
      </c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</row>
    <row r="157" spans="1:23" x14ac:dyDescent="0.15">
      <c r="A157">
        <v>760</v>
      </c>
      <c r="B157">
        <v>1575.57</v>
      </c>
      <c r="C157">
        <v>1575.42</v>
      </c>
      <c r="D157">
        <v>1575.27</v>
      </c>
      <c r="E157">
        <v>1575.12</v>
      </c>
      <c r="F157">
        <v>1574.97</v>
      </c>
      <c r="G157">
        <v>1574.82</v>
      </c>
      <c r="H157">
        <v>1574.67</v>
      </c>
      <c r="I157">
        <v>1574.52</v>
      </c>
      <c r="J157">
        <v>1574.36</v>
      </c>
      <c r="K157">
        <v>1574.21</v>
      </c>
      <c r="L157">
        <v>1574.06</v>
      </c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</row>
    <row r="158" spans="1:23" x14ac:dyDescent="0.15">
      <c r="A158">
        <v>765</v>
      </c>
      <c r="B158">
        <v>1575.65</v>
      </c>
      <c r="C158">
        <v>1575.5</v>
      </c>
      <c r="D158">
        <v>1575.34</v>
      </c>
      <c r="E158">
        <v>1575.19</v>
      </c>
      <c r="F158">
        <v>1575.04</v>
      </c>
      <c r="G158">
        <v>1574.89</v>
      </c>
      <c r="H158">
        <v>1574.74</v>
      </c>
      <c r="I158">
        <v>1574.59</v>
      </c>
      <c r="J158">
        <v>1574.44</v>
      </c>
      <c r="K158">
        <v>1574.29</v>
      </c>
      <c r="L158">
        <v>1574.14</v>
      </c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</row>
    <row r="159" spans="1:23" x14ac:dyDescent="0.15">
      <c r="A159">
        <v>770</v>
      </c>
      <c r="B159">
        <v>1575.72</v>
      </c>
      <c r="C159">
        <v>1575.57</v>
      </c>
      <c r="D159">
        <v>1575.42</v>
      </c>
      <c r="E159">
        <v>1575.27</v>
      </c>
      <c r="F159">
        <v>1575.12</v>
      </c>
      <c r="G159">
        <v>1574.97</v>
      </c>
      <c r="H159">
        <v>1574.82</v>
      </c>
      <c r="I159">
        <v>1574.67</v>
      </c>
      <c r="J159">
        <v>1574.52</v>
      </c>
      <c r="K159">
        <v>1574.37</v>
      </c>
      <c r="L159">
        <v>1574.22</v>
      </c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</row>
    <row r="160" spans="1:23" x14ac:dyDescent="0.15">
      <c r="A160">
        <v>775</v>
      </c>
      <c r="B160">
        <v>1575.8</v>
      </c>
      <c r="C160">
        <v>1575.65</v>
      </c>
      <c r="D160">
        <v>1575.5</v>
      </c>
      <c r="E160">
        <v>1575.35</v>
      </c>
      <c r="F160">
        <v>1575.2</v>
      </c>
      <c r="G160">
        <v>1575.05</v>
      </c>
      <c r="H160">
        <v>1574.9</v>
      </c>
      <c r="I160">
        <v>1574.74</v>
      </c>
      <c r="J160">
        <v>1574.59</v>
      </c>
      <c r="K160">
        <v>1574.44</v>
      </c>
      <c r="L160">
        <v>1574.29</v>
      </c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</row>
    <row r="161" spans="1:23" x14ac:dyDescent="0.15">
      <c r="A161">
        <v>780</v>
      </c>
      <c r="B161">
        <v>1575.88</v>
      </c>
      <c r="C161">
        <v>1575.72</v>
      </c>
      <c r="D161">
        <v>1575.57</v>
      </c>
      <c r="E161">
        <v>1575.42</v>
      </c>
      <c r="F161">
        <v>1575.27</v>
      </c>
      <c r="G161">
        <v>1575.12</v>
      </c>
      <c r="H161">
        <v>1574.97</v>
      </c>
      <c r="I161">
        <v>1574.82</v>
      </c>
      <c r="J161">
        <v>1574.67</v>
      </c>
      <c r="K161">
        <v>1574.52</v>
      </c>
      <c r="L161">
        <v>1574.37</v>
      </c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</row>
    <row r="162" spans="1:23" x14ac:dyDescent="0.15">
      <c r="A162">
        <v>785</v>
      </c>
      <c r="B162">
        <v>1575.95</v>
      </c>
      <c r="C162">
        <v>1575.8</v>
      </c>
      <c r="D162">
        <v>1575.65</v>
      </c>
      <c r="E162">
        <v>1575.5</v>
      </c>
      <c r="F162">
        <v>1575.35</v>
      </c>
      <c r="G162">
        <v>1575.2</v>
      </c>
      <c r="H162">
        <v>1575.05</v>
      </c>
      <c r="I162">
        <v>1574.9</v>
      </c>
      <c r="J162">
        <v>1574.75</v>
      </c>
      <c r="K162">
        <v>1574.6</v>
      </c>
      <c r="L162">
        <v>1574.44</v>
      </c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</row>
    <row r="163" spans="1:23" x14ac:dyDescent="0.15">
      <c r="A163">
        <v>790</v>
      </c>
      <c r="B163">
        <v>1576.03</v>
      </c>
      <c r="C163">
        <v>1575.88</v>
      </c>
      <c r="D163">
        <v>1575.73</v>
      </c>
      <c r="E163">
        <v>1575.58</v>
      </c>
      <c r="F163">
        <v>1575.43</v>
      </c>
      <c r="G163">
        <v>1575.27</v>
      </c>
      <c r="H163">
        <v>1575.12</v>
      </c>
      <c r="I163">
        <v>1574.97</v>
      </c>
      <c r="J163">
        <v>1574.82</v>
      </c>
      <c r="K163">
        <v>1574.67</v>
      </c>
      <c r="L163">
        <v>1574.52</v>
      </c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</row>
    <row r="164" spans="1:23" x14ac:dyDescent="0.15">
      <c r="A164">
        <v>795</v>
      </c>
      <c r="B164">
        <v>1576.1</v>
      </c>
      <c r="C164">
        <v>1575.95</v>
      </c>
      <c r="D164">
        <v>1575.8</v>
      </c>
      <c r="E164">
        <v>1575.65</v>
      </c>
      <c r="F164">
        <v>1575.5</v>
      </c>
      <c r="G164">
        <v>1575.35</v>
      </c>
      <c r="H164">
        <v>1575.2</v>
      </c>
      <c r="I164">
        <v>1575.05</v>
      </c>
      <c r="J164">
        <v>1574.9</v>
      </c>
      <c r="K164">
        <v>1574.75</v>
      </c>
      <c r="L164">
        <v>1574.6</v>
      </c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</row>
    <row r="165" spans="1:23" x14ac:dyDescent="0.15">
      <c r="A165">
        <v>800</v>
      </c>
      <c r="B165">
        <v>1576.18</v>
      </c>
      <c r="C165">
        <v>1576.03</v>
      </c>
      <c r="D165">
        <v>1575.88</v>
      </c>
      <c r="E165">
        <v>1575.73</v>
      </c>
      <c r="F165">
        <v>1575.58</v>
      </c>
      <c r="G165">
        <v>1575.43</v>
      </c>
      <c r="H165">
        <v>1575.28</v>
      </c>
      <c r="I165">
        <v>1575.13</v>
      </c>
      <c r="J165">
        <v>1574.97</v>
      </c>
      <c r="K165">
        <v>1574.82</v>
      </c>
      <c r="L165">
        <v>1574.67</v>
      </c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</row>
    <row r="166" spans="1:23" x14ac:dyDescent="0.15">
      <c r="A166">
        <v>805</v>
      </c>
      <c r="B166">
        <v>1576.26</v>
      </c>
      <c r="C166">
        <v>1576.11</v>
      </c>
      <c r="D166">
        <v>1575.96</v>
      </c>
      <c r="E166">
        <v>1575.8</v>
      </c>
      <c r="F166">
        <v>1575.65</v>
      </c>
      <c r="G166">
        <v>1575.5</v>
      </c>
      <c r="H166">
        <v>1575.35</v>
      </c>
      <c r="I166">
        <v>1575.2</v>
      </c>
      <c r="J166">
        <v>1575.05</v>
      </c>
      <c r="K166">
        <v>1574.9</v>
      </c>
      <c r="L166">
        <v>1574.75</v>
      </c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</row>
    <row r="167" spans="1:23" x14ac:dyDescent="0.15">
      <c r="A167">
        <v>810</v>
      </c>
      <c r="B167">
        <v>1576.33</v>
      </c>
      <c r="C167">
        <v>1576.18</v>
      </c>
      <c r="D167">
        <v>1576.03</v>
      </c>
      <c r="E167">
        <v>1575.88</v>
      </c>
      <c r="F167">
        <v>1575.73</v>
      </c>
      <c r="G167">
        <v>1575.58</v>
      </c>
      <c r="H167">
        <v>1575.43</v>
      </c>
      <c r="I167">
        <v>1575.28</v>
      </c>
      <c r="J167">
        <v>1575.13</v>
      </c>
      <c r="K167">
        <v>1574.98</v>
      </c>
      <c r="L167">
        <v>1574.83</v>
      </c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</row>
    <row r="168" spans="1:23" x14ac:dyDescent="0.15">
      <c r="A168">
        <v>815</v>
      </c>
      <c r="B168">
        <v>1576.41</v>
      </c>
      <c r="C168">
        <v>1576.26</v>
      </c>
      <c r="D168">
        <v>1576.11</v>
      </c>
      <c r="E168">
        <v>1575.96</v>
      </c>
      <c r="F168">
        <v>1575.81</v>
      </c>
      <c r="G168">
        <v>1575.66</v>
      </c>
      <c r="H168">
        <v>1575.51</v>
      </c>
      <c r="I168">
        <v>1575.35</v>
      </c>
      <c r="J168">
        <v>1575.2</v>
      </c>
      <c r="K168">
        <v>1575.05</v>
      </c>
      <c r="L168">
        <v>1574.9</v>
      </c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</row>
    <row r="169" spans="1:23" x14ac:dyDescent="0.15">
      <c r="A169">
        <v>820</v>
      </c>
      <c r="B169">
        <v>1576.49</v>
      </c>
      <c r="C169">
        <v>1576.33</v>
      </c>
      <c r="D169">
        <v>1576.18</v>
      </c>
      <c r="E169">
        <v>1576.03</v>
      </c>
      <c r="F169">
        <v>1575.88</v>
      </c>
      <c r="G169">
        <v>1575.73</v>
      </c>
      <c r="H169">
        <v>1575.58</v>
      </c>
      <c r="I169">
        <v>1575.43</v>
      </c>
      <c r="J169">
        <v>1575.28</v>
      </c>
      <c r="K169">
        <v>1575.13</v>
      </c>
      <c r="L169">
        <v>1574.98</v>
      </c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</row>
    <row r="170" spans="1:23" x14ac:dyDescent="0.15">
      <c r="A170">
        <v>825</v>
      </c>
      <c r="B170">
        <v>1576.56</v>
      </c>
      <c r="C170">
        <v>1576.41</v>
      </c>
      <c r="D170">
        <v>1576.26</v>
      </c>
      <c r="E170">
        <v>1576.11</v>
      </c>
      <c r="F170">
        <v>1575.96</v>
      </c>
      <c r="G170">
        <v>1575.81</v>
      </c>
      <c r="H170">
        <v>1575.66</v>
      </c>
      <c r="I170">
        <v>1575.51</v>
      </c>
      <c r="J170">
        <v>1575.36</v>
      </c>
      <c r="K170">
        <v>1575.21</v>
      </c>
      <c r="L170">
        <v>1575.05</v>
      </c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</row>
    <row r="171" spans="1:23" x14ac:dyDescent="0.15">
      <c r="A171">
        <v>830</v>
      </c>
      <c r="B171">
        <v>1576.64</v>
      </c>
      <c r="C171">
        <v>1576.49</v>
      </c>
      <c r="D171">
        <v>1576.34</v>
      </c>
      <c r="E171">
        <v>1576.19</v>
      </c>
      <c r="F171">
        <v>1576.04</v>
      </c>
      <c r="G171">
        <v>1575.88</v>
      </c>
      <c r="H171">
        <v>1575.73</v>
      </c>
      <c r="I171">
        <v>1575.58</v>
      </c>
      <c r="J171">
        <v>1575.43</v>
      </c>
      <c r="K171">
        <v>1575.28</v>
      </c>
      <c r="L171">
        <v>1575.13</v>
      </c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</row>
    <row r="172" spans="1:23" x14ac:dyDescent="0.15">
      <c r="A172">
        <v>835</v>
      </c>
      <c r="B172">
        <v>1576.71</v>
      </c>
      <c r="C172">
        <v>1576.56</v>
      </c>
      <c r="D172">
        <v>1576.41</v>
      </c>
      <c r="E172">
        <v>1576.26</v>
      </c>
      <c r="F172">
        <v>1576.11</v>
      </c>
      <c r="G172">
        <v>1575.96</v>
      </c>
      <c r="H172">
        <v>1575.81</v>
      </c>
      <c r="I172">
        <v>1575.66</v>
      </c>
      <c r="J172">
        <v>1575.51</v>
      </c>
      <c r="K172">
        <v>1575.36</v>
      </c>
      <c r="L172">
        <v>1575.21</v>
      </c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</row>
    <row r="173" spans="1:23" x14ac:dyDescent="0.15">
      <c r="A173">
        <v>840</v>
      </c>
      <c r="B173">
        <v>1576.79</v>
      </c>
      <c r="C173">
        <v>1576.64</v>
      </c>
      <c r="D173">
        <v>1576.49</v>
      </c>
      <c r="E173">
        <v>1576.34</v>
      </c>
      <c r="F173">
        <v>1576.19</v>
      </c>
      <c r="G173">
        <v>1576.04</v>
      </c>
      <c r="H173">
        <v>1575.89</v>
      </c>
      <c r="I173">
        <v>1575.74</v>
      </c>
      <c r="J173">
        <v>1575.58</v>
      </c>
      <c r="K173">
        <v>1575.43</v>
      </c>
      <c r="L173">
        <v>1575.28</v>
      </c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</row>
    <row r="174" spans="1:23" x14ac:dyDescent="0.15">
      <c r="A174">
        <v>845</v>
      </c>
      <c r="B174">
        <v>1576.87</v>
      </c>
      <c r="C174">
        <v>1576.72</v>
      </c>
      <c r="D174">
        <v>1576.57</v>
      </c>
      <c r="E174">
        <v>1576.41</v>
      </c>
      <c r="F174">
        <v>1576.26</v>
      </c>
      <c r="G174">
        <v>1576.11</v>
      </c>
      <c r="H174">
        <v>1575.96</v>
      </c>
      <c r="I174">
        <v>1575.81</v>
      </c>
      <c r="J174">
        <v>1575.66</v>
      </c>
      <c r="K174">
        <v>1575.51</v>
      </c>
      <c r="L174">
        <v>1575.36</v>
      </c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</row>
    <row r="175" spans="1:23" x14ac:dyDescent="0.15">
      <c r="A175">
        <v>850</v>
      </c>
      <c r="B175">
        <v>1576.94</v>
      </c>
      <c r="C175">
        <v>1576.79</v>
      </c>
      <c r="D175">
        <v>1576.64</v>
      </c>
      <c r="E175">
        <v>1576.49</v>
      </c>
      <c r="F175">
        <v>1576.34</v>
      </c>
      <c r="G175">
        <v>1576.19</v>
      </c>
      <c r="H175">
        <v>1576.04</v>
      </c>
      <c r="I175">
        <v>1575.89</v>
      </c>
      <c r="J175">
        <v>1575.74</v>
      </c>
      <c r="K175">
        <v>1575.59</v>
      </c>
      <c r="L175">
        <v>1575.44</v>
      </c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</row>
    <row r="176" spans="1:23" x14ac:dyDescent="0.15">
      <c r="A176">
        <v>855</v>
      </c>
      <c r="B176">
        <v>1577.02</v>
      </c>
      <c r="C176">
        <v>1576.87</v>
      </c>
      <c r="D176">
        <v>1576.72</v>
      </c>
      <c r="E176">
        <v>1576.57</v>
      </c>
      <c r="F176">
        <v>1576.42</v>
      </c>
      <c r="G176">
        <v>1576.27</v>
      </c>
      <c r="H176">
        <v>1576.12</v>
      </c>
      <c r="I176">
        <v>1575.96</v>
      </c>
      <c r="J176">
        <v>1575.81</v>
      </c>
      <c r="K176">
        <v>1575.66</v>
      </c>
      <c r="L176">
        <v>1575.51</v>
      </c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</row>
    <row r="177" spans="1:23" x14ac:dyDescent="0.15">
      <c r="A177">
        <v>860</v>
      </c>
      <c r="B177">
        <v>1577.1</v>
      </c>
      <c r="C177">
        <v>1576.95</v>
      </c>
      <c r="D177">
        <v>1576.79</v>
      </c>
      <c r="E177">
        <v>1576.64</v>
      </c>
      <c r="F177">
        <v>1576.49</v>
      </c>
      <c r="G177">
        <v>1576.34</v>
      </c>
      <c r="H177">
        <v>1576.19</v>
      </c>
      <c r="I177">
        <v>1576.04</v>
      </c>
      <c r="J177">
        <v>1575.89</v>
      </c>
      <c r="K177">
        <v>1575.74</v>
      </c>
      <c r="L177">
        <v>1575.59</v>
      </c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</row>
    <row r="178" spans="1:23" x14ac:dyDescent="0.15">
      <c r="A178">
        <v>865</v>
      </c>
      <c r="B178">
        <v>1577.17</v>
      </c>
      <c r="C178">
        <v>1577.02</v>
      </c>
      <c r="D178">
        <v>1576.87</v>
      </c>
      <c r="E178">
        <v>1576.72</v>
      </c>
      <c r="F178">
        <v>1576.57</v>
      </c>
      <c r="G178">
        <v>1576.42</v>
      </c>
      <c r="H178">
        <v>1576.27</v>
      </c>
      <c r="I178">
        <v>1576.12</v>
      </c>
      <c r="J178">
        <v>1575.97</v>
      </c>
      <c r="K178">
        <v>1575.82</v>
      </c>
      <c r="L178">
        <v>1575.66</v>
      </c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</row>
    <row r="179" spans="1:23" x14ac:dyDescent="0.15">
      <c r="A179">
        <v>870</v>
      </c>
      <c r="B179">
        <v>1577.25</v>
      </c>
      <c r="C179">
        <v>1577.1</v>
      </c>
      <c r="D179">
        <v>1576.95</v>
      </c>
      <c r="E179">
        <v>1576.8</v>
      </c>
      <c r="F179">
        <v>1576.65</v>
      </c>
      <c r="G179">
        <v>1576.5</v>
      </c>
      <c r="H179">
        <v>1576.34</v>
      </c>
      <c r="I179">
        <v>1576.19</v>
      </c>
      <c r="J179">
        <v>1576.04</v>
      </c>
      <c r="K179">
        <v>1575.89</v>
      </c>
      <c r="L179">
        <v>1575.74</v>
      </c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</row>
    <row r="180" spans="1:23" x14ac:dyDescent="0.15">
      <c r="A180">
        <v>875</v>
      </c>
      <c r="B180">
        <v>1577.32</v>
      </c>
      <c r="C180">
        <v>1577.17</v>
      </c>
      <c r="D180">
        <v>1577.02</v>
      </c>
      <c r="E180">
        <v>1576.87</v>
      </c>
      <c r="F180">
        <v>1576.72</v>
      </c>
      <c r="G180">
        <v>1576.57</v>
      </c>
      <c r="H180">
        <v>1576.42</v>
      </c>
      <c r="I180">
        <v>1576.27</v>
      </c>
      <c r="J180">
        <v>1576.12</v>
      </c>
      <c r="K180">
        <v>1575.97</v>
      </c>
      <c r="L180">
        <v>1575.82</v>
      </c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</row>
    <row r="181" spans="1:23" x14ac:dyDescent="0.15">
      <c r="A181">
        <v>880</v>
      </c>
      <c r="B181">
        <v>1577.4</v>
      </c>
      <c r="C181">
        <v>1577.25</v>
      </c>
      <c r="D181">
        <v>1577.1</v>
      </c>
      <c r="E181">
        <v>1576.95</v>
      </c>
      <c r="F181">
        <v>1576.8</v>
      </c>
      <c r="G181">
        <v>1576.65</v>
      </c>
      <c r="H181">
        <v>1576.5</v>
      </c>
      <c r="I181">
        <v>1576.35</v>
      </c>
      <c r="J181">
        <v>1576.2</v>
      </c>
      <c r="K181">
        <v>1576.04</v>
      </c>
      <c r="L181">
        <v>1575.89</v>
      </c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</row>
    <row r="182" spans="1:23" x14ac:dyDescent="0.15">
      <c r="A182">
        <v>885</v>
      </c>
      <c r="B182">
        <v>1577.48</v>
      </c>
      <c r="C182">
        <v>1577.33</v>
      </c>
      <c r="D182">
        <v>1577.18</v>
      </c>
      <c r="E182">
        <v>1577.03</v>
      </c>
      <c r="F182">
        <v>1576.87</v>
      </c>
      <c r="G182">
        <v>1576.72</v>
      </c>
      <c r="H182">
        <v>1576.57</v>
      </c>
      <c r="I182">
        <v>1576.42</v>
      </c>
      <c r="J182">
        <v>1576.27</v>
      </c>
      <c r="K182">
        <v>1576.12</v>
      </c>
      <c r="L182">
        <v>1575.97</v>
      </c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</row>
    <row r="183" spans="1:23" x14ac:dyDescent="0.15">
      <c r="A183">
        <v>890</v>
      </c>
      <c r="B183">
        <v>1577.55</v>
      </c>
      <c r="C183">
        <v>1577.4</v>
      </c>
      <c r="D183">
        <v>1577.25</v>
      </c>
      <c r="E183">
        <v>1577.1</v>
      </c>
      <c r="F183">
        <v>1576.95</v>
      </c>
      <c r="G183">
        <v>1576.8</v>
      </c>
      <c r="H183">
        <v>1576.65</v>
      </c>
      <c r="I183">
        <v>1576.5</v>
      </c>
      <c r="J183">
        <v>1576.35</v>
      </c>
      <c r="K183">
        <v>1576.2</v>
      </c>
      <c r="L183">
        <v>1576.05</v>
      </c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</row>
    <row r="184" spans="1:23" x14ac:dyDescent="0.15">
      <c r="A184">
        <v>895</v>
      </c>
      <c r="B184">
        <v>1577.63</v>
      </c>
      <c r="C184">
        <v>1577.48</v>
      </c>
      <c r="D184">
        <v>1577.33</v>
      </c>
      <c r="E184">
        <v>1577.18</v>
      </c>
      <c r="F184">
        <v>1577.03</v>
      </c>
      <c r="G184">
        <v>1576.88</v>
      </c>
      <c r="H184">
        <v>1576.73</v>
      </c>
      <c r="I184">
        <v>1576.57</v>
      </c>
      <c r="J184">
        <v>1576.42</v>
      </c>
      <c r="K184">
        <v>1576.27</v>
      </c>
      <c r="L184">
        <v>1576.12</v>
      </c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</row>
    <row r="185" spans="1:23" x14ac:dyDescent="0.15">
      <c r="A185">
        <v>900</v>
      </c>
      <c r="B185">
        <v>1577.71</v>
      </c>
      <c r="C185">
        <v>1577.56</v>
      </c>
      <c r="D185">
        <v>1577.4</v>
      </c>
      <c r="E185">
        <v>1577.25</v>
      </c>
      <c r="F185">
        <v>1577.1</v>
      </c>
      <c r="G185">
        <v>1576.95</v>
      </c>
      <c r="H185">
        <v>1576.8</v>
      </c>
      <c r="I185">
        <v>1576.65</v>
      </c>
      <c r="J185">
        <v>1576.5</v>
      </c>
      <c r="K185">
        <v>1576.35</v>
      </c>
      <c r="L185">
        <v>1576.2</v>
      </c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</row>
    <row r="186" spans="1:23" x14ac:dyDescent="0.15">
      <c r="A186">
        <v>905</v>
      </c>
      <c r="B186">
        <v>1577.78</v>
      </c>
      <c r="C186">
        <v>1577.63</v>
      </c>
      <c r="D186">
        <v>1577.48</v>
      </c>
      <c r="E186">
        <v>1577.33</v>
      </c>
      <c r="F186">
        <v>1577.18</v>
      </c>
      <c r="G186">
        <v>1577.03</v>
      </c>
      <c r="H186">
        <v>1576.88</v>
      </c>
      <c r="I186">
        <v>1576.73</v>
      </c>
      <c r="J186">
        <v>1576.58</v>
      </c>
      <c r="K186">
        <v>1576.43</v>
      </c>
      <c r="L186">
        <v>1576.28</v>
      </c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</row>
    <row r="187" spans="1:23" x14ac:dyDescent="0.15">
      <c r="A187">
        <v>910</v>
      </c>
      <c r="B187">
        <v>1577.86</v>
      </c>
      <c r="C187">
        <v>1577.71</v>
      </c>
      <c r="D187">
        <v>1577.56</v>
      </c>
      <c r="E187">
        <v>1577.41</v>
      </c>
      <c r="F187">
        <v>1577.26</v>
      </c>
      <c r="G187">
        <v>1577.11</v>
      </c>
      <c r="H187">
        <v>1576.95</v>
      </c>
      <c r="I187">
        <v>1576.8</v>
      </c>
      <c r="J187">
        <v>1576.65</v>
      </c>
      <c r="K187">
        <v>1576.5</v>
      </c>
      <c r="L187">
        <v>1576.35</v>
      </c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</row>
    <row r="188" spans="1:23" x14ac:dyDescent="0.15">
      <c r="A188">
        <v>915</v>
      </c>
      <c r="B188">
        <v>1577.93</v>
      </c>
      <c r="C188">
        <v>1577.78</v>
      </c>
      <c r="D188">
        <v>1577.63</v>
      </c>
      <c r="E188">
        <v>1577.48</v>
      </c>
      <c r="F188">
        <v>1577.33</v>
      </c>
      <c r="G188">
        <v>1577.18</v>
      </c>
      <c r="H188">
        <v>1577.03</v>
      </c>
      <c r="I188">
        <v>1576.88</v>
      </c>
      <c r="J188">
        <v>1576.73</v>
      </c>
      <c r="K188">
        <v>1576.58</v>
      </c>
      <c r="L188">
        <v>1576.43</v>
      </c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</row>
    <row r="189" spans="1:23" x14ac:dyDescent="0.15">
      <c r="A189">
        <v>920</v>
      </c>
      <c r="B189">
        <v>1578.01</v>
      </c>
      <c r="C189">
        <v>1577.86</v>
      </c>
      <c r="D189">
        <v>1577.71</v>
      </c>
      <c r="E189">
        <v>1577.56</v>
      </c>
      <c r="F189">
        <v>1577.41</v>
      </c>
      <c r="G189">
        <v>1577.26</v>
      </c>
      <c r="H189">
        <v>1577.11</v>
      </c>
      <c r="I189">
        <v>1576.96</v>
      </c>
      <c r="J189">
        <v>1576.81</v>
      </c>
      <c r="K189">
        <v>1576.65</v>
      </c>
      <c r="L189">
        <v>1576.5</v>
      </c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</row>
    <row r="190" spans="1:23" x14ac:dyDescent="0.15">
      <c r="A190">
        <v>925</v>
      </c>
      <c r="B190">
        <v>1578.09</v>
      </c>
      <c r="C190">
        <v>1577.94</v>
      </c>
      <c r="D190">
        <v>1577.79</v>
      </c>
      <c r="E190">
        <v>1577.64</v>
      </c>
      <c r="F190">
        <v>1577.49</v>
      </c>
      <c r="G190">
        <v>1577.33</v>
      </c>
      <c r="H190">
        <v>1577.18</v>
      </c>
      <c r="I190">
        <v>1577.03</v>
      </c>
      <c r="J190">
        <v>1576.88</v>
      </c>
      <c r="K190">
        <v>1576.73</v>
      </c>
      <c r="L190">
        <v>1576.58</v>
      </c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</row>
    <row r="191" spans="1:23" x14ac:dyDescent="0.15">
      <c r="A191">
        <v>930</v>
      </c>
      <c r="B191">
        <v>1578.16</v>
      </c>
      <c r="C191">
        <v>1578.01</v>
      </c>
      <c r="D191">
        <v>1577.86</v>
      </c>
      <c r="E191">
        <v>1577.71</v>
      </c>
      <c r="F191">
        <v>1577.56</v>
      </c>
      <c r="G191">
        <v>1577.41</v>
      </c>
      <c r="H191">
        <v>1577.26</v>
      </c>
      <c r="I191">
        <v>1577.11</v>
      </c>
      <c r="J191">
        <v>1576.96</v>
      </c>
      <c r="K191">
        <v>1576.81</v>
      </c>
      <c r="L191">
        <v>1576.66</v>
      </c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</row>
    <row r="192" spans="1:23" x14ac:dyDescent="0.15">
      <c r="A192">
        <v>935</v>
      </c>
      <c r="B192">
        <v>1578.24</v>
      </c>
      <c r="C192">
        <v>1578.09</v>
      </c>
      <c r="D192">
        <v>1577.94</v>
      </c>
      <c r="E192">
        <v>1577.79</v>
      </c>
      <c r="F192">
        <v>1577.64</v>
      </c>
      <c r="G192">
        <v>1577.49</v>
      </c>
      <c r="H192">
        <v>1577.34</v>
      </c>
      <c r="I192">
        <v>1577.19</v>
      </c>
      <c r="J192">
        <v>1577.03</v>
      </c>
      <c r="K192">
        <v>1576.88</v>
      </c>
      <c r="L192">
        <v>1576.73</v>
      </c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</row>
    <row r="193" spans="1:23" x14ac:dyDescent="0.15">
      <c r="A193">
        <v>940</v>
      </c>
      <c r="B193">
        <v>1578.32</v>
      </c>
      <c r="C193">
        <v>1578.17</v>
      </c>
      <c r="D193">
        <v>1578.02</v>
      </c>
      <c r="E193">
        <v>1577.86</v>
      </c>
      <c r="F193">
        <v>1577.71</v>
      </c>
      <c r="G193">
        <v>1577.56</v>
      </c>
      <c r="H193">
        <v>1577.41</v>
      </c>
      <c r="I193">
        <v>1577.26</v>
      </c>
      <c r="J193">
        <v>1577.11</v>
      </c>
      <c r="K193">
        <v>1576.96</v>
      </c>
      <c r="L193">
        <v>1576.81</v>
      </c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</row>
    <row r="194" spans="1:23" x14ac:dyDescent="0.15">
      <c r="A194">
        <v>945</v>
      </c>
      <c r="B194">
        <v>1578.39</v>
      </c>
      <c r="C194">
        <v>1578.24</v>
      </c>
      <c r="D194">
        <v>1578.09</v>
      </c>
      <c r="E194">
        <v>1577.94</v>
      </c>
      <c r="F194">
        <v>1577.79</v>
      </c>
      <c r="G194">
        <v>1577.64</v>
      </c>
      <c r="H194">
        <v>1577.49</v>
      </c>
      <c r="I194">
        <v>1577.34</v>
      </c>
      <c r="J194">
        <v>1577.19</v>
      </c>
      <c r="K194">
        <v>1577.04</v>
      </c>
      <c r="L194">
        <v>1576.89</v>
      </c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</row>
    <row r="195" spans="1:23" x14ac:dyDescent="0.15">
      <c r="A195">
        <v>950</v>
      </c>
      <c r="B195">
        <v>1578.47</v>
      </c>
      <c r="C195">
        <v>1578.32</v>
      </c>
      <c r="D195">
        <v>1578.17</v>
      </c>
      <c r="E195">
        <v>1578.02</v>
      </c>
      <c r="F195">
        <v>1577.87</v>
      </c>
      <c r="G195">
        <v>1577.72</v>
      </c>
      <c r="H195">
        <v>1577.57</v>
      </c>
      <c r="I195">
        <v>1577.41</v>
      </c>
      <c r="J195">
        <v>1577.26</v>
      </c>
      <c r="K195">
        <v>1577.11</v>
      </c>
      <c r="L195">
        <v>1576.96</v>
      </c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</row>
    <row r="196" spans="1:23" x14ac:dyDescent="0.15">
      <c r="A196">
        <v>955</v>
      </c>
      <c r="B196">
        <v>1578.55</v>
      </c>
      <c r="C196">
        <v>1578.39</v>
      </c>
      <c r="D196">
        <v>1578.24</v>
      </c>
      <c r="E196">
        <v>1578.09</v>
      </c>
      <c r="F196">
        <v>1577.94</v>
      </c>
      <c r="G196">
        <v>1577.79</v>
      </c>
      <c r="H196">
        <v>1577.64</v>
      </c>
      <c r="I196">
        <v>1577.49</v>
      </c>
      <c r="J196">
        <v>1577.34</v>
      </c>
      <c r="K196">
        <v>1577.19</v>
      </c>
      <c r="L196">
        <v>1577.04</v>
      </c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</row>
    <row r="197" spans="1:23" x14ac:dyDescent="0.15">
      <c r="A197">
        <v>960</v>
      </c>
      <c r="B197">
        <v>1578.62</v>
      </c>
      <c r="C197">
        <v>1578.47</v>
      </c>
      <c r="D197">
        <v>1578.32</v>
      </c>
      <c r="E197">
        <v>1578.17</v>
      </c>
      <c r="F197">
        <v>1578.02</v>
      </c>
      <c r="G197">
        <v>1577.87</v>
      </c>
      <c r="H197">
        <v>1577.72</v>
      </c>
      <c r="I197">
        <v>1577.57</v>
      </c>
      <c r="J197">
        <v>1577.42</v>
      </c>
      <c r="K197">
        <v>1577.27</v>
      </c>
      <c r="L197">
        <v>1577.11</v>
      </c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</row>
    <row r="198" spans="1:23" x14ac:dyDescent="0.15">
      <c r="A198">
        <v>965</v>
      </c>
      <c r="B198">
        <v>1578.7</v>
      </c>
      <c r="C198">
        <v>1578.55</v>
      </c>
      <c r="D198">
        <v>1578.4</v>
      </c>
      <c r="E198">
        <v>1578.25</v>
      </c>
      <c r="F198">
        <v>1578.1</v>
      </c>
      <c r="G198">
        <v>1577.94</v>
      </c>
      <c r="H198">
        <v>1577.79</v>
      </c>
      <c r="I198">
        <v>1577.64</v>
      </c>
      <c r="J198">
        <v>1577.49</v>
      </c>
      <c r="K198">
        <v>1577.34</v>
      </c>
      <c r="L198">
        <v>1577.19</v>
      </c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</row>
    <row r="199" spans="1:23" x14ac:dyDescent="0.15">
      <c r="A199">
        <v>970</v>
      </c>
      <c r="B199">
        <v>1578.77</v>
      </c>
      <c r="C199">
        <v>1578.62</v>
      </c>
      <c r="D199">
        <v>1578.47</v>
      </c>
      <c r="E199">
        <v>1578.32</v>
      </c>
      <c r="F199">
        <v>1578.17</v>
      </c>
      <c r="G199">
        <v>1578.02</v>
      </c>
      <c r="H199">
        <v>1577.87</v>
      </c>
      <c r="I199">
        <v>1577.72</v>
      </c>
      <c r="J199">
        <v>1577.57</v>
      </c>
      <c r="K199">
        <v>1577.42</v>
      </c>
      <c r="L199">
        <v>1577.27</v>
      </c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</row>
    <row r="200" spans="1:23" x14ac:dyDescent="0.15">
      <c r="A200">
        <v>975</v>
      </c>
      <c r="B200">
        <v>1578.85</v>
      </c>
      <c r="C200">
        <v>1578.7</v>
      </c>
      <c r="D200">
        <v>1578.55</v>
      </c>
      <c r="E200">
        <v>1578.4</v>
      </c>
      <c r="F200">
        <v>1578.25</v>
      </c>
      <c r="G200">
        <v>1578.1</v>
      </c>
      <c r="H200">
        <v>1577.95</v>
      </c>
      <c r="I200">
        <v>1577.8</v>
      </c>
      <c r="J200">
        <v>1577.64</v>
      </c>
      <c r="K200">
        <v>1577.49</v>
      </c>
      <c r="L200">
        <v>1577.34</v>
      </c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</row>
    <row r="201" spans="1:23" x14ac:dyDescent="0.15">
      <c r="A201">
        <v>980</v>
      </c>
      <c r="B201">
        <v>1578.93</v>
      </c>
      <c r="C201">
        <v>1578.78</v>
      </c>
      <c r="D201">
        <v>1578.63</v>
      </c>
      <c r="E201">
        <v>1578.47</v>
      </c>
      <c r="F201">
        <v>1578.32</v>
      </c>
      <c r="G201">
        <v>1578.17</v>
      </c>
      <c r="H201">
        <v>1578.02</v>
      </c>
      <c r="I201">
        <v>1577.87</v>
      </c>
      <c r="J201">
        <v>1577.72</v>
      </c>
      <c r="K201">
        <v>1577.57</v>
      </c>
      <c r="L201">
        <v>1577.42</v>
      </c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</row>
    <row r="202" spans="1:23" x14ac:dyDescent="0.15">
      <c r="A202">
        <v>985</v>
      </c>
      <c r="B202">
        <v>1579</v>
      </c>
      <c r="C202">
        <v>1578.85</v>
      </c>
      <c r="D202">
        <v>1578.7</v>
      </c>
      <c r="E202">
        <v>1578.55</v>
      </c>
      <c r="F202">
        <v>1578.4</v>
      </c>
      <c r="G202">
        <v>1578.25</v>
      </c>
      <c r="H202">
        <v>1578.1</v>
      </c>
      <c r="I202">
        <v>1577.95</v>
      </c>
      <c r="J202">
        <v>1577.8</v>
      </c>
      <c r="K202">
        <v>1577.65</v>
      </c>
      <c r="L202">
        <v>1577.5</v>
      </c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</row>
    <row r="203" spans="1:23" x14ac:dyDescent="0.15">
      <c r="A203">
        <v>990</v>
      </c>
      <c r="B203">
        <v>1579.08</v>
      </c>
      <c r="C203">
        <v>1578.93</v>
      </c>
      <c r="D203">
        <v>1578.78</v>
      </c>
      <c r="E203">
        <v>1578.63</v>
      </c>
      <c r="F203">
        <v>1578.48</v>
      </c>
      <c r="G203">
        <v>1578.33</v>
      </c>
      <c r="H203">
        <v>1578.18</v>
      </c>
      <c r="I203">
        <v>1578.02</v>
      </c>
      <c r="J203">
        <v>1577.87</v>
      </c>
      <c r="K203">
        <v>1577.72</v>
      </c>
      <c r="L203">
        <v>1577.57</v>
      </c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</row>
    <row r="204" spans="1:23" x14ac:dyDescent="0.15">
      <c r="A204">
        <v>995</v>
      </c>
      <c r="B204">
        <v>1579.16</v>
      </c>
      <c r="C204">
        <v>1579</v>
      </c>
      <c r="D204">
        <v>1578.85</v>
      </c>
      <c r="E204">
        <v>1578.7</v>
      </c>
      <c r="F204">
        <v>1578.55</v>
      </c>
      <c r="G204">
        <v>1578.4</v>
      </c>
      <c r="H204">
        <v>1578.25</v>
      </c>
      <c r="I204">
        <v>1578.1</v>
      </c>
      <c r="J204">
        <v>1577.95</v>
      </c>
      <c r="K204">
        <v>1577.8</v>
      </c>
      <c r="L204">
        <v>1577.65</v>
      </c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</row>
    <row r="205" spans="1:23" x14ac:dyDescent="0.15">
      <c r="A205">
        <v>1000</v>
      </c>
      <c r="B205">
        <v>1579.23</v>
      </c>
      <c r="C205">
        <v>1579.08</v>
      </c>
      <c r="D205">
        <v>1578.93</v>
      </c>
      <c r="E205">
        <v>1578.78</v>
      </c>
      <c r="F205">
        <v>1578.63</v>
      </c>
      <c r="G205">
        <v>1578.48</v>
      </c>
      <c r="H205">
        <v>1578.33</v>
      </c>
      <c r="I205">
        <v>1578.18</v>
      </c>
      <c r="J205">
        <v>1578.03</v>
      </c>
      <c r="K205">
        <v>1577.88</v>
      </c>
      <c r="L205">
        <v>1577.72</v>
      </c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</row>
    <row r="206" spans="1:23" x14ac:dyDescent="0.15">
      <c r="A206">
        <v>1005</v>
      </c>
      <c r="B206">
        <v>1579.31</v>
      </c>
      <c r="C206">
        <v>1579.16</v>
      </c>
      <c r="D206">
        <v>1579.01</v>
      </c>
      <c r="E206">
        <v>1578.86</v>
      </c>
      <c r="F206">
        <v>1578.71</v>
      </c>
      <c r="G206">
        <v>1578.56</v>
      </c>
      <c r="H206">
        <v>1578.4</v>
      </c>
      <c r="I206">
        <v>1578.25</v>
      </c>
      <c r="J206">
        <v>1578.1</v>
      </c>
      <c r="K206">
        <v>1577.95</v>
      </c>
      <c r="L206">
        <v>1577.8</v>
      </c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</row>
    <row r="207" spans="1:23" x14ac:dyDescent="0.15">
      <c r="A207">
        <v>1010</v>
      </c>
      <c r="B207">
        <v>1579.38</v>
      </c>
      <c r="C207">
        <v>1579.23</v>
      </c>
      <c r="D207">
        <v>1579.08</v>
      </c>
      <c r="E207">
        <v>1578.93</v>
      </c>
      <c r="F207">
        <v>1578.78</v>
      </c>
      <c r="G207">
        <v>1578.63</v>
      </c>
      <c r="H207">
        <v>1578.48</v>
      </c>
      <c r="I207">
        <v>1578.33</v>
      </c>
      <c r="J207">
        <v>1578.18</v>
      </c>
      <c r="K207">
        <v>1578.03</v>
      </c>
      <c r="L207">
        <v>1577.88</v>
      </c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</row>
    <row r="208" spans="1:23" x14ac:dyDescent="0.15">
      <c r="A208">
        <v>1015</v>
      </c>
      <c r="B208">
        <v>1579.46</v>
      </c>
      <c r="C208">
        <v>1579.31</v>
      </c>
      <c r="D208">
        <v>1579.16</v>
      </c>
      <c r="E208">
        <v>1579.01</v>
      </c>
      <c r="F208">
        <v>1578.86</v>
      </c>
      <c r="G208">
        <v>1578.71</v>
      </c>
      <c r="H208">
        <v>1578.56</v>
      </c>
      <c r="I208">
        <v>1578.41</v>
      </c>
      <c r="J208">
        <v>1578.26</v>
      </c>
      <c r="K208">
        <v>1578.1</v>
      </c>
      <c r="L208">
        <v>1577.95</v>
      </c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</row>
    <row r="209" spans="1:23" x14ac:dyDescent="0.15">
      <c r="A209">
        <v>1020</v>
      </c>
      <c r="B209">
        <v>1579.54</v>
      </c>
      <c r="C209">
        <v>1579.39</v>
      </c>
      <c r="D209">
        <v>1579.24</v>
      </c>
      <c r="E209">
        <v>1579.09</v>
      </c>
      <c r="F209">
        <v>1578.93</v>
      </c>
      <c r="G209">
        <v>1578.78</v>
      </c>
      <c r="H209">
        <v>1578.63</v>
      </c>
      <c r="I209">
        <v>1578.48</v>
      </c>
      <c r="J209">
        <v>1578.33</v>
      </c>
      <c r="K209">
        <v>1578.18</v>
      </c>
      <c r="L209">
        <v>1578.03</v>
      </c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</row>
    <row r="210" spans="1:23" x14ac:dyDescent="0.15">
      <c r="A210">
        <v>1025</v>
      </c>
      <c r="B210">
        <v>1579.61</v>
      </c>
      <c r="C210">
        <v>1579.46</v>
      </c>
      <c r="D210">
        <v>1579.31</v>
      </c>
      <c r="E210">
        <v>1579.16</v>
      </c>
      <c r="F210">
        <v>1579.01</v>
      </c>
      <c r="G210">
        <v>1578.86</v>
      </c>
      <c r="H210">
        <v>1578.71</v>
      </c>
      <c r="I210">
        <v>1578.56</v>
      </c>
      <c r="J210">
        <v>1578.41</v>
      </c>
      <c r="K210">
        <v>1578.26</v>
      </c>
      <c r="L210">
        <v>1578.11</v>
      </c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</row>
    <row r="211" spans="1:23" x14ac:dyDescent="0.15">
      <c r="A211">
        <v>1030</v>
      </c>
      <c r="B211">
        <v>1579.69</v>
      </c>
      <c r="C211">
        <v>1579.54</v>
      </c>
      <c r="D211">
        <v>1579.39</v>
      </c>
      <c r="E211">
        <v>1579.24</v>
      </c>
      <c r="F211">
        <v>1579.09</v>
      </c>
      <c r="G211">
        <v>1578.94</v>
      </c>
      <c r="H211">
        <v>1578.79</v>
      </c>
      <c r="I211">
        <v>1578.63</v>
      </c>
      <c r="J211">
        <v>1578.48</v>
      </c>
      <c r="K211">
        <v>1578.33</v>
      </c>
      <c r="L211">
        <v>1578.18</v>
      </c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</row>
    <row r="212" spans="1:23" x14ac:dyDescent="0.15">
      <c r="A212">
        <v>1035</v>
      </c>
      <c r="B212">
        <v>1579.77</v>
      </c>
      <c r="C212">
        <v>1579.62</v>
      </c>
      <c r="D212">
        <v>1579.46</v>
      </c>
      <c r="E212">
        <v>1579.31</v>
      </c>
      <c r="F212">
        <v>1579.16</v>
      </c>
      <c r="G212">
        <v>1579.01</v>
      </c>
      <c r="H212">
        <v>1578.86</v>
      </c>
      <c r="I212">
        <v>1578.71</v>
      </c>
      <c r="J212">
        <v>1578.56</v>
      </c>
      <c r="K212">
        <v>1578.41</v>
      </c>
      <c r="L212">
        <v>1578.26</v>
      </c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</row>
    <row r="213" spans="1:23" x14ac:dyDescent="0.15">
      <c r="A213">
        <v>1040</v>
      </c>
      <c r="B213">
        <v>1579.84</v>
      </c>
      <c r="C213">
        <v>1579.69</v>
      </c>
      <c r="D213">
        <v>1579.54</v>
      </c>
      <c r="E213">
        <v>1579.39</v>
      </c>
      <c r="F213">
        <v>1579.24</v>
      </c>
      <c r="G213">
        <v>1579.09</v>
      </c>
      <c r="H213">
        <v>1578.94</v>
      </c>
      <c r="I213">
        <v>1578.79</v>
      </c>
      <c r="J213">
        <v>1578.64</v>
      </c>
      <c r="K213">
        <v>1578.49</v>
      </c>
      <c r="L213">
        <v>1578.34</v>
      </c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</row>
    <row r="214" spans="1:23" x14ac:dyDescent="0.15">
      <c r="A214">
        <v>1045</v>
      </c>
      <c r="B214">
        <v>1579.92</v>
      </c>
      <c r="C214">
        <v>1579.77</v>
      </c>
      <c r="D214">
        <v>1579.62</v>
      </c>
      <c r="E214">
        <v>1579.47</v>
      </c>
      <c r="F214">
        <v>1579.32</v>
      </c>
      <c r="G214">
        <v>1579.17</v>
      </c>
      <c r="H214">
        <v>1579.01</v>
      </c>
      <c r="I214">
        <v>1578.86</v>
      </c>
      <c r="J214">
        <v>1578.71</v>
      </c>
      <c r="K214">
        <v>1578.56</v>
      </c>
      <c r="L214">
        <v>1578.41</v>
      </c>
    </row>
    <row r="215" spans="1:23" x14ac:dyDescent="0.15">
      <c r="A215">
        <v>1050</v>
      </c>
      <c r="B215">
        <v>1579.99</v>
      </c>
      <c r="C215">
        <v>1579.84</v>
      </c>
      <c r="D215">
        <v>1579.69</v>
      </c>
      <c r="E215">
        <v>1579.54</v>
      </c>
      <c r="F215">
        <v>1579.39</v>
      </c>
      <c r="G215">
        <v>1579.24</v>
      </c>
      <c r="H215">
        <v>1579.09</v>
      </c>
      <c r="I215">
        <v>1578.94</v>
      </c>
      <c r="J215">
        <v>1578.79</v>
      </c>
      <c r="K215">
        <v>1578.64</v>
      </c>
      <c r="L215">
        <v>1578.49</v>
      </c>
    </row>
    <row r="216" spans="1:23" x14ac:dyDescent="0.15">
      <c r="A216">
        <v>1055</v>
      </c>
      <c r="B216">
        <v>1580.07</v>
      </c>
      <c r="C216">
        <v>1579.92</v>
      </c>
      <c r="D216">
        <v>1579.77</v>
      </c>
      <c r="E216">
        <v>1579.62</v>
      </c>
      <c r="F216">
        <v>1579.47</v>
      </c>
      <c r="G216">
        <v>1579.32</v>
      </c>
      <c r="H216">
        <v>1579.17</v>
      </c>
      <c r="I216">
        <v>1579.02</v>
      </c>
      <c r="J216">
        <v>1578.87</v>
      </c>
      <c r="K216">
        <v>1578.71</v>
      </c>
      <c r="L216">
        <v>1578.56</v>
      </c>
    </row>
    <row r="217" spans="1:23" x14ac:dyDescent="0.15">
      <c r="A217">
        <v>1060</v>
      </c>
      <c r="B217">
        <v>1580.15</v>
      </c>
      <c r="C217">
        <v>1580</v>
      </c>
      <c r="D217">
        <v>1579.85</v>
      </c>
      <c r="E217">
        <v>1579.7</v>
      </c>
      <c r="F217">
        <v>1579.54</v>
      </c>
      <c r="G217">
        <v>1579.39</v>
      </c>
      <c r="H217">
        <v>1579.24</v>
      </c>
      <c r="I217">
        <v>1579.09</v>
      </c>
      <c r="J217">
        <v>1578.94</v>
      </c>
      <c r="K217">
        <v>1578.79</v>
      </c>
      <c r="L217">
        <v>1578.64</v>
      </c>
    </row>
    <row r="218" spans="1:23" x14ac:dyDescent="0.15">
      <c r="A218">
        <v>1065</v>
      </c>
      <c r="B218">
        <v>1580.22</v>
      </c>
      <c r="C218">
        <v>1580.07</v>
      </c>
      <c r="D218">
        <v>1579.92</v>
      </c>
      <c r="E218">
        <v>1579.77</v>
      </c>
      <c r="F218">
        <v>1579.62</v>
      </c>
      <c r="G218">
        <v>1579.47</v>
      </c>
      <c r="H218">
        <v>1579.32</v>
      </c>
      <c r="I218">
        <v>1579.17</v>
      </c>
      <c r="J218">
        <v>1579.02</v>
      </c>
      <c r="K218">
        <v>1578.87</v>
      </c>
      <c r="L218">
        <v>1578.72</v>
      </c>
    </row>
    <row r="219" spans="1:23" x14ac:dyDescent="0.15">
      <c r="A219">
        <v>1070</v>
      </c>
      <c r="B219">
        <v>1580.3</v>
      </c>
      <c r="C219">
        <v>1580.15</v>
      </c>
      <c r="D219">
        <v>1580</v>
      </c>
      <c r="E219">
        <v>1579.85</v>
      </c>
      <c r="F219">
        <v>1579.7</v>
      </c>
      <c r="G219">
        <v>1579.55</v>
      </c>
      <c r="H219">
        <v>1579.4</v>
      </c>
      <c r="I219">
        <v>1579.24</v>
      </c>
      <c r="J219">
        <v>1579.09</v>
      </c>
      <c r="K219">
        <v>1578.94</v>
      </c>
      <c r="L219">
        <v>1578.79</v>
      </c>
    </row>
    <row r="220" spans="1:23" x14ac:dyDescent="0.15">
      <c r="A220">
        <v>1075</v>
      </c>
      <c r="B220">
        <v>1580.38</v>
      </c>
      <c r="C220">
        <v>1580.23</v>
      </c>
      <c r="D220">
        <v>1580.07</v>
      </c>
      <c r="E220">
        <v>1579.92</v>
      </c>
      <c r="F220">
        <v>1579.77</v>
      </c>
      <c r="G220">
        <v>1579.62</v>
      </c>
      <c r="H220">
        <v>1579.47</v>
      </c>
      <c r="I220">
        <v>1579.32</v>
      </c>
      <c r="J220">
        <v>1579.17</v>
      </c>
      <c r="K220">
        <v>1579.02</v>
      </c>
      <c r="L220">
        <v>1578.87</v>
      </c>
    </row>
    <row r="221" spans="1:23" x14ac:dyDescent="0.15">
      <c r="A221">
        <v>1080</v>
      </c>
      <c r="B221">
        <v>1580.45</v>
      </c>
      <c r="C221">
        <v>1580.3</v>
      </c>
      <c r="D221">
        <v>1580.15</v>
      </c>
      <c r="E221">
        <v>1580</v>
      </c>
      <c r="F221">
        <v>1579.85</v>
      </c>
      <c r="G221">
        <v>1579.7</v>
      </c>
      <c r="H221">
        <v>1579.55</v>
      </c>
      <c r="I221">
        <v>1579.4</v>
      </c>
      <c r="J221">
        <v>1579.25</v>
      </c>
      <c r="K221">
        <v>1579.1</v>
      </c>
      <c r="L221">
        <v>1578.95</v>
      </c>
    </row>
    <row r="222" spans="1:23" x14ac:dyDescent="0.15">
      <c r="A222">
        <v>1085</v>
      </c>
      <c r="B222">
        <v>1580.53</v>
      </c>
      <c r="C222">
        <v>1580.38</v>
      </c>
      <c r="D222">
        <v>1580.23</v>
      </c>
      <c r="E222">
        <v>1580.08</v>
      </c>
      <c r="F222">
        <v>1579.93</v>
      </c>
      <c r="G222">
        <v>1579.78</v>
      </c>
      <c r="H222">
        <v>1579.63</v>
      </c>
      <c r="I222">
        <v>1579.47</v>
      </c>
      <c r="J222">
        <v>1579.32</v>
      </c>
      <c r="K222">
        <v>1579.17</v>
      </c>
      <c r="L222">
        <v>1579.02</v>
      </c>
    </row>
    <row r="223" spans="1:23" x14ac:dyDescent="0.15">
      <c r="A223">
        <v>1090</v>
      </c>
      <c r="B223">
        <v>1580.61</v>
      </c>
      <c r="C223">
        <v>1580.45</v>
      </c>
      <c r="D223">
        <v>1580.3</v>
      </c>
      <c r="E223">
        <v>1580.15</v>
      </c>
      <c r="F223">
        <v>1580</v>
      </c>
      <c r="G223">
        <v>1579.85</v>
      </c>
      <c r="H223">
        <v>1579.7</v>
      </c>
      <c r="I223">
        <v>1579.55</v>
      </c>
      <c r="J223">
        <v>1579.4</v>
      </c>
      <c r="K223">
        <v>1579.25</v>
      </c>
      <c r="L223">
        <v>1579.1</v>
      </c>
    </row>
    <row r="224" spans="1:23" x14ac:dyDescent="0.15">
      <c r="A224">
        <v>1095</v>
      </c>
      <c r="B224">
        <v>1580.68</v>
      </c>
      <c r="C224">
        <v>1580.53</v>
      </c>
      <c r="D224">
        <v>1580.38</v>
      </c>
      <c r="E224">
        <v>1580.23</v>
      </c>
      <c r="F224">
        <v>1580.08</v>
      </c>
      <c r="G224">
        <v>1579.93</v>
      </c>
      <c r="H224">
        <v>1579.78</v>
      </c>
      <c r="I224">
        <v>1579.63</v>
      </c>
      <c r="J224">
        <v>1579.48</v>
      </c>
      <c r="K224">
        <v>1579.33</v>
      </c>
      <c r="L224">
        <v>1579.17</v>
      </c>
    </row>
    <row r="225" spans="1:12" x14ac:dyDescent="0.15">
      <c r="A225">
        <v>1100</v>
      </c>
      <c r="B225">
        <v>1580.76</v>
      </c>
      <c r="C225">
        <v>1580.61</v>
      </c>
      <c r="D225">
        <v>1580.46</v>
      </c>
      <c r="E225">
        <v>1580.31</v>
      </c>
      <c r="F225">
        <v>1580.16</v>
      </c>
      <c r="G225">
        <v>1580</v>
      </c>
      <c r="H225">
        <v>1579.85</v>
      </c>
      <c r="I225">
        <v>1579.7</v>
      </c>
      <c r="J225">
        <v>1579.55</v>
      </c>
      <c r="K225">
        <v>1579.4</v>
      </c>
      <c r="L225">
        <v>1579.25</v>
      </c>
    </row>
    <row r="226" spans="1:12" x14ac:dyDescent="0.15">
      <c r="A226">
        <v>1105</v>
      </c>
      <c r="B226">
        <v>1580.83</v>
      </c>
      <c r="C226">
        <v>1580.68</v>
      </c>
      <c r="D226">
        <v>1580.53</v>
      </c>
      <c r="E226">
        <v>1580.38</v>
      </c>
      <c r="F226">
        <v>1580.23</v>
      </c>
      <c r="G226">
        <v>1580.08</v>
      </c>
      <c r="H226">
        <v>1579.93</v>
      </c>
      <c r="I226">
        <v>1579.78</v>
      </c>
      <c r="J226">
        <v>1579.63</v>
      </c>
      <c r="K226">
        <v>1579.48</v>
      </c>
      <c r="L226">
        <v>1579.33</v>
      </c>
    </row>
    <row r="227" spans="1:12" x14ac:dyDescent="0.15">
      <c r="A227">
        <v>1110</v>
      </c>
      <c r="B227">
        <v>1580.91</v>
      </c>
      <c r="C227">
        <v>1580.76</v>
      </c>
      <c r="D227">
        <v>1580.61</v>
      </c>
      <c r="E227">
        <v>1580.46</v>
      </c>
      <c r="F227">
        <v>1580.31</v>
      </c>
      <c r="G227">
        <v>1580.16</v>
      </c>
      <c r="H227">
        <v>1580.01</v>
      </c>
      <c r="I227">
        <v>1579.86</v>
      </c>
      <c r="J227">
        <v>1579.7</v>
      </c>
      <c r="K227">
        <v>1579.55</v>
      </c>
      <c r="L227">
        <v>1579.4</v>
      </c>
    </row>
    <row r="228" spans="1:12" x14ac:dyDescent="0.15">
      <c r="A228">
        <v>1115</v>
      </c>
      <c r="B228">
        <v>1580.99</v>
      </c>
      <c r="C228">
        <v>1580.84</v>
      </c>
      <c r="D228">
        <v>1580.69</v>
      </c>
      <c r="E228">
        <v>1580.53</v>
      </c>
      <c r="F228">
        <v>1580.38</v>
      </c>
      <c r="G228">
        <v>1580.23</v>
      </c>
      <c r="H228">
        <v>1580.08</v>
      </c>
      <c r="I228">
        <v>1579.93</v>
      </c>
      <c r="J228">
        <v>1579.78</v>
      </c>
      <c r="K228">
        <v>1579.63</v>
      </c>
      <c r="L228">
        <v>1579.48</v>
      </c>
    </row>
    <row r="229" spans="1:12" x14ac:dyDescent="0.15">
      <c r="A229">
        <v>1120</v>
      </c>
      <c r="B229">
        <v>1581.06</v>
      </c>
      <c r="C229">
        <v>1580.91</v>
      </c>
      <c r="D229">
        <v>1580.76</v>
      </c>
      <c r="E229">
        <v>1580.61</v>
      </c>
      <c r="F229">
        <v>1580.46</v>
      </c>
      <c r="G229">
        <v>1580.31</v>
      </c>
      <c r="H229">
        <v>1580.16</v>
      </c>
      <c r="I229">
        <v>1580.01</v>
      </c>
      <c r="J229">
        <v>1579.86</v>
      </c>
      <c r="K229">
        <v>1579.71</v>
      </c>
      <c r="L229">
        <v>1579.56</v>
      </c>
    </row>
    <row r="230" spans="1:12" x14ac:dyDescent="0.15">
      <c r="A230">
        <v>1125</v>
      </c>
      <c r="B230">
        <v>1581.14</v>
      </c>
      <c r="C230">
        <v>1580.99</v>
      </c>
      <c r="D230">
        <v>1580.84</v>
      </c>
      <c r="E230">
        <v>1580.69</v>
      </c>
      <c r="F230">
        <v>1580.54</v>
      </c>
      <c r="G230">
        <v>1580.39</v>
      </c>
      <c r="H230">
        <v>1580.24</v>
      </c>
      <c r="I230">
        <v>1580.08</v>
      </c>
      <c r="J230">
        <v>1579.93</v>
      </c>
      <c r="K230">
        <v>1579.78</v>
      </c>
      <c r="L230">
        <v>1579.63</v>
      </c>
    </row>
    <row r="231" spans="1:12" x14ac:dyDescent="0.15">
      <c r="A231">
        <v>1130</v>
      </c>
      <c r="B231">
        <v>1581.22</v>
      </c>
      <c r="C231">
        <v>1581.06</v>
      </c>
      <c r="D231">
        <v>1580.91</v>
      </c>
      <c r="E231">
        <v>1580.76</v>
      </c>
      <c r="F231">
        <v>1580.61</v>
      </c>
      <c r="G231">
        <v>1580.46</v>
      </c>
      <c r="H231">
        <v>1580.31</v>
      </c>
      <c r="I231">
        <v>1580.16</v>
      </c>
      <c r="J231">
        <v>1580.01</v>
      </c>
      <c r="K231">
        <v>1579.86</v>
      </c>
      <c r="L231">
        <v>1579.71</v>
      </c>
    </row>
    <row r="232" spans="1:12" x14ac:dyDescent="0.15">
      <c r="A232">
        <v>1135</v>
      </c>
      <c r="B232">
        <v>1581.29</v>
      </c>
      <c r="C232">
        <v>1581.14</v>
      </c>
      <c r="D232">
        <v>1580.99</v>
      </c>
      <c r="E232">
        <v>1580.84</v>
      </c>
      <c r="F232">
        <v>1580.69</v>
      </c>
      <c r="G232">
        <v>1580.54</v>
      </c>
      <c r="H232">
        <v>1580.39</v>
      </c>
      <c r="I232">
        <v>1580.24</v>
      </c>
      <c r="J232">
        <v>1580.09</v>
      </c>
      <c r="K232">
        <v>1579.94</v>
      </c>
      <c r="L232">
        <v>1579.78</v>
      </c>
    </row>
    <row r="233" spans="1:12" x14ac:dyDescent="0.15">
      <c r="A233">
        <v>1140</v>
      </c>
      <c r="B233">
        <v>1581.37</v>
      </c>
      <c r="C233">
        <v>1581.22</v>
      </c>
      <c r="D233">
        <v>1581.07</v>
      </c>
      <c r="E233">
        <v>1580.92</v>
      </c>
      <c r="F233">
        <v>1580.77</v>
      </c>
      <c r="G233">
        <v>1580.61</v>
      </c>
      <c r="H233">
        <v>1580.46</v>
      </c>
      <c r="I233">
        <v>1580.31</v>
      </c>
      <c r="J233">
        <v>1580.16</v>
      </c>
      <c r="K233">
        <v>1580.01</v>
      </c>
      <c r="L233">
        <v>1579.86</v>
      </c>
    </row>
    <row r="234" spans="1:12" x14ac:dyDescent="0.15">
      <c r="A234">
        <v>1145</v>
      </c>
      <c r="B234">
        <v>1581.44</v>
      </c>
      <c r="C234">
        <v>1581.29</v>
      </c>
      <c r="D234">
        <v>1581.14</v>
      </c>
      <c r="E234">
        <v>1580.99</v>
      </c>
      <c r="F234">
        <v>1580.84</v>
      </c>
      <c r="G234">
        <v>1580.69</v>
      </c>
      <c r="H234">
        <v>1580.54</v>
      </c>
      <c r="I234">
        <v>1580.39</v>
      </c>
      <c r="J234">
        <v>1580.24</v>
      </c>
      <c r="K234">
        <v>1580.09</v>
      </c>
      <c r="L234">
        <v>1579.94</v>
      </c>
    </row>
    <row r="235" spans="1:12" x14ac:dyDescent="0.15">
      <c r="A235">
        <v>1150</v>
      </c>
      <c r="B235">
        <v>1581.52</v>
      </c>
      <c r="C235">
        <v>1581.37</v>
      </c>
      <c r="D235">
        <v>1581.22</v>
      </c>
      <c r="E235">
        <v>1581.07</v>
      </c>
      <c r="F235">
        <v>1580.92</v>
      </c>
      <c r="G235">
        <v>1580.77</v>
      </c>
      <c r="H235">
        <v>1580.62</v>
      </c>
      <c r="I235">
        <v>1580.47</v>
      </c>
      <c r="J235">
        <v>1580.31</v>
      </c>
      <c r="K235">
        <v>1580.16</v>
      </c>
      <c r="L235">
        <v>1580.01</v>
      </c>
    </row>
    <row r="236" spans="1:12" x14ac:dyDescent="0.15">
      <c r="A236">
        <v>1155</v>
      </c>
      <c r="B236">
        <v>1581.6</v>
      </c>
      <c r="C236">
        <v>1581.45</v>
      </c>
      <c r="D236">
        <v>1581.3</v>
      </c>
      <c r="E236">
        <v>1581.15</v>
      </c>
      <c r="F236">
        <v>1580.99</v>
      </c>
      <c r="G236">
        <v>1580.84</v>
      </c>
      <c r="H236">
        <v>1580.69</v>
      </c>
      <c r="I236">
        <v>1580.54</v>
      </c>
      <c r="J236">
        <v>1580.39</v>
      </c>
      <c r="K236">
        <v>1580.24</v>
      </c>
      <c r="L236">
        <v>1580.09</v>
      </c>
    </row>
    <row r="237" spans="1:12" x14ac:dyDescent="0.15">
      <c r="A237">
        <v>1160</v>
      </c>
      <c r="B237">
        <v>1581.67</v>
      </c>
      <c r="C237">
        <v>1581.52</v>
      </c>
      <c r="D237">
        <v>1581.37</v>
      </c>
      <c r="E237">
        <v>1581.22</v>
      </c>
      <c r="F237">
        <v>1581.07</v>
      </c>
      <c r="G237">
        <v>1580.92</v>
      </c>
      <c r="H237">
        <v>1580.77</v>
      </c>
      <c r="I237">
        <v>1580.62</v>
      </c>
      <c r="J237">
        <v>1580.47</v>
      </c>
      <c r="K237">
        <v>1580.32</v>
      </c>
      <c r="L237">
        <v>1580.17</v>
      </c>
    </row>
    <row r="238" spans="1:12" x14ac:dyDescent="0.15">
      <c r="A238">
        <v>1165</v>
      </c>
      <c r="B238">
        <v>1581.75</v>
      </c>
      <c r="C238">
        <v>1581.6</v>
      </c>
      <c r="D238">
        <v>1581.45</v>
      </c>
      <c r="E238">
        <v>1581.3</v>
      </c>
      <c r="F238">
        <v>1581.15</v>
      </c>
      <c r="G238">
        <v>1581</v>
      </c>
      <c r="H238">
        <v>1580.85</v>
      </c>
      <c r="I238">
        <v>1580.69</v>
      </c>
      <c r="J238">
        <v>1580.54</v>
      </c>
      <c r="K238">
        <v>1580.39</v>
      </c>
      <c r="L238">
        <v>1580.24</v>
      </c>
    </row>
    <row r="239" spans="1:12" x14ac:dyDescent="0.15">
      <c r="A239">
        <v>1170</v>
      </c>
      <c r="B239">
        <v>1581.83</v>
      </c>
      <c r="C239">
        <v>1581.68</v>
      </c>
      <c r="D239">
        <v>1581.52</v>
      </c>
      <c r="E239">
        <v>1581.37</v>
      </c>
      <c r="F239">
        <v>1581.22</v>
      </c>
      <c r="G239">
        <v>1581.07</v>
      </c>
      <c r="H239">
        <v>1580.92</v>
      </c>
      <c r="I239">
        <v>1580.77</v>
      </c>
      <c r="J239">
        <v>1580.62</v>
      </c>
      <c r="K239">
        <v>1580.47</v>
      </c>
      <c r="L239">
        <v>1580.32</v>
      </c>
    </row>
    <row r="240" spans="1:12" x14ac:dyDescent="0.15">
      <c r="A240">
        <v>1175</v>
      </c>
      <c r="B240">
        <v>1581.9</v>
      </c>
      <c r="C240">
        <v>1581.75</v>
      </c>
      <c r="D240">
        <v>1581.6</v>
      </c>
      <c r="E240">
        <v>1581.45</v>
      </c>
      <c r="F240">
        <v>1581.3</v>
      </c>
      <c r="G240">
        <v>1581.15</v>
      </c>
      <c r="H240">
        <v>1581</v>
      </c>
      <c r="I240">
        <v>1580.85</v>
      </c>
      <c r="J240">
        <v>1580.7</v>
      </c>
      <c r="K240">
        <v>1580.55</v>
      </c>
      <c r="L240">
        <v>1580.4</v>
      </c>
    </row>
    <row r="241" spans="1:12" x14ac:dyDescent="0.15">
      <c r="A241">
        <v>1180</v>
      </c>
      <c r="B241">
        <v>1581.98</v>
      </c>
      <c r="C241">
        <v>1581.83</v>
      </c>
      <c r="D241">
        <v>1581.68</v>
      </c>
      <c r="E241">
        <v>1581.53</v>
      </c>
      <c r="F241">
        <v>1581.38</v>
      </c>
      <c r="G241">
        <v>1581.23</v>
      </c>
      <c r="H241">
        <v>1581.07</v>
      </c>
      <c r="I241">
        <v>1580.92</v>
      </c>
      <c r="J241">
        <v>1580.77</v>
      </c>
      <c r="K241">
        <v>1580.62</v>
      </c>
      <c r="L241">
        <v>1580.47</v>
      </c>
    </row>
    <row r="242" spans="1:12" x14ac:dyDescent="0.15">
      <c r="A242">
        <v>1185</v>
      </c>
      <c r="B242">
        <v>1582.05</v>
      </c>
      <c r="C242">
        <v>1581.9</v>
      </c>
      <c r="D242">
        <v>1581.75</v>
      </c>
      <c r="E242">
        <v>1581.6</v>
      </c>
      <c r="F242">
        <v>1581.45</v>
      </c>
      <c r="G242">
        <v>1581.3</v>
      </c>
      <c r="H242">
        <v>1581.15</v>
      </c>
      <c r="I242">
        <v>1581</v>
      </c>
      <c r="J242">
        <v>1580.85</v>
      </c>
      <c r="K242">
        <v>1580.7</v>
      </c>
      <c r="L242">
        <v>1580.55</v>
      </c>
    </row>
    <row r="243" spans="1:12" x14ac:dyDescent="0.15">
      <c r="A243">
        <v>1190</v>
      </c>
      <c r="B243">
        <v>1582.13</v>
      </c>
      <c r="C243">
        <v>1581.98</v>
      </c>
      <c r="D243">
        <v>1581.83</v>
      </c>
      <c r="E243">
        <v>1581.68</v>
      </c>
      <c r="F243">
        <v>1581.53</v>
      </c>
      <c r="G243">
        <v>1581.38</v>
      </c>
      <c r="H243">
        <v>1581.23</v>
      </c>
      <c r="I243">
        <v>1581.08</v>
      </c>
      <c r="J243">
        <v>1580.93</v>
      </c>
      <c r="K243">
        <v>1580.77</v>
      </c>
      <c r="L243">
        <v>1580.62</v>
      </c>
    </row>
    <row r="244" spans="1:12" x14ac:dyDescent="0.15">
      <c r="A244">
        <v>1195</v>
      </c>
      <c r="B244">
        <v>1582.21</v>
      </c>
      <c r="C244">
        <v>1582.06</v>
      </c>
      <c r="D244">
        <v>1581.91</v>
      </c>
      <c r="E244">
        <v>1581.76</v>
      </c>
      <c r="F244">
        <v>1581.6</v>
      </c>
      <c r="G244">
        <v>1581.45</v>
      </c>
      <c r="H244">
        <v>1581.3</v>
      </c>
      <c r="I244">
        <v>1581.15</v>
      </c>
      <c r="J244">
        <v>1581</v>
      </c>
      <c r="K244">
        <v>1580.85</v>
      </c>
      <c r="L244">
        <v>1580.7</v>
      </c>
    </row>
    <row r="245" spans="1:12" x14ac:dyDescent="0.15">
      <c r="A245">
        <v>1200</v>
      </c>
      <c r="B245">
        <v>1582.28</v>
      </c>
      <c r="C245">
        <v>1582.13</v>
      </c>
      <c r="D245">
        <v>1581.98</v>
      </c>
      <c r="E245">
        <v>1581.83</v>
      </c>
      <c r="F245">
        <v>1581.68</v>
      </c>
      <c r="G245">
        <v>1581.53</v>
      </c>
      <c r="H245">
        <v>1581.38</v>
      </c>
      <c r="I245">
        <v>1581.23</v>
      </c>
      <c r="J245">
        <v>1581.08</v>
      </c>
      <c r="K245">
        <v>1580.93</v>
      </c>
      <c r="L245">
        <v>1580.78</v>
      </c>
    </row>
    <row r="246" spans="1:12" x14ac:dyDescent="0.15">
      <c r="A246">
        <v>1205</v>
      </c>
      <c r="B246">
        <v>1582.36</v>
      </c>
      <c r="C246">
        <v>1582.21</v>
      </c>
      <c r="D246">
        <v>1582.06</v>
      </c>
      <c r="E246">
        <v>1581.91</v>
      </c>
      <c r="F246">
        <v>1581.76</v>
      </c>
      <c r="G246">
        <v>1581.61</v>
      </c>
      <c r="H246">
        <v>1581.46</v>
      </c>
      <c r="I246">
        <v>1581.3</v>
      </c>
      <c r="J246">
        <v>1581.15</v>
      </c>
      <c r="K246">
        <v>1581</v>
      </c>
      <c r="L246">
        <v>1580.85</v>
      </c>
    </row>
    <row r="247" spans="1:12" x14ac:dyDescent="0.15">
      <c r="A247">
        <v>1210</v>
      </c>
      <c r="B247">
        <v>1582.44</v>
      </c>
      <c r="C247">
        <v>1582.29</v>
      </c>
      <c r="D247">
        <v>1582.13</v>
      </c>
      <c r="E247">
        <v>1581.98</v>
      </c>
      <c r="F247">
        <v>1581.83</v>
      </c>
      <c r="G247">
        <v>1581.68</v>
      </c>
      <c r="H247">
        <v>1581.53</v>
      </c>
      <c r="I247">
        <v>1581.38</v>
      </c>
      <c r="J247">
        <v>1581.23</v>
      </c>
      <c r="K247">
        <v>1581.08</v>
      </c>
      <c r="L247">
        <v>1580.93</v>
      </c>
    </row>
    <row r="248" spans="1:12" x14ac:dyDescent="0.15">
      <c r="A248">
        <v>1215</v>
      </c>
      <c r="B248">
        <v>1582.51</v>
      </c>
      <c r="C248">
        <v>1582.36</v>
      </c>
      <c r="D248">
        <v>1582.21</v>
      </c>
      <c r="E248">
        <v>1582.06</v>
      </c>
      <c r="F248">
        <v>1581.91</v>
      </c>
      <c r="G248">
        <v>1581.76</v>
      </c>
      <c r="H248">
        <v>1581.61</v>
      </c>
      <c r="I248">
        <v>1581.46</v>
      </c>
      <c r="J248">
        <v>1581.31</v>
      </c>
      <c r="K248">
        <v>1581.16</v>
      </c>
      <c r="L248">
        <v>1581.01</v>
      </c>
    </row>
    <row r="249" spans="1:12" x14ac:dyDescent="0.15">
      <c r="A249">
        <v>1220</v>
      </c>
      <c r="B249">
        <v>1582.59</v>
      </c>
      <c r="C249">
        <v>1582.44</v>
      </c>
      <c r="D249">
        <v>1582.29</v>
      </c>
      <c r="E249">
        <v>1582.14</v>
      </c>
      <c r="F249">
        <v>1581.99</v>
      </c>
      <c r="G249">
        <v>1581.84</v>
      </c>
      <c r="H249">
        <v>1581.68</v>
      </c>
      <c r="I249">
        <v>1581.53</v>
      </c>
      <c r="J249">
        <v>1581.38</v>
      </c>
      <c r="K249">
        <v>1581.23</v>
      </c>
      <c r="L249">
        <v>1581.08</v>
      </c>
    </row>
    <row r="250" spans="1:12" x14ac:dyDescent="0.15">
      <c r="A250">
        <v>1225</v>
      </c>
      <c r="B250">
        <v>1582.67</v>
      </c>
      <c r="C250">
        <v>1582.51</v>
      </c>
      <c r="D250">
        <v>1582.36</v>
      </c>
      <c r="E250">
        <v>1582.21</v>
      </c>
      <c r="F250">
        <v>1582.06</v>
      </c>
      <c r="G250">
        <v>1581.91</v>
      </c>
      <c r="H250">
        <v>1581.76</v>
      </c>
      <c r="I250">
        <v>1581.61</v>
      </c>
      <c r="J250">
        <v>1581.46</v>
      </c>
      <c r="K250">
        <v>1581.31</v>
      </c>
      <c r="L250">
        <v>1581.16</v>
      </c>
    </row>
    <row r="251" spans="1:12" x14ac:dyDescent="0.15">
      <c r="A251">
        <v>1230</v>
      </c>
      <c r="B251">
        <v>1582.74</v>
      </c>
      <c r="C251">
        <v>1582.59</v>
      </c>
      <c r="D251">
        <v>1582.44</v>
      </c>
      <c r="E251">
        <v>1582.29</v>
      </c>
      <c r="F251">
        <v>1582.14</v>
      </c>
      <c r="G251">
        <v>1581.99</v>
      </c>
      <c r="H251">
        <v>1581.84</v>
      </c>
      <c r="I251">
        <v>1581.69</v>
      </c>
      <c r="J251">
        <v>1581.54</v>
      </c>
      <c r="K251">
        <v>1581.38</v>
      </c>
      <c r="L251">
        <v>1581.23</v>
      </c>
    </row>
    <row r="252" spans="1:12" x14ac:dyDescent="0.15">
      <c r="A252">
        <v>1235</v>
      </c>
      <c r="B252">
        <v>1582.82</v>
      </c>
      <c r="C252">
        <v>1582.67</v>
      </c>
      <c r="D252">
        <v>1582.52</v>
      </c>
      <c r="E252">
        <v>1582.37</v>
      </c>
      <c r="F252">
        <v>1582.21</v>
      </c>
      <c r="G252">
        <v>1582.06</v>
      </c>
      <c r="H252">
        <v>1581.91</v>
      </c>
      <c r="I252">
        <v>1581.76</v>
      </c>
      <c r="J252">
        <v>1581.61</v>
      </c>
      <c r="K252">
        <v>1581.46</v>
      </c>
      <c r="L252">
        <v>1581.31</v>
      </c>
    </row>
    <row r="253" spans="1:12" x14ac:dyDescent="0.15">
      <c r="A253">
        <v>1240</v>
      </c>
      <c r="B253">
        <v>1582.89</v>
      </c>
      <c r="C253">
        <v>1582.74</v>
      </c>
      <c r="D253">
        <v>1582.59</v>
      </c>
      <c r="E253">
        <v>1582.44</v>
      </c>
      <c r="F253">
        <v>1582.29</v>
      </c>
      <c r="G253">
        <v>1582.14</v>
      </c>
      <c r="H253">
        <v>1581.99</v>
      </c>
      <c r="I253">
        <v>1581.84</v>
      </c>
      <c r="J253">
        <v>1581.69</v>
      </c>
      <c r="K253">
        <v>1581.54</v>
      </c>
      <c r="L253">
        <v>1581.39</v>
      </c>
    </row>
    <row r="254" spans="1:12" x14ac:dyDescent="0.15">
      <c r="A254">
        <v>1245</v>
      </c>
      <c r="B254">
        <v>1582.97</v>
      </c>
      <c r="C254">
        <v>1582.82</v>
      </c>
      <c r="D254">
        <v>1582.67</v>
      </c>
      <c r="E254">
        <v>1582.52</v>
      </c>
      <c r="F254">
        <v>1582.37</v>
      </c>
      <c r="G254">
        <v>1582.22</v>
      </c>
      <c r="H254">
        <v>1582.07</v>
      </c>
      <c r="I254">
        <v>1581.92</v>
      </c>
      <c r="J254">
        <v>1581.76</v>
      </c>
      <c r="K254">
        <v>1581.61</v>
      </c>
      <c r="L254">
        <v>1581.46</v>
      </c>
    </row>
    <row r="255" spans="1:12" x14ac:dyDescent="0.15">
      <c r="A255">
        <v>1250</v>
      </c>
      <c r="B255">
        <v>1583.05</v>
      </c>
      <c r="C255">
        <v>1582.9</v>
      </c>
      <c r="D255">
        <v>1582.75</v>
      </c>
      <c r="E255">
        <v>1582.59</v>
      </c>
      <c r="F255">
        <v>1582.44</v>
      </c>
      <c r="G255">
        <v>1582.29</v>
      </c>
      <c r="H255">
        <v>1582.14</v>
      </c>
      <c r="I255">
        <v>1581.99</v>
      </c>
      <c r="J255">
        <v>1581.84</v>
      </c>
      <c r="K255">
        <v>1581.69</v>
      </c>
      <c r="L255">
        <v>1581.54</v>
      </c>
    </row>
    <row r="256" spans="1:12" x14ac:dyDescent="0.15">
      <c r="A256">
        <v>1255</v>
      </c>
      <c r="B256">
        <v>1583.12</v>
      </c>
      <c r="C256">
        <v>1582.97</v>
      </c>
      <c r="D256">
        <v>1582.82</v>
      </c>
      <c r="E256">
        <v>1582.67</v>
      </c>
      <c r="F256">
        <v>1582.52</v>
      </c>
      <c r="G256">
        <v>1582.37</v>
      </c>
      <c r="H256">
        <v>1582.22</v>
      </c>
      <c r="I256">
        <v>1582.07</v>
      </c>
      <c r="J256">
        <v>1581.92</v>
      </c>
      <c r="K256">
        <v>1581.77</v>
      </c>
      <c r="L256">
        <v>1581.62</v>
      </c>
    </row>
    <row r="257" spans="1:12" x14ac:dyDescent="0.15">
      <c r="A257">
        <v>1260</v>
      </c>
      <c r="B257">
        <v>1583.2</v>
      </c>
      <c r="C257">
        <v>1583.05</v>
      </c>
      <c r="D257">
        <v>1582.9</v>
      </c>
      <c r="E257">
        <v>1582.75</v>
      </c>
      <c r="F257">
        <v>1582.6</v>
      </c>
      <c r="G257">
        <v>1582.45</v>
      </c>
      <c r="H257">
        <v>1582.3</v>
      </c>
      <c r="I257">
        <v>1582.14</v>
      </c>
      <c r="J257">
        <v>1581.99</v>
      </c>
      <c r="K257">
        <v>1581.84</v>
      </c>
      <c r="L257">
        <v>1581.69</v>
      </c>
    </row>
    <row r="258" spans="1:12" x14ac:dyDescent="0.15">
      <c r="A258">
        <v>1265</v>
      </c>
      <c r="B258">
        <v>1583.28</v>
      </c>
      <c r="C258">
        <v>1583.12</v>
      </c>
      <c r="D258">
        <v>1582.97</v>
      </c>
      <c r="E258">
        <v>1582.82</v>
      </c>
      <c r="F258">
        <v>1582.67</v>
      </c>
      <c r="G258">
        <v>1582.52</v>
      </c>
      <c r="H258">
        <v>1582.37</v>
      </c>
      <c r="I258">
        <v>1582.22</v>
      </c>
      <c r="J258">
        <v>1582.07</v>
      </c>
      <c r="K258">
        <v>1581.92</v>
      </c>
      <c r="L258">
        <v>1581.77</v>
      </c>
    </row>
    <row r="259" spans="1:12" x14ac:dyDescent="0.15">
      <c r="A259">
        <v>1270</v>
      </c>
      <c r="B259">
        <v>1583.35</v>
      </c>
      <c r="C259">
        <v>1583.2</v>
      </c>
      <c r="D259">
        <v>1583.05</v>
      </c>
      <c r="E259">
        <v>1582.9</v>
      </c>
      <c r="F259">
        <v>1582.75</v>
      </c>
      <c r="G259">
        <v>1582.6</v>
      </c>
      <c r="H259">
        <v>1582.45</v>
      </c>
      <c r="I259">
        <v>1582.3</v>
      </c>
      <c r="J259">
        <v>1582.15</v>
      </c>
      <c r="K259">
        <v>1582</v>
      </c>
      <c r="L259">
        <v>1581.84</v>
      </c>
    </row>
    <row r="260" spans="1:12" x14ac:dyDescent="0.15">
      <c r="A260">
        <v>1275</v>
      </c>
      <c r="B260">
        <v>1583.43</v>
      </c>
      <c r="C260">
        <v>1583.28</v>
      </c>
      <c r="D260">
        <v>1583.13</v>
      </c>
      <c r="E260">
        <v>1582.98</v>
      </c>
      <c r="F260">
        <v>1582.83</v>
      </c>
      <c r="G260">
        <v>1582.67</v>
      </c>
      <c r="H260">
        <v>1582.52</v>
      </c>
      <c r="I260">
        <v>1582.37</v>
      </c>
      <c r="J260">
        <v>1582.22</v>
      </c>
      <c r="K260">
        <v>1582.07</v>
      </c>
      <c r="L260">
        <v>1581.92</v>
      </c>
    </row>
    <row r="261" spans="1:12" x14ac:dyDescent="0.15">
      <c r="A261">
        <v>1280</v>
      </c>
      <c r="B261">
        <v>1583.5</v>
      </c>
      <c r="C261">
        <v>1583.35</v>
      </c>
      <c r="D261">
        <v>1583.2</v>
      </c>
      <c r="E261">
        <v>1583.05</v>
      </c>
      <c r="F261">
        <v>1582.9</v>
      </c>
      <c r="G261">
        <v>1582.75</v>
      </c>
      <c r="H261">
        <v>1582.6</v>
      </c>
      <c r="I261">
        <v>1582.45</v>
      </c>
      <c r="J261">
        <v>1582.3</v>
      </c>
      <c r="K261">
        <v>1582.15</v>
      </c>
      <c r="L261">
        <v>1582</v>
      </c>
    </row>
    <row r="262" spans="1:12" x14ac:dyDescent="0.15">
      <c r="A262">
        <v>1285</v>
      </c>
      <c r="B262">
        <v>1583.58</v>
      </c>
      <c r="C262">
        <v>1583.43</v>
      </c>
      <c r="D262">
        <v>1583.28</v>
      </c>
      <c r="E262">
        <v>1583.13</v>
      </c>
      <c r="F262">
        <v>1582.98</v>
      </c>
      <c r="G262">
        <v>1582.83</v>
      </c>
      <c r="H262">
        <v>1582.68</v>
      </c>
      <c r="I262">
        <v>1582.53</v>
      </c>
      <c r="J262">
        <v>1582.37</v>
      </c>
      <c r="K262">
        <v>1582.22</v>
      </c>
      <c r="L262">
        <v>1582.07</v>
      </c>
    </row>
    <row r="263" spans="1:12" x14ac:dyDescent="0.15">
      <c r="A263">
        <v>1290</v>
      </c>
      <c r="B263">
        <v>1583.66</v>
      </c>
      <c r="C263">
        <v>1583.51</v>
      </c>
      <c r="D263">
        <v>1583.36</v>
      </c>
      <c r="E263">
        <v>1583.2</v>
      </c>
      <c r="F263">
        <v>1583.05</v>
      </c>
      <c r="G263">
        <v>1582.9</v>
      </c>
      <c r="H263">
        <v>1582.75</v>
      </c>
      <c r="I263">
        <v>1582.6</v>
      </c>
      <c r="J263">
        <v>1582.45</v>
      </c>
      <c r="K263">
        <v>1582.3</v>
      </c>
      <c r="L263">
        <v>1582.15</v>
      </c>
    </row>
    <row r="264" spans="1:12" x14ac:dyDescent="0.15">
      <c r="A264">
        <v>1295</v>
      </c>
      <c r="B264">
        <v>1583.73</v>
      </c>
      <c r="C264">
        <v>1583.58</v>
      </c>
      <c r="D264">
        <v>1583.43</v>
      </c>
      <c r="E264">
        <v>1583.28</v>
      </c>
      <c r="F264">
        <v>1583.13</v>
      </c>
      <c r="G264">
        <v>1582.98</v>
      </c>
      <c r="H264">
        <v>1582.83</v>
      </c>
      <c r="I264">
        <v>1582.68</v>
      </c>
      <c r="J264">
        <v>1582.53</v>
      </c>
      <c r="K264">
        <v>1582.38</v>
      </c>
      <c r="L264">
        <v>1582.23</v>
      </c>
    </row>
    <row r="265" spans="1:12" x14ac:dyDescent="0.15">
      <c r="A265">
        <v>1300</v>
      </c>
      <c r="B265">
        <v>1583.81</v>
      </c>
      <c r="C265">
        <v>1583.66</v>
      </c>
      <c r="D265">
        <v>1583.51</v>
      </c>
      <c r="E265">
        <v>1583.36</v>
      </c>
      <c r="F265">
        <v>1583.21</v>
      </c>
      <c r="G265">
        <v>1583.06</v>
      </c>
      <c r="H265">
        <v>1582.91</v>
      </c>
      <c r="I265">
        <v>1582.75</v>
      </c>
      <c r="J265">
        <v>1582.6</v>
      </c>
      <c r="K265">
        <v>1582.45</v>
      </c>
      <c r="L265">
        <v>1582.3</v>
      </c>
    </row>
    <row r="266" spans="1:12" x14ac:dyDescent="0.15">
      <c r="A266">
        <v>1305</v>
      </c>
      <c r="B266">
        <v>1583.89</v>
      </c>
      <c r="C266">
        <v>1583.73</v>
      </c>
      <c r="D266">
        <v>1583.58</v>
      </c>
      <c r="E266">
        <v>1583.43</v>
      </c>
      <c r="F266">
        <v>1583.28</v>
      </c>
      <c r="G266">
        <v>1583.13</v>
      </c>
      <c r="H266">
        <v>1582.98</v>
      </c>
      <c r="I266">
        <v>1582.83</v>
      </c>
      <c r="J266">
        <v>1582.68</v>
      </c>
      <c r="K266">
        <v>1582.53</v>
      </c>
      <c r="L266">
        <v>1582.38</v>
      </c>
    </row>
    <row r="267" spans="1:12" x14ac:dyDescent="0.15">
      <c r="A267">
        <v>1310</v>
      </c>
      <c r="B267">
        <v>1583.96</v>
      </c>
      <c r="C267">
        <v>1583.81</v>
      </c>
      <c r="D267">
        <v>1583.66</v>
      </c>
      <c r="E267">
        <v>1583.51</v>
      </c>
      <c r="F267">
        <v>1583.36</v>
      </c>
      <c r="G267">
        <v>1583.21</v>
      </c>
      <c r="H267">
        <v>1583.06</v>
      </c>
      <c r="I267">
        <v>1582.91</v>
      </c>
      <c r="J267">
        <v>1582.76</v>
      </c>
      <c r="K267">
        <v>1582.61</v>
      </c>
      <c r="L267">
        <v>1582.45</v>
      </c>
    </row>
    <row r="268" spans="1:12" x14ac:dyDescent="0.15">
      <c r="A268">
        <v>1315</v>
      </c>
      <c r="B268">
        <v>1584.04</v>
      </c>
      <c r="C268">
        <v>1583.89</v>
      </c>
      <c r="D268">
        <v>1583.74</v>
      </c>
      <c r="E268">
        <v>1583.59</v>
      </c>
      <c r="F268">
        <v>1583.44</v>
      </c>
      <c r="G268">
        <v>1583.29</v>
      </c>
      <c r="H268">
        <v>1583.13</v>
      </c>
      <c r="I268">
        <v>1582.98</v>
      </c>
      <c r="J268">
        <v>1582.83</v>
      </c>
      <c r="K268">
        <v>1582.68</v>
      </c>
      <c r="L268">
        <v>1582.53</v>
      </c>
    </row>
    <row r="269" spans="1:12" x14ac:dyDescent="0.15">
      <c r="A269">
        <v>1320</v>
      </c>
      <c r="B269">
        <v>1584.11</v>
      </c>
      <c r="C269">
        <v>1583.96</v>
      </c>
      <c r="D269">
        <v>1583.81</v>
      </c>
      <c r="E269">
        <v>1583.66</v>
      </c>
      <c r="F269">
        <v>1583.51</v>
      </c>
      <c r="G269">
        <v>1583.36</v>
      </c>
      <c r="H269">
        <v>1583.21</v>
      </c>
      <c r="I269">
        <v>1583.06</v>
      </c>
      <c r="J269">
        <v>1582.91</v>
      </c>
      <c r="K269">
        <v>1582.76</v>
      </c>
      <c r="L269">
        <v>1582.61</v>
      </c>
    </row>
    <row r="270" spans="1:12" x14ac:dyDescent="0.15">
      <c r="A270">
        <v>1325</v>
      </c>
      <c r="B270">
        <v>1584.19</v>
      </c>
      <c r="C270">
        <v>1584.04</v>
      </c>
      <c r="D270">
        <v>1583.89</v>
      </c>
      <c r="E270">
        <v>1583.74</v>
      </c>
      <c r="F270">
        <v>1583.59</v>
      </c>
      <c r="G270">
        <v>1583.44</v>
      </c>
      <c r="H270">
        <v>1583.29</v>
      </c>
      <c r="I270">
        <v>1583.14</v>
      </c>
      <c r="J270">
        <v>1582.99</v>
      </c>
      <c r="K270">
        <v>1582.83</v>
      </c>
      <c r="L270">
        <v>1582.68</v>
      </c>
    </row>
    <row r="271" spans="1:12" x14ac:dyDescent="0.15">
      <c r="A271">
        <v>1330</v>
      </c>
      <c r="B271">
        <v>1584.27</v>
      </c>
      <c r="C271">
        <v>1584.12</v>
      </c>
      <c r="D271">
        <v>1583.97</v>
      </c>
      <c r="E271">
        <v>1583.82</v>
      </c>
      <c r="F271">
        <v>1583.66</v>
      </c>
      <c r="G271">
        <v>1583.51</v>
      </c>
      <c r="H271">
        <v>1583.36</v>
      </c>
      <c r="I271">
        <v>1583.21</v>
      </c>
      <c r="J271">
        <v>1583.06</v>
      </c>
      <c r="K271">
        <v>1582.91</v>
      </c>
      <c r="L271">
        <v>1582.76</v>
      </c>
    </row>
    <row r="272" spans="1:12" x14ac:dyDescent="0.15">
      <c r="A272">
        <v>1335</v>
      </c>
      <c r="B272">
        <v>1584.34</v>
      </c>
      <c r="C272">
        <v>1584.19</v>
      </c>
      <c r="D272">
        <v>1584.04</v>
      </c>
      <c r="E272">
        <v>1583.89</v>
      </c>
      <c r="F272">
        <v>1583.74</v>
      </c>
      <c r="G272">
        <v>1583.59</v>
      </c>
      <c r="H272">
        <v>1583.44</v>
      </c>
      <c r="I272">
        <v>1583.29</v>
      </c>
      <c r="J272">
        <v>1583.14</v>
      </c>
      <c r="K272">
        <v>1582.99</v>
      </c>
      <c r="L272">
        <v>1582.84</v>
      </c>
    </row>
    <row r="273" spans="1:12" x14ac:dyDescent="0.15">
      <c r="A273">
        <v>1340</v>
      </c>
      <c r="B273">
        <v>1584.42</v>
      </c>
      <c r="C273">
        <v>1584.27</v>
      </c>
      <c r="D273">
        <v>1584.12</v>
      </c>
      <c r="E273">
        <v>1583.97</v>
      </c>
      <c r="F273">
        <v>1583.82</v>
      </c>
      <c r="G273">
        <v>1583.67</v>
      </c>
      <c r="H273">
        <v>1583.52</v>
      </c>
      <c r="I273">
        <v>1583.36</v>
      </c>
      <c r="J273">
        <v>1583.21</v>
      </c>
      <c r="K273">
        <v>1583.06</v>
      </c>
      <c r="L273">
        <v>1582.91</v>
      </c>
    </row>
    <row r="274" spans="1:12" x14ac:dyDescent="0.15">
      <c r="A274">
        <v>1345</v>
      </c>
      <c r="B274">
        <v>1584.5</v>
      </c>
      <c r="C274">
        <v>1584.35</v>
      </c>
      <c r="D274">
        <v>1584.19</v>
      </c>
      <c r="E274">
        <v>1584.04</v>
      </c>
      <c r="F274">
        <v>1583.89</v>
      </c>
      <c r="G274">
        <v>1583.74</v>
      </c>
      <c r="H274">
        <v>1583.59</v>
      </c>
      <c r="I274">
        <v>1583.44</v>
      </c>
      <c r="J274">
        <v>1583.29</v>
      </c>
      <c r="K274">
        <v>1583.14</v>
      </c>
      <c r="L274">
        <v>1582.99</v>
      </c>
    </row>
    <row r="275" spans="1:12" x14ac:dyDescent="0.15">
      <c r="A275">
        <v>1350</v>
      </c>
      <c r="B275">
        <v>1584.57</v>
      </c>
      <c r="C275">
        <v>1584.42</v>
      </c>
      <c r="D275">
        <v>1584.27</v>
      </c>
      <c r="E275">
        <v>1584.12</v>
      </c>
      <c r="F275">
        <v>1583.97</v>
      </c>
      <c r="G275">
        <v>1583.82</v>
      </c>
      <c r="H275">
        <v>1583.67</v>
      </c>
      <c r="I275">
        <v>1583.52</v>
      </c>
      <c r="J275">
        <v>1583.37</v>
      </c>
      <c r="K275">
        <v>1583.22</v>
      </c>
      <c r="L275">
        <v>1583.07</v>
      </c>
    </row>
    <row r="276" spans="1:12" x14ac:dyDescent="0.15">
      <c r="A276">
        <v>1355</v>
      </c>
      <c r="B276">
        <v>1584.65</v>
      </c>
      <c r="C276">
        <v>1584.5</v>
      </c>
      <c r="D276">
        <v>1584.35</v>
      </c>
      <c r="E276">
        <v>1584.2</v>
      </c>
      <c r="F276">
        <v>1584.05</v>
      </c>
      <c r="G276">
        <v>1583.9</v>
      </c>
      <c r="H276">
        <v>1583.74</v>
      </c>
      <c r="I276">
        <v>1583.59</v>
      </c>
      <c r="J276">
        <v>1583.44</v>
      </c>
      <c r="K276">
        <v>1583.29</v>
      </c>
      <c r="L276">
        <v>1583.14</v>
      </c>
    </row>
    <row r="277" spans="1:12" x14ac:dyDescent="0.15">
      <c r="A277">
        <v>1360</v>
      </c>
      <c r="B277">
        <v>1584.72</v>
      </c>
      <c r="C277">
        <v>1584.57</v>
      </c>
      <c r="D277">
        <v>1584.42</v>
      </c>
      <c r="E277">
        <v>1584.27</v>
      </c>
      <c r="F277">
        <v>1584.12</v>
      </c>
      <c r="G277">
        <v>1583.97</v>
      </c>
      <c r="H277">
        <v>1583.82</v>
      </c>
      <c r="I277">
        <v>1583.67</v>
      </c>
      <c r="J277">
        <v>1583.52</v>
      </c>
      <c r="K277">
        <v>1583.37</v>
      </c>
      <c r="L277">
        <v>1583.22</v>
      </c>
    </row>
    <row r="278" spans="1:12" x14ac:dyDescent="0.15">
      <c r="A278">
        <v>1365</v>
      </c>
      <c r="B278">
        <v>1584.8</v>
      </c>
      <c r="C278">
        <v>1584.65</v>
      </c>
      <c r="D278">
        <v>1584.5</v>
      </c>
      <c r="E278">
        <v>1584.35</v>
      </c>
      <c r="F278">
        <v>1584.2</v>
      </c>
      <c r="G278">
        <v>1584.05</v>
      </c>
      <c r="H278">
        <v>1583.9</v>
      </c>
      <c r="I278">
        <v>1583.75</v>
      </c>
      <c r="J278">
        <v>1583.6</v>
      </c>
      <c r="K278">
        <v>1583.44</v>
      </c>
      <c r="L278">
        <v>1583.29</v>
      </c>
    </row>
    <row r="279" spans="1:12" x14ac:dyDescent="0.15">
      <c r="A279">
        <v>1370</v>
      </c>
      <c r="B279">
        <v>1584.88</v>
      </c>
      <c r="C279">
        <v>1584.73</v>
      </c>
      <c r="D279">
        <v>1584.58</v>
      </c>
      <c r="E279">
        <v>1584.43</v>
      </c>
      <c r="F279">
        <v>1584.27</v>
      </c>
      <c r="G279">
        <v>1584.12</v>
      </c>
      <c r="H279">
        <v>1583.97</v>
      </c>
      <c r="I279">
        <v>1583.82</v>
      </c>
      <c r="J279">
        <v>1583.67</v>
      </c>
      <c r="K279">
        <v>1583.52</v>
      </c>
      <c r="L279">
        <v>1583.37</v>
      </c>
    </row>
    <row r="280" spans="1:12" x14ac:dyDescent="0.15">
      <c r="A280">
        <v>1375</v>
      </c>
      <c r="B280">
        <v>1584.95</v>
      </c>
      <c r="C280">
        <v>1584.8</v>
      </c>
      <c r="D280">
        <v>1584.65</v>
      </c>
      <c r="E280">
        <v>1584.5</v>
      </c>
      <c r="F280">
        <v>1584.35</v>
      </c>
      <c r="G280">
        <v>1584.2</v>
      </c>
      <c r="H280">
        <v>1584.05</v>
      </c>
      <c r="I280">
        <v>1583.9</v>
      </c>
      <c r="J280">
        <v>1583.75</v>
      </c>
      <c r="K280">
        <v>1583.6</v>
      </c>
      <c r="L280">
        <v>1583.45</v>
      </c>
    </row>
    <row r="281" spans="1:12" x14ac:dyDescent="0.15">
      <c r="A281">
        <v>1380</v>
      </c>
      <c r="B281">
        <v>1585.03</v>
      </c>
      <c r="C281">
        <v>1584.88</v>
      </c>
      <c r="D281">
        <v>1584.73</v>
      </c>
      <c r="E281">
        <v>1584.58</v>
      </c>
      <c r="F281">
        <v>1584.43</v>
      </c>
      <c r="G281">
        <v>1584.28</v>
      </c>
      <c r="H281">
        <v>1584.13</v>
      </c>
      <c r="I281">
        <v>1583.98</v>
      </c>
      <c r="J281">
        <v>1583.82</v>
      </c>
      <c r="K281">
        <v>1583.67</v>
      </c>
      <c r="L281">
        <v>1583.52</v>
      </c>
    </row>
    <row r="282" spans="1:12" x14ac:dyDescent="0.15">
      <c r="A282">
        <v>1385</v>
      </c>
      <c r="B282">
        <v>1585.11</v>
      </c>
      <c r="C282">
        <v>1584.96</v>
      </c>
      <c r="D282">
        <v>1584.81</v>
      </c>
      <c r="E282">
        <v>1584.65</v>
      </c>
      <c r="F282">
        <v>1584.5</v>
      </c>
      <c r="G282">
        <v>1584.35</v>
      </c>
      <c r="H282">
        <v>1584.2</v>
      </c>
      <c r="I282">
        <v>1584.05</v>
      </c>
      <c r="J282">
        <v>1583.9</v>
      </c>
      <c r="K282">
        <v>1583.75</v>
      </c>
      <c r="L282">
        <v>1583.6</v>
      </c>
    </row>
    <row r="283" spans="1:12" x14ac:dyDescent="0.15">
      <c r="A283">
        <v>1390</v>
      </c>
      <c r="B283">
        <v>1585.18</v>
      </c>
      <c r="C283">
        <v>1585.03</v>
      </c>
      <c r="D283">
        <v>1584.88</v>
      </c>
      <c r="E283">
        <v>1584.73</v>
      </c>
      <c r="F283">
        <v>1584.58</v>
      </c>
      <c r="G283">
        <v>1584.43</v>
      </c>
      <c r="H283">
        <v>1584.28</v>
      </c>
      <c r="I283">
        <v>1584.13</v>
      </c>
      <c r="J283">
        <v>1583.98</v>
      </c>
      <c r="K283">
        <v>1583.83</v>
      </c>
      <c r="L283">
        <v>1583.68</v>
      </c>
    </row>
    <row r="284" spans="1:12" x14ac:dyDescent="0.15">
      <c r="A284">
        <v>1395</v>
      </c>
      <c r="B284">
        <v>1585.26</v>
      </c>
      <c r="C284">
        <v>1585.11</v>
      </c>
      <c r="D284">
        <v>1584.96</v>
      </c>
      <c r="E284">
        <v>1584.81</v>
      </c>
      <c r="F284">
        <v>1584.66</v>
      </c>
      <c r="G284">
        <v>1584.51</v>
      </c>
      <c r="H284">
        <v>1584.36</v>
      </c>
      <c r="I284">
        <v>1584.2</v>
      </c>
      <c r="J284">
        <v>1584.05</v>
      </c>
      <c r="K284">
        <v>1583.9</v>
      </c>
      <c r="L284">
        <v>1583.75</v>
      </c>
    </row>
    <row r="285" spans="1:12" x14ac:dyDescent="0.15">
      <c r="A285">
        <v>1400</v>
      </c>
      <c r="B285">
        <v>1585.34</v>
      </c>
      <c r="C285">
        <v>1585.18</v>
      </c>
      <c r="D285">
        <v>1585.03</v>
      </c>
      <c r="E285">
        <v>1584.88</v>
      </c>
      <c r="F285">
        <v>1584.73</v>
      </c>
      <c r="G285">
        <v>1584.58</v>
      </c>
      <c r="H285">
        <v>1584.43</v>
      </c>
      <c r="I285">
        <v>1584.28</v>
      </c>
      <c r="J285">
        <v>1584.13</v>
      </c>
      <c r="K285">
        <v>1583.98</v>
      </c>
      <c r="L285">
        <v>1583.83</v>
      </c>
    </row>
    <row r="286" spans="1:12" x14ac:dyDescent="0.15">
      <c r="A286">
        <v>1405</v>
      </c>
      <c r="B286">
        <v>1585.41</v>
      </c>
      <c r="C286">
        <v>1585.26</v>
      </c>
      <c r="D286">
        <v>1585.11</v>
      </c>
      <c r="E286">
        <v>1584.96</v>
      </c>
      <c r="F286">
        <v>1584.81</v>
      </c>
      <c r="G286">
        <v>1584.66</v>
      </c>
      <c r="H286">
        <v>1584.51</v>
      </c>
      <c r="I286">
        <v>1584.36</v>
      </c>
      <c r="J286">
        <v>1584.21</v>
      </c>
      <c r="K286">
        <v>1584.06</v>
      </c>
      <c r="L286">
        <v>1583.9</v>
      </c>
    </row>
    <row r="287" spans="1:12" x14ac:dyDescent="0.15">
      <c r="A287">
        <v>1410</v>
      </c>
      <c r="B287">
        <v>1585.49</v>
      </c>
      <c r="C287">
        <v>1585.34</v>
      </c>
      <c r="D287">
        <v>1585.19</v>
      </c>
      <c r="E287">
        <v>1585.04</v>
      </c>
      <c r="F287">
        <v>1584.89</v>
      </c>
      <c r="G287">
        <v>1584.73</v>
      </c>
      <c r="H287">
        <v>1584.58</v>
      </c>
      <c r="I287">
        <v>1584.43</v>
      </c>
      <c r="J287">
        <v>1584.28</v>
      </c>
      <c r="K287">
        <v>1584.13</v>
      </c>
      <c r="L287">
        <v>1583.98</v>
      </c>
    </row>
    <row r="288" spans="1:12" x14ac:dyDescent="0.15">
      <c r="A288">
        <v>1415</v>
      </c>
      <c r="B288">
        <v>1585.56</v>
      </c>
      <c r="C288">
        <v>1585.41</v>
      </c>
      <c r="D288">
        <v>1585.26</v>
      </c>
      <c r="E288">
        <v>1585.11</v>
      </c>
      <c r="F288">
        <v>1584.96</v>
      </c>
      <c r="G288">
        <v>1584.81</v>
      </c>
      <c r="H288">
        <v>1584.66</v>
      </c>
      <c r="I288">
        <v>1584.51</v>
      </c>
      <c r="J288">
        <v>1584.36</v>
      </c>
      <c r="K288">
        <v>1584.21</v>
      </c>
      <c r="L288">
        <v>1584.06</v>
      </c>
    </row>
    <row r="289" spans="1:12" x14ac:dyDescent="0.15">
      <c r="A289">
        <v>1420</v>
      </c>
      <c r="B289">
        <v>1585.64</v>
      </c>
      <c r="C289">
        <v>1585.49</v>
      </c>
      <c r="D289">
        <v>1585.34</v>
      </c>
      <c r="E289">
        <v>1585.19</v>
      </c>
      <c r="F289">
        <v>1585.04</v>
      </c>
      <c r="G289">
        <v>1584.89</v>
      </c>
      <c r="H289">
        <v>1584.74</v>
      </c>
      <c r="I289">
        <v>1584.59</v>
      </c>
      <c r="J289">
        <v>1584.43</v>
      </c>
      <c r="K289">
        <v>1584.28</v>
      </c>
      <c r="L289">
        <v>1584.13</v>
      </c>
    </row>
    <row r="290" spans="1:12" x14ac:dyDescent="0.15">
      <c r="A290">
        <v>1425</v>
      </c>
      <c r="B290">
        <v>1585.72</v>
      </c>
      <c r="C290">
        <v>1585.57</v>
      </c>
      <c r="D290">
        <v>1585.42</v>
      </c>
      <c r="E290">
        <v>1585.26</v>
      </c>
      <c r="F290">
        <v>1585.11</v>
      </c>
      <c r="G290">
        <v>1584.96</v>
      </c>
      <c r="H290">
        <v>1584.81</v>
      </c>
      <c r="I290">
        <v>1584.66</v>
      </c>
      <c r="J290">
        <v>1584.51</v>
      </c>
      <c r="K290">
        <v>1584.36</v>
      </c>
      <c r="L290">
        <v>1584.21</v>
      </c>
    </row>
    <row r="291" spans="1:12" x14ac:dyDescent="0.15">
      <c r="A291">
        <v>1430</v>
      </c>
      <c r="B291">
        <v>1585.79</v>
      </c>
      <c r="C291">
        <v>1585.64</v>
      </c>
      <c r="D291">
        <v>1585.49</v>
      </c>
      <c r="E291">
        <v>1585.34</v>
      </c>
      <c r="F291">
        <v>1585.19</v>
      </c>
      <c r="G291">
        <v>1585.04</v>
      </c>
      <c r="H291">
        <v>1584.89</v>
      </c>
      <c r="I291">
        <v>1584.74</v>
      </c>
      <c r="J291">
        <v>1584.59</v>
      </c>
      <c r="K291">
        <v>1584.44</v>
      </c>
      <c r="L291">
        <v>1584.29</v>
      </c>
    </row>
    <row r="292" spans="1:12" x14ac:dyDescent="0.15">
      <c r="A292">
        <v>1435</v>
      </c>
      <c r="B292">
        <v>1585.87</v>
      </c>
      <c r="C292">
        <v>1585.72</v>
      </c>
      <c r="D292">
        <v>1585.57</v>
      </c>
      <c r="E292">
        <v>1585.42</v>
      </c>
      <c r="F292">
        <v>1585.27</v>
      </c>
      <c r="G292">
        <v>1585.12</v>
      </c>
      <c r="H292">
        <v>1584.97</v>
      </c>
      <c r="I292">
        <v>1584.81</v>
      </c>
      <c r="J292">
        <v>1584.66</v>
      </c>
      <c r="K292">
        <v>1584.51</v>
      </c>
      <c r="L292">
        <v>1584.36</v>
      </c>
    </row>
    <row r="293" spans="1:12" x14ac:dyDescent="0.15">
      <c r="A293">
        <v>1440</v>
      </c>
      <c r="B293">
        <v>1585.95</v>
      </c>
      <c r="C293">
        <v>1585.79</v>
      </c>
      <c r="D293">
        <v>1585.64</v>
      </c>
      <c r="E293">
        <v>1585.49</v>
      </c>
      <c r="F293">
        <v>1585.34</v>
      </c>
      <c r="G293">
        <v>1585.19</v>
      </c>
      <c r="H293">
        <v>1585.04</v>
      </c>
      <c r="I293">
        <v>1584.89</v>
      </c>
      <c r="J293">
        <v>1584.74</v>
      </c>
      <c r="K293">
        <v>1584.59</v>
      </c>
      <c r="L293">
        <v>1584.44</v>
      </c>
    </row>
    <row r="294" spans="1:12" x14ac:dyDescent="0.15">
      <c r="A294">
        <v>1445</v>
      </c>
      <c r="B294">
        <v>1586.02</v>
      </c>
      <c r="C294">
        <v>1585.87</v>
      </c>
      <c r="D294">
        <v>1585.72</v>
      </c>
      <c r="E294">
        <v>1585.57</v>
      </c>
      <c r="F294">
        <v>1585.42</v>
      </c>
      <c r="G294">
        <v>1585.27</v>
      </c>
      <c r="H294">
        <v>1585.12</v>
      </c>
      <c r="I294">
        <v>1584.97</v>
      </c>
      <c r="J294">
        <v>1584.82</v>
      </c>
      <c r="K294">
        <v>1584.67</v>
      </c>
      <c r="L294">
        <v>1584.51</v>
      </c>
    </row>
    <row r="295" spans="1:12" x14ac:dyDescent="0.15">
      <c r="A295">
        <v>1450</v>
      </c>
      <c r="B295">
        <v>1586.1</v>
      </c>
      <c r="C295">
        <v>1585.95</v>
      </c>
      <c r="D295">
        <v>1585.8</v>
      </c>
      <c r="E295">
        <v>1585.65</v>
      </c>
      <c r="F295">
        <v>1585.5</v>
      </c>
      <c r="G295">
        <v>1585.34</v>
      </c>
      <c r="H295">
        <v>1585.19</v>
      </c>
      <c r="I295">
        <v>1585.04</v>
      </c>
      <c r="J295">
        <v>1584.89</v>
      </c>
      <c r="K295">
        <v>1584.74</v>
      </c>
      <c r="L295">
        <v>1584.59</v>
      </c>
    </row>
    <row r="296" spans="1:12" x14ac:dyDescent="0.15">
      <c r="A296">
        <v>1455</v>
      </c>
      <c r="B296">
        <v>1586.17</v>
      </c>
      <c r="C296">
        <v>1586.02</v>
      </c>
      <c r="D296">
        <v>1585.87</v>
      </c>
      <c r="E296">
        <v>1585.72</v>
      </c>
      <c r="F296">
        <v>1585.57</v>
      </c>
      <c r="G296">
        <v>1585.42</v>
      </c>
      <c r="H296">
        <v>1585.27</v>
      </c>
      <c r="I296">
        <v>1585.12</v>
      </c>
      <c r="J296">
        <v>1584.97</v>
      </c>
      <c r="K296">
        <v>1584.82</v>
      </c>
      <c r="L296">
        <v>1584.67</v>
      </c>
    </row>
    <row r="297" spans="1:12" x14ac:dyDescent="0.15">
      <c r="A297">
        <v>1460</v>
      </c>
      <c r="B297">
        <v>1586.25</v>
      </c>
      <c r="C297">
        <v>1586.1</v>
      </c>
      <c r="D297">
        <v>1585.95</v>
      </c>
      <c r="E297">
        <v>1585.8</v>
      </c>
      <c r="F297">
        <v>1585.65</v>
      </c>
      <c r="G297">
        <v>1585.5</v>
      </c>
      <c r="H297">
        <v>1585.35</v>
      </c>
      <c r="I297">
        <v>1585.2</v>
      </c>
      <c r="J297">
        <v>1585.04</v>
      </c>
      <c r="K297">
        <v>1584.89</v>
      </c>
      <c r="L297">
        <v>1584.74</v>
      </c>
    </row>
    <row r="298" spans="1:12" x14ac:dyDescent="0.15">
      <c r="A298">
        <v>1465</v>
      </c>
      <c r="B298">
        <v>1586.33</v>
      </c>
      <c r="C298">
        <v>1586.18</v>
      </c>
      <c r="D298">
        <v>1586.03</v>
      </c>
      <c r="E298">
        <v>1585.88</v>
      </c>
      <c r="F298">
        <v>1585.72</v>
      </c>
      <c r="G298">
        <v>1585.57</v>
      </c>
      <c r="H298">
        <v>1585.42</v>
      </c>
      <c r="I298">
        <v>1585.27</v>
      </c>
      <c r="J298">
        <v>1585.12</v>
      </c>
      <c r="K298">
        <v>1584.97</v>
      </c>
      <c r="L298">
        <v>1584.82</v>
      </c>
    </row>
    <row r="299" spans="1:12" x14ac:dyDescent="0.15">
      <c r="A299">
        <v>1470</v>
      </c>
      <c r="B299">
        <v>1586.4</v>
      </c>
      <c r="C299">
        <v>1586.25</v>
      </c>
      <c r="D299">
        <v>1586.1</v>
      </c>
      <c r="E299">
        <v>1585.95</v>
      </c>
      <c r="F299">
        <v>1585.8</v>
      </c>
      <c r="G299">
        <v>1585.65</v>
      </c>
      <c r="H299">
        <v>1585.5</v>
      </c>
      <c r="I299">
        <v>1585.35</v>
      </c>
      <c r="J299">
        <v>1585.2</v>
      </c>
      <c r="K299">
        <v>1585.05</v>
      </c>
      <c r="L299">
        <v>1584.9</v>
      </c>
    </row>
    <row r="300" spans="1:12" x14ac:dyDescent="0.15">
      <c r="A300">
        <v>1475</v>
      </c>
      <c r="B300">
        <v>1586.48</v>
      </c>
      <c r="C300">
        <v>1586.33</v>
      </c>
      <c r="D300">
        <v>1586.18</v>
      </c>
      <c r="E300">
        <v>1586.03</v>
      </c>
      <c r="F300">
        <v>1585.88</v>
      </c>
      <c r="G300">
        <v>1585.73</v>
      </c>
      <c r="H300">
        <v>1585.58</v>
      </c>
      <c r="I300">
        <v>1585.43</v>
      </c>
      <c r="J300">
        <v>1585.27</v>
      </c>
      <c r="K300">
        <v>1585.12</v>
      </c>
      <c r="L300">
        <v>1584.97</v>
      </c>
    </row>
    <row r="301" spans="1:12" x14ac:dyDescent="0.15">
      <c r="A301">
        <v>1480</v>
      </c>
      <c r="B301">
        <v>1586.56</v>
      </c>
      <c r="C301">
        <v>1586.41</v>
      </c>
      <c r="D301">
        <v>1586.25</v>
      </c>
      <c r="E301">
        <v>1586.1</v>
      </c>
      <c r="F301">
        <v>1585.95</v>
      </c>
      <c r="G301">
        <v>1585.8</v>
      </c>
      <c r="H301">
        <v>1585.65</v>
      </c>
      <c r="I301">
        <v>1585.5</v>
      </c>
      <c r="J301">
        <v>1585.35</v>
      </c>
      <c r="K301">
        <v>1585.2</v>
      </c>
      <c r="L301">
        <v>1585.05</v>
      </c>
    </row>
    <row r="302" spans="1:12" x14ac:dyDescent="0.15">
      <c r="A302">
        <v>1485</v>
      </c>
      <c r="B302">
        <v>1586.66</v>
      </c>
      <c r="C302">
        <v>1586.48</v>
      </c>
      <c r="D302">
        <v>1586.33</v>
      </c>
      <c r="E302">
        <v>1586.18</v>
      </c>
      <c r="F302">
        <v>1586.03</v>
      </c>
      <c r="G302">
        <v>1585.88</v>
      </c>
      <c r="H302">
        <v>1585.73</v>
      </c>
      <c r="I302">
        <v>1585.58</v>
      </c>
      <c r="J302">
        <v>1585.43</v>
      </c>
      <c r="K302">
        <v>1585.28</v>
      </c>
      <c r="L302">
        <v>1585.12</v>
      </c>
    </row>
    <row r="303" spans="1:12" x14ac:dyDescent="0.15">
      <c r="A303">
        <v>1490</v>
      </c>
      <c r="B303">
        <v>1586.8</v>
      </c>
      <c r="C303">
        <v>1586.56</v>
      </c>
      <c r="D303">
        <v>1586.41</v>
      </c>
      <c r="E303">
        <v>1586.26</v>
      </c>
      <c r="F303">
        <v>1586.11</v>
      </c>
      <c r="G303">
        <v>1585.96</v>
      </c>
      <c r="H303">
        <v>1585.8</v>
      </c>
      <c r="I303">
        <v>1585.65</v>
      </c>
      <c r="J303">
        <v>1585.5</v>
      </c>
      <c r="K303">
        <v>1585.35</v>
      </c>
      <c r="L303">
        <v>1585.2</v>
      </c>
    </row>
    <row r="304" spans="1:12" x14ac:dyDescent="0.15">
      <c r="A304">
        <v>1495</v>
      </c>
      <c r="B304">
        <v>1586.99</v>
      </c>
      <c r="C304">
        <v>1586.66</v>
      </c>
      <c r="D304">
        <v>1586.48</v>
      </c>
      <c r="E304">
        <v>1586.33</v>
      </c>
      <c r="F304">
        <v>1586.18</v>
      </c>
      <c r="G304">
        <v>1586.03</v>
      </c>
      <c r="H304">
        <v>1585.88</v>
      </c>
      <c r="I304">
        <v>1585.73</v>
      </c>
      <c r="J304">
        <v>1585.58</v>
      </c>
      <c r="K304">
        <v>1585.43</v>
      </c>
      <c r="L304">
        <v>1585.28</v>
      </c>
    </row>
    <row r="305" spans="1:12" x14ac:dyDescent="0.15">
      <c r="A305">
        <v>1500</v>
      </c>
      <c r="B305">
        <v>1587.23</v>
      </c>
      <c r="C305">
        <v>1586.8</v>
      </c>
      <c r="D305">
        <v>1586.56</v>
      </c>
      <c r="E305">
        <v>1586.41</v>
      </c>
      <c r="F305">
        <v>1586.26</v>
      </c>
      <c r="G305">
        <v>1586.11</v>
      </c>
      <c r="H305">
        <v>1585.96</v>
      </c>
      <c r="I305">
        <v>1585.81</v>
      </c>
      <c r="J305">
        <v>1585.66</v>
      </c>
      <c r="K305">
        <v>1585.5</v>
      </c>
      <c r="L305">
        <v>1585.35</v>
      </c>
    </row>
    <row r="306" spans="1:12" x14ac:dyDescent="0.15">
      <c r="A306">
        <v>1505</v>
      </c>
      <c r="B306">
        <v>1587.52</v>
      </c>
      <c r="C306">
        <v>1586.99</v>
      </c>
      <c r="D306">
        <v>1586.66</v>
      </c>
      <c r="E306">
        <v>1586.49</v>
      </c>
      <c r="F306">
        <v>1586.33</v>
      </c>
      <c r="G306">
        <v>1586.18</v>
      </c>
      <c r="H306">
        <v>1586.03</v>
      </c>
      <c r="I306">
        <v>1585.88</v>
      </c>
      <c r="J306">
        <v>1585.73</v>
      </c>
      <c r="K306">
        <v>1585.58</v>
      </c>
      <c r="L306">
        <v>1585.43</v>
      </c>
    </row>
    <row r="307" spans="1:12" x14ac:dyDescent="0.15">
      <c r="A307">
        <v>1510</v>
      </c>
      <c r="B307">
        <v>1587.86</v>
      </c>
      <c r="C307">
        <v>1587.23</v>
      </c>
      <c r="D307">
        <v>1586.8</v>
      </c>
      <c r="E307">
        <v>1586.56</v>
      </c>
      <c r="F307">
        <v>1586.41</v>
      </c>
      <c r="G307">
        <v>1586.26</v>
      </c>
      <c r="H307">
        <v>1586.11</v>
      </c>
      <c r="I307">
        <v>1585.96</v>
      </c>
      <c r="J307">
        <v>1585.81</v>
      </c>
      <c r="K307">
        <v>1585.66</v>
      </c>
      <c r="L307">
        <v>1585.51</v>
      </c>
    </row>
    <row r="308" spans="1:12" x14ac:dyDescent="0.15">
      <c r="A308">
        <v>1515</v>
      </c>
      <c r="B308">
        <v>1588.24</v>
      </c>
      <c r="C308">
        <v>1587.52</v>
      </c>
      <c r="D308">
        <v>1587</v>
      </c>
      <c r="E308">
        <v>1586.66</v>
      </c>
      <c r="F308">
        <v>1586.49</v>
      </c>
      <c r="G308">
        <v>1586.34</v>
      </c>
      <c r="H308">
        <v>1586.19</v>
      </c>
      <c r="I308">
        <v>1586.04</v>
      </c>
      <c r="J308">
        <v>1585.88</v>
      </c>
      <c r="K308">
        <v>1585.73</v>
      </c>
      <c r="L308">
        <v>1585.58</v>
      </c>
    </row>
    <row r="309" spans="1:12" x14ac:dyDescent="0.15">
      <c r="A309">
        <v>1520</v>
      </c>
      <c r="B309">
        <v>1588.67</v>
      </c>
      <c r="C309">
        <v>1587.86</v>
      </c>
      <c r="D309">
        <v>1587.24</v>
      </c>
      <c r="E309">
        <v>1586.8</v>
      </c>
      <c r="F309">
        <v>1586.56</v>
      </c>
      <c r="G309">
        <v>1586.41</v>
      </c>
      <c r="H309">
        <v>1586.26</v>
      </c>
      <c r="I309">
        <v>1586.11</v>
      </c>
      <c r="J309">
        <v>1585.96</v>
      </c>
      <c r="K309">
        <v>1585.81</v>
      </c>
      <c r="L309">
        <v>1585.66</v>
      </c>
    </row>
    <row r="310" spans="1:12" x14ac:dyDescent="0.15">
      <c r="A310">
        <v>1525</v>
      </c>
      <c r="B310">
        <v>1589.15</v>
      </c>
      <c r="C310">
        <v>1588.24</v>
      </c>
      <c r="D310">
        <v>1587.52</v>
      </c>
      <c r="E310">
        <v>1587</v>
      </c>
      <c r="F310">
        <v>1586.66</v>
      </c>
      <c r="G310">
        <v>1586.49</v>
      </c>
      <c r="H310">
        <v>1586.34</v>
      </c>
      <c r="I310">
        <v>1586.19</v>
      </c>
      <c r="J310">
        <v>1586.04</v>
      </c>
      <c r="K310">
        <v>1585.89</v>
      </c>
      <c r="L310">
        <v>1585.74</v>
      </c>
    </row>
    <row r="311" spans="1:12" x14ac:dyDescent="0.15">
      <c r="A311">
        <v>1530</v>
      </c>
      <c r="B311">
        <v>1589.68</v>
      </c>
      <c r="C311">
        <v>1588.67</v>
      </c>
      <c r="D311">
        <v>1587.86</v>
      </c>
      <c r="E311">
        <v>1587.24</v>
      </c>
      <c r="F311">
        <v>1586.81</v>
      </c>
      <c r="G311">
        <v>1586.57</v>
      </c>
      <c r="H311">
        <v>1586.42</v>
      </c>
      <c r="I311">
        <v>1586.26</v>
      </c>
      <c r="J311">
        <v>1586.11</v>
      </c>
      <c r="K311">
        <v>1585.96</v>
      </c>
      <c r="L311">
        <v>1585.81</v>
      </c>
    </row>
    <row r="312" spans="1:12" x14ac:dyDescent="0.15">
      <c r="A312">
        <v>1535</v>
      </c>
      <c r="B312">
        <v>1590.25</v>
      </c>
      <c r="C312">
        <v>1589.15</v>
      </c>
      <c r="D312">
        <v>1588.24</v>
      </c>
      <c r="E312">
        <v>1587.53</v>
      </c>
      <c r="F312">
        <v>1587</v>
      </c>
      <c r="G312">
        <v>1586.67</v>
      </c>
      <c r="H312">
        <v>1586.49</v>
      </c>
      <c r="I312">
        <v>1586.34</v>
      </c>
      <c r="J312">
        <v>1586.19</v>
      </c>
      <c r="K312">
        <v>1586.04</v>
      </c>
      <c r="L312">
        <v>1585.89</v>
      </c>
    </row>
    <row r="313" spans="1:12" x14ac:dyDescent="0.15">
      <c r="A313">
        <v>1540</v>
      </c>
      <c r="B313">
        <v>1590.88</v>
      </c>
      <c r="C313">
        <v>1589.68</v>
      </c>
      <c r="D313">
        <v>1588.68</v>
      </c>
      <c r="E313">
        <v>1587.86</v>
      </c>
      <c r="F313">
        <v>1587.25</v>
      </c>
      <c r="G313">
        <v>1586.82</v>
      </c>
      <c r="H313">
        <v>1586.57</v>
      </c>
      <c r="I313">
        <v>1586.42</v>
      </c>
      <c r="J313">
        <v>1586.27</v>
      </c>
      <c r="K313">
        <v>1586.11</v>
      </c>
      <c r="L313">
        <v>1585.96</v>
      </c>
    </row>
    <row r="314" spans="1:12" x14ac:dyDescent="0.15">
      <c r="A314">
        <v>1545</v>
      </c>
      <c r="B314">
        <v>1591.57</v>
      </c>
      <c r="C314">
        <v>1590.25</v>
      </c>
      <c r="D314">
        <v>1589.15</v>
      </c>
      <c r="E314">
        <v>1588.25</v>
      </c>
      <c r="F314">
        <v>1587.53</v>
      </c>
      <c r="G314">
        <v>1587.01</v>
      </c>
      <c r="H314">
        <v>1586.68</v>
      </c>
      <c r="I314">
        <v>1586.49</v>
      </c>
      <c r="J314">
        <v>1586.34</v>
      </c>
      <c r="K314">
        <v>1586.19</v>
      </c>
      <c r="L314">
        <v>1586.04</v>
      </c>
    </row>
    <row r="315" spans="1:12" x14ac:dyDescent="0.15">
      <c r="A315">
        <v>1550</v>
      </c>
      <c r="B315">
        <v>1592.31</v>
      </c>
      <c r="C315">
        <v>1590.88</v>
      </c>
      <c r="D315">
        <v>1589.68</v>
      </c>
      <c r="E315">
        <v>1588.68</v>
      </c>
      <c r="F315">
        <v>1587.87</v>
      </c>
      <c r="G315">
        <v>1587.25</v>
      </c>
      <c r="H315">
        <v>1586.82</v>
      </c>
      <c r="I315">
        <v>1586.58</v>
      </c>
      <c r="J315">
        <v>1586.42</v>
      </c>
      <c r="K315">
        <v>1586.27</v>
      </c>
      <c r="L315">
        <v>1586.12</v>
      </c>
    </row>
    <row r="316" spans="1:12" x14ac:dyDescent="0.15">
      <c r="A316">
        <v>1555</v>
      </c>
      <c r="B316">
        <v>1593.1</v>
      </c>
      <c r="C316">
        <v>1591.57</v>
      </c>
      <c r="D316">
        <v>1590.26</v>
      </c>
      <c r="E316">
        <v>1589.16</v>
      </c>
      <c r="F316">
        <v>1588.25</v>
      </c>
      <c r="G316">
        <v>1587.54</v>
      </c>
      <c r="H316">
        <v>1587.01</v>
      </c>
      <c r="I316">
        <v>1586.68</v>
      </c>
      <c r="J316">
        <v>1586.49</v>
      </c>
      <c r="K316">
        <v>1586.34</v>
      </c>
      <c r="L316">
        <v>1586.19</v>
      </c>
    </row>
    <row r="317" spans="1:12" x14ac:dyDescent="0.15">
      <c r="A317">
        <v>1560</v>
      </c>
      <c r="B317">
        <v>1593.95</v>
      </c>
      <c r="C317">
        <v>1592.31</v>
      </c>
      <c r="D317">
        <v>1590.89</v>
      </c>
      <c r="E317">
        <v>1589.68</v>
      </c>
      <c r="F317">
        <v>1588.68</v>
      </c>
      <c r="G317">
        <v>1587.87</v>
      </c>
      <c r="H317">
        <v>1587.25</v>
      </c>
      <c r="I317">
        <v>1586.83</v>
      </c>
      <c r="J317">
        <v>1586.58</v>
      </c>
      <c r="K317">
        <v>1586.42</v>
      </c>
      <c r="L317">
        <v>1586.27</v>
      </c>
    </row>
    <row r="318" spans="1:12" x14ac:dyDescent="0.15">
      <c r="A318">
        <v>1565</v>
      </c>
      <c r="B318">
        <v>1594.86</v>
      </c>
      <c r="C318">
        <v>1593.1</v>
      </c>
      <c r="D318">
        <v>1591.57</v>
      </c>
      <c r="E318">
        <v>1590.26</v>
      </c>
      <c r="F318">
        <v>1589.16</v>
      </c>
      <c r="G318">
        <v>1588.26</v>
      </c>
      <c r="H318">
        <v>1587.54</v>
      </c>
      <c r="I318">
        <v>1587.02</v>
      </c>
      <c r="J318">
        <v>1586.69</v>
      </c>
      <c r="K318">
        <v>1586.5</v>
      </c>
      <c r="L318">
        <v>1586.35</v>
      </c>
    </row>
    <row r="319" spans="1:12" x14ac:dyDescent="0.15">
      <c r="A319">
        <v>1570</v>
      </c>
      <c r="B319">
        <v>1595.82</v>
      </c>
      <c r="C319">
        <v>1593.95</v>
      </c>
      <c r="D319">
        <v>1592.31</v>
      </c>
      <c r="E319">
        <v>1590.89</v>
      </c>
      <c r="F319">
        <v>1589.69</v>
      </c>
      <c r="G319">
        <v>1588.69</v>
      </c>
      <c r="H319">
        <v>1587.88</v>
      </c>
      <c r="I319">
        <v>1587.26</v>
      </c>
      <c r="J319">
        <v>1586.83</v>
      </c>
      <c r="K319">
        <v>1586.59</v>
      </c>
      <c r="L319">
        <v>1586.42</v>
      </c>
    </row>
    <row r="320" spans="1:12" x14ac:dyDescent="0.15">
      <c r="A320">
        <v>1575</v>
      </c>
      <c r="B320">
        <v>1596.83</v>
      </c>
      <c r="C320">
        <v>1594.86</v>
      </c>
      <c r="D320">
        <v>1593.11</v>
      </c>
      <c r="E320">
        <v>1591.58</v>
      </c>
      <c r="F320">
        <v>1590.27</v>
      </c>
      <c r="G320">
        <v>1589.17</v>
      </c>
      <c r="H320">
        <v>1588.26</v>
      </c>
      <c r="I320">
        <v>1587.55</v>
      </c>
      <c r="J320">
        <v>1587.03</v>
      </c>
      <c r="K320">
        <v>1586.7</v>
      </c>
      <c r="L320">
        <v>1586.5</v>
      </c>
    </row>
    <row r="321" spans="1:12" x14ac:dyDescent="0.15">
      <c r="A321">
        <v>1580</v>
      </c>
      <c r="B321">
        <v>1597.9</v>
      </c>
      <c r="C321">
        <v>1595.82</v>
      </c>
      <c r="D321">
        <v>1593.96</v>
      </c>
      <c r="E321">
        <v>1592.32</v>
      </c>
      <c r="F321">
        <v>1590.9</v>
      </c>
      <c r="G321">
        <v>1589.7</v>
      </c>
      <c r="H321">
        <v>1588.7</v>
      </c>
      <c r="I321">
        <v>1587.89</v>
      </c>
      <c r="J321">
        <v>1587.27</v>
      </c>
      <c r="K321">
        <v>1586.85</v>
      </c>
      <c r="L321">
        <v>1586.6</v>
      </c>
    </row>
    <row r="322" spans="1:12" x14ac:dyDescent="0.15">
      <c r="A322">
        <v>1585</v>
      </c>
      <c r="B322">
        <v>1599.02</v>
      </c>
      <c r="C322">
        <v>1596.83</v>
      </c>
      <c r="D322">
        <v>1594.86</v>
      </c>
      <c r="E322">
        <v>1593.11</v>
      </c>
      <c r="F322">
        <v>1591.58</v>
      </c>
      <c r="G322">
        <v>1590.27</v>
      </c>
      <c r="H322">
        <v>1589.18</v>
      </c>
      <c r="I322">
        <v>1588.27</v>
      </c>
      <c r="J322">
        <v>1587.56</v>
      </c>
      <c r="K322">
        <v>1587.04</v>
      </c>
      <c r="L322">
        <v>1586.71</v>
      </c>
    </row>
    <row r="323" spans="1:12" x14ac:dyDescent="0.15">
      <c r="A323">
        <v>1590</v>
      </c>
      <c r="B323">
        <v>1600.2</v>
      </c>
      <c r="C323">
        <v>1597.9</v>
      </c>
      <c r="D323">
        <v>1595.82</v>
      </c>
      <c r="E323">
        <v>1593.96</v>
      </c>
      <c r="F323">
        <v>1592.32</v>
      </c>
      <c r="G323">
        <v>1590.9</v>
      </c>
      <c r="H323">
        <v>1589.7</v>
      </c>
      <c r="I323">
        <v>1588.7</v>
      </c>
      <c r="J323">
        <v>1587.9</v>
      </c>
      <c r="K323">
        <v>1587.28</v>
      </c>
      <c r="L323">
        <v>1586.86</v>
      </c>
    </row>
    <row r="324" spans="1:12" x14ac:dyDescent="0.15">
      <c r="A324">
        <v>1595</v>
      </c>
      <c r="B324">
        <v>1601.44</v>
      </c>
      <c r="C324">
        <v>1599.03</v>
      </c>
      <c r="D324">
        <v>1596.84</v>
      </c>
      <c r="E324">
        <v>1594.87</v>
      </c>
      <c r="F324">
        <v>1593.12</v>
      </c>
      <c r="G324">
        <v>1591.59</v>
      </c>
      <c r="H324">
        <v>1590.28</v>
      </c>
      <c r="I324">
        <v>1589.18</v>
      </c>
      <c r="J324">
        <v>1588.28</v>
      </c>
      <c r="K324">
        <v>1587.57</v>
      </c>
      <c r="L324">
        <v>1587.05</v>
      </c>
    </row>
    <row r="325" spans="1:12" x14ac:dyDescent="0.15">
      <c r="A325">
        <v>1600</v>
      </c>
      <c r="B325">
        <v>1602.73</v>
      </c>
      <c r="C325">
        <v>1600.21</v>
      </c>
      <c r="D325">
        <v>1597.91</v>
      </c>
      <c r="E325">
        <v>1595.83</v>
      </c>
      <c r="F325">
        <v>1593.97</v>
      </c>
      <c r="G325">
        <v>1592.33</v>
      </c>
      <c r="H325">
        <v>1590.91</v>
      </c>
      <c r="I325">
        <v>1589.71</v>
      </c>
      <c r="J325">
        <v>1588.71</v>
      </c>
      <c r="K325">
        <v>1587.91</v>
      </c>
      <c r="L325">
        <v>1587.29</v>
      </c>
    </row>
    <row r="326" spans="1:12" x14ac:dyDescent="0.15">
      <c r="A326">
        <v>1605</v>
      </c>
      <c r="B326">
        <v>1604.07</v>
      </c>
      <c r="C326">
        <v>1601.44</v>
      </c>
      <c r="D326">
        <v>1599.03</v>
      </c>
      <c r="E326">
        <v>1596.84</v>
      </c>
      <c r="F326">
        <v>1594.88</v>
      </c>
      <c r="G326">
        <v>1593.13</v>
      </c>
      <c r="H326">
        <v>1591.6</v>
      </c>
      <c r="I326">
        <v>1590.29</v>
      </c>
      <c r="J326">
        <v>1589.19</v>
      </c>
      <c r="K326">
        <v>1588.29</v>
      </c>
      <c r="L326">
        <v>1587.58</v>
      </c>
    </row>
    <row r="327" spans="1:12" x14ac:dyDescent="0.15">
      <c r="A327">
        <v>1610</v>
      </c>
      <c r="B327">
        <v>1605.47</v>
      </c>
      <c r="C327">
        <v>1602.73</v>
      </c>
      <c r="D327">
        <v>1600.21</v>
      </c>
      <c r="E327">
        <v>1597.91</v>
      </c>
      <c r="F327">
        <v>1595.84</v>
      </c>
      <c r="G327">
        <v>1593.98</v>
      </c>
      <c r="H327">
        <v>1592.34</v>
      </c>
      <c r="I327">
        <v>1590.92</v>
      </c>
      <c r="J327">
        <v>1589.72</v>
      </c>
      <c r="K327">
        <v>1588.72</v>
      </c>
      <c r="L327">
        <v>1587.92</v>
      </c>
    </row>
    <row r="328" spans="1:12" x14ac:dyDescent="0.15">
      <c r="A328">
        <v>1615</v>
      </c>
      <c r="B328">
        <v>1606.93</v>
      </c>
      <c r="C328">
        <v>1604.08</v>
      </c>
      <c r="D328">
        <v>1601.45</v>
      </c>
      <c r="E328">
        <v>1599.04</v>
      </c>
      <c r="F328">
        <v>1596.85</v>
      </c>
      <c r="G328">
        <v>1594.88</v>
      </c>
      <c r="H328">
        <v>1593.14</v>
      </c>
      <c r="I328">
        <v>1591.61</v>
      </c>
      <c r="J328">
        <v>1590.3</v>
      </c>
      <c r="K328">
        <v>1589.2</v>
      </c>
      <c r="L328">
        <v>1588.3</v>
      </c>
    </row>
    <row r="329" spans="1:12" x14ac:dyDescent="0.15">
      <c r="A329">
        <v>1620</v>
      </c>
      <c r="B329">
        <v>1608.44</v>
      </c>
      <c r="C329">
        <v>1605.48</v>
      </c>
      <c r="D329">
        <v>1602.74</v>
      </c>
      <c r="E329">
        <v>1600.22</v>
      </c>
      <c r="F329">
        <v>1597.92</v>
      </c>
      <c r="G329">
        <v>1595.84</v>
      </c>
      <c r="H329">
        <v>1593.99</v>
      </c>
      <c r="I329">
        <v>1592.35</v>
      </c>
      <c r="J329">
        <v>1590.93</v>
      </c>
      <c r="K329">
        <v>1589.73</v>
      </c>
      <c r="L329">
        <v>1588.73</v>
      </c>
    </row>
    <row r="330" spans="1:12" x14ac:dyDescent="0.15">
      <c r="A330">
        <v>1625</v>
      </c>
      <c r="B330">
        <v>1610</v>
      </c>
      <c r="C330">
        <v>1606.93</v>
      </c>
      <c r="D330">
        <v>1604.08</v>
      </c>
      <c r="E330">
        <v>1601.46</v>
      </c>
      <c r="F330">
        <v>1599.05</v>
      </c>
      <c r="G330">
        <v>1596.86</v>
      </c>
      <c r="H330">
        <v>1594.89</v>
      </c>
      <c r="I330">
        <v>1593.15</v>
      </c>
      <c r="J330">
        <v>1591.62</v>
      </c>
      <c r="K330">
        <v>1590.31</v>
      </c>
      <c r="L330">
        <v>1589.21</v>
      </c>
    </row>
    <row r="331" spans="1:12" x14ac:dyDescent="0.15">
      <c r="A331">
        <v>1630</v>
      </c>
      <c r="B331">
        <v>1611.62</v>
      </c>
      <c r="C331">
        <v>1608.44</v>
      </c>
      <c r="D331">
        <v>1605.49</v>
      </c>
      <c r="E331">
        <v>1602.75</v>
      </c>
      <c r="F331">
        <v>1600.23</v>
      </c>
      <c r="G331">
        <v>1597.93</v>
      </c>
      <c r="H331">
        <v>1595.85</v>
      </c>
      <c r="I331">
        <v>1594</v>
      </c>
      <c r="J331">
        <v>1592.36</v>
      </c>
      <c r="K331">
        <v>1590.95</v>
      </c>
      <c r="L331">
        <v>1589.75</v>
      </c>
    </row>
    <row r="332" spans="1:12" x14ac:dyDescent="0.15">
      <c r="A332">
        <v>1635</v>
      </c>
      <c r="B332">
        <v>1613.3</v>
      </c>
      <c r="C332">
        <v>1610.01</v>
      </c>
      <c r="D332">
        <v>1606.94</v>
      </c>
      <c r="E332">
        <v>1604.09</v>
      </c>
      <c r="F332">
        <v>1601.46</v>
      </c>
      <c r="G332">
        <v>1599.06</v>
      </c>
      <c r="H332">
        <v>1596.87</v>
      </c>
      <c r="I332">
        <v>1594.9</v>
      </c>
      <c r="J332">
        <v>1593.16</v>
      </c>
      <c r="K332">
        <v>1591.63</v>
      </c>
      <c r="L332">
        <v>1590.33</v>
      </c>
    </row>
    <row r="333" spans="1:12" x14ac:dyDescent="0.15">
      <c r="A333">
        <v>1640</v>
      </c>
      <c r="B333">
        <v>1615.03</v>
      </c>
      <c r="C333">
        <v>1611.63</v>
      </c>
      <c r="D333">
        <v>1608.45</v>
      </c>
      <c r="E333">
        <v>1605.49</v>
      </c>
      <c r="F333">
        <v>1602.76</v>
      </c>
      <c r="G333">
        <v>1600.24</v>
      </c>
      <c r="H333">
        <v>1597.94</v>
      </c>
      <c r="I333">
        <v>1595.87</v>
      </c>
      <c r="J333">
        <v>1594.01</v>
      </c>
      <c r="K333">
        <v>1592.38</v>
      </c>
      <c r="L333">
        <v>1590.96</v>
      </c>
    </row>
    <row r="334" spans="1:12" x14ac:dyDescent="0.15">
      <c r="A334">
        <v>1645</v>
      </c>
      <c r="B334">
        <v>1616.82</v>
      </c>
      <c r="C334">
        <v>1613.3</v>
      </c>
      <c r="D334">
        <v>1610.02</v>
      </c>
      <c r="E334">
        <v>1606.95</v>
      </c>
      <c r="F334">
        <v>1604.1</v>
      </c>
      <c r="G334">
        <v>1601.47</v>
      </c>
      <c r="H334">
        <v>1599.07</v>
      </c>
      <c r="I334">
        <v>1596.88</v>
      </c>
      <c r="J334">
        <v>1594.92</v>
      </c>
      <c r="K334">
        <v>1593.17</v>
      </c>
      <c r="L334">
        <v>1591.65</v>
      </c>
    </row>
    <row r="335" spans="1:12" x14ac:dyDescent="0.15">
      <c r="A335">
        <v>1650</v>
      </c>
      <c r="B335">
        <v>1618.66</v>
      </c>
      <c r="C335">
        <v>1615.04</v>
      </c>
      <c r="D335">
        <v>1611.64</v>
      </c>
      <c r="E335">
        <v>1608.46</v>
      </c>
      <c r="F335">
        <v>1605.5</v>
      </c>
      <c r="G335">
        <v>1602.77</v>
      </c>
      <c r="H335">
        <v>1600.25</v>
      </c>
      <c r="I335">
        <v>1597.95</v>
      </c>
      <c r="J335">
        <v>1595.88</v>
      </c>
      <c r="K335">
        <v>1594.02</v>
      </c>
      <c r="L335">
        <v>1592.39</v>
      </c>
    </row>
    <row r="336" spans="1:12" x14ac:dyDescent="0.15">
      <c r="A336">
        <v>1655</v>
      </c>
      <c r="B336">
        <v>1620.55</v>
      </c>
      <c r="C336">
        <v>1616.82</v>
      </c>
      <c r="D336">
        <v>1613.31</v>
      </c>
      <c r="E336">
        <v>1610.03</v>
      </c>
      <c r="F336">
        <v>1606.96</v>
      </c>
      <c r="G336">
        <v>1604.11</v>
      </c>
      <c r="H336">
        <v>1601.49</v>
      </c>
      <c r="I336">
        <v>1599.08</v>
      </c>
      <c r="J336">
        <v>1596.9</v>
      </c>
      <c r="K336">
        <v>1594.93</v>
      </c>
      <c r="L336">
        <v>1593.19</v>
      </c>
    </row>
    <row r="337" spans="1:12" x14ac:dyDescent="0.15">
      <c r="A337">
        <v>1660</v>
      </c>
      <c r="B337">
        <v>1622.5</v>
      </c>
      <c r="C337">
        <v>1618.66</v>
      </c>
      <c r="D337">
        <v>1615.04</v>
      </c>
      <c r="E337">
        <v>1611.65</v>
      </c>
      <c r="F337">
        <v>1608.47</v>
      </c>
      <c r="G337">
        <v>1605.51</v>
      </c>
      <c r="H337">
        <v>1602.78</v>
      </c>
      <c r="I337">
        <v>1600.26</v>
      </c>
      <c r="J337">
        <v>1597.97</v>
      </c>
      <c r="K337">
        <v>1595.89</v>
      </c>
      <c r="L337">
        <v>1594.04</v>
      </c>
    </row>
    <row r="338" spans="1:12" x14ac:dyDescent="0.15">
      <c r="A338">
        <v>1665</v>
      </c>
      <c r="B338">
        <v>1624.51</v>
      </c>
      <c r="C338">
        <v>1620.56</v>
      </c>
      <c r="D338">
        <v>1616.83</v>
      </c>
      <c r="E338">
        <v>1613.32</v>
      </c>
      <c r="F338">
        <v>1610.04</v>
      </c>
      <c r="G338">
        <v>1606.97</v>
      </c>
      <c r="H338">
        <v>1604.12</v>
      </c>
      <c r="I338">
        <v>1601.5</v>
      </c>
      <c r="J338">
        <v>1599.09</v>
      </c>
      <c r="K338">
        <v>1596.91</v>
      </c>
      <c r="L338">
        <v>1594.95</v>
      </c>
    </row>
    <row r="339" spans="1:12" x14ac:dyDescent="0.15">
      <c r="A339">
        <v>1670</v>
      </c>
      <c r="B339">
        <v>1626.57</v>
      </c>
      <c r="C339">
        <v>1622.51</v>
      </c>
      <c r="D339">
        <v>1618.67</v>
      </c>
      <c r="E339">
        <v>1615.05</v>
      </c>
      <c r="F339">
        <v>1611.66</v>
      </c>
      <c r="G339">
        <v>1608.48</v>
      </c>
      <c r="H339">
        <v>1605.53</v>
      </c>
      <c r="I339">
        <v>1602.79</v>
      </c>
      <c r="J339">
        <v>1600.28</v>
      </c>
      <c r="K339">
        <v>1597.98</v>
      </c>
      <c r="L339">
        <v>1595.91</v>
      </c>
    </row>
    <row r="340" spans="1:12" x14ac:dyDescent="0.15">
      <c r="A340">
        <v>1675</v>
      </c>
      <c r="B340">
        <v>1628.68</v>
      </c>
      <c r="C340">
        <v>1624.51</v>
      </c>
      <c r="D340">
        <v>1620.57</v>
      </c>
      <c r="E340">
        <v>1616.84</v>
      </c>
      <c r="F340">
        <v>1613.33</v>
      </c>
      <c r="G340">
        <v>1610.05</v>
      </c>
      <c r="H340">
        <v>1606.98</v>
      </c>
      <c r="I340">
        <v>1604.14</v>
      </c>
      <c r="J340">
        <v>1601.51</v>
      </c>
      <c r="K340">
        <v>1599.11</v>
      </c>
      <c r="L340">
        <v>1596.93</v>
      </c>
    </row>
    <row r="341" spans="1:12" x14ac:dyDescent="0.15">
      <c r="A341">
        <v>1680</v>
      </c>
      <c r="B341">
        <v>1630.85</v>
      </c>
      <c r="C341">
        <v>1626.57</v>
      </c>
      <c r="D341">
        <v>1622.52</v>
      </c>
      <c r="E341">
        <v>1618.68</v>
      </c>
      <c r="F341">
        <v>1615.07</v>
      </c>
      <c r="G341">
        <v>1611.67</v>
      </c>
      <c r="H341">
        <v>1608.49</v>
      </c>
      <c r="I341">
        <v>1605.54</v>
      </c>
      <c r="J341">
        <v>1602.81</v>
      </c>
      <c r="K341">
        <v>1600.29</v>
      </c>
      <c r="L341">
        <v>1598</v>
      </c>
    </row>
    <row r="342" spans="1:12" x14ac:dyDescent="0.15">
      <c r="A342">
        <v>1685</v>
      </c>
      <c r="B342">
        <v>1633.08</v>
      </c>
      <c r="C342">
        <v>1628.69</v>
      </c>
      <c r="D342">
        <v>1624.52</v>
      </c>
      <c r="E342">
        <v>1620.58</v>
      </c>
      <c r="F342">
        <v>1616.85</v>
      </c>
      <c r="G342">
        <v>1613.35</v>
      </c>
      <c r="H342">
        <v>1610.06</v>
      </c>
      <c r="I342">
        <v>1607</v>
      </c>
      <c r="J342">
        <v>1604.15</v>
      </c>
      <c r="K342">
        <v>1601.53</v>
      </c>
      <c r="L342">
        <v>1599.13</v>
      </c>
    </row>
    <row r="343" spans="1:12" x14ac:dyDescent="0.15">
      <c r="A343">
        <v>1690</v>
      </c>
      <c r="B343">
        <v>1635.36</v>
      </c>
      <c r="C343">
        <v>1630.86</v>
      </c>
      <c r="D343">
        <v>1626.58</v>
      </c>
      <c r="E343">
        <v>1622.53</v>
      </c>
      <c r="F343">
        <v>1618.69</v>
      </c>
      <c r="G343">
        <v>1615.08</v>
      </c>
      <c r="H343">
        <v>1611.68</v>
      </c>
      <c r="I343">
        <v>1608.51</v>
      </c>
      <c r="J343">
        <v>1605.56</v>
      </c>
      <c r="K343">
        <v>1602.82</v>
      </c>
      <c r="L343">
        <v>1600.31</v>
      </c>
    </row>
    <row r="344" spans="1:12" x14ac:dyDescent="0.15">
      <c r="A344">
        <v>1695</v>
      </c>
      <c r="B344">
        <v>1637.7</v>
      </c>
      <c r="C344">
        <v>1633.09</v>
      </c>
      <c r="D344">
        <v>1628.7</v>
      </c>
      <c r="E344">
        <v>1624.54</v>
      </c>
      <c r="F344">
        <v>1620.59</v>
      </c>
      <c r="G344">
        <v>1616.86</v>
      </c>
      <c r="H344">
        <v>1613.36</v>
      </c>
      <c r="I344">
        <v>1610.08</v>
      </c>
      <c r="J344">
        <v>1607.01</v>
      </c>
      <c r="K344">
        <v>1604.17</v>
      </c>
      <c r="L344">
        <v>1601.55</v>
      </c>
    </row>
    <row r="345" spans="1:12" x14ac:dyDescent="0.15">
      <c r="A345">
        <v>1700</v>
      </c>
      <c r="B345">
        <v>1640.09</v>
      </c>
      <c r="C345">
        <v>1635.37</v>
      </c>
      <c r="D345">
        <v>1630.87</v>
      </c>
      <c r="E345">
        <v>1626.6</v>
      </c>
      <c r="F345">
        <v>1622.54</v>
      </c>
      <c r="G345">
        <v>1618.71</v>
      </c>
      <c r="H345">
        <v>1615.09</v>
      </c>
      <c r="I345">
        <v>1611.7</v>
      </c>
      <c r="J345">
        <v>1608.53</v>
      </c>
      <c r="K345">
        <v>1605.57</v>
      </c>
      <c r="L345">
        <v>1602.84</v>
      </c>
    </row>
    <row r="346" spans="1:12" x14ac:dyDescent="0.15">
      <c r="A346">
        <v>1705</v>
      </c>
      <c r="B346">
        <v>1642.53</v>
      </c>
      <c r="C346">
        <v>1637.7</v>
      </c>
      <c r="D346">
        <v>1633.1</v>
      </c>
      <c r="E346">
        <v>1628.71</v>
      </c>
      <c r="F346">
        <v>1624.55</v>
      </c>
      <c r="G346">
        <v>1620.6</v>
      </c>
      <c r="H346">
        <v>1616.88</v>
      </c>
      <c r="I346">
        <v>1613.38</v>
      </c>
      <c r="J346">
        <v>1610.09</v>
      </c>
      <c r="K346">
        <v>1607.03</v>
      </c>
      <c r="L346">
        <v>1604.19</v>
      </c>
    </row>
    <row r="347" spans="1:12" x14ac:dyDescent="0.15">
      <c r="A347">
        <v>1710</v>
      </c>
      <c r="B347">
        <v>1645.03</v>
      </c>
      <c r="C347">
        <v>1640.1</v>
      </c>
      <c r="D347">
        <v>1635.38</v>
      </c>
      <c r="E347">
        <v>1630.88</v>
      </c>
      <c r="F347">
        <v>1626.61</v>
      </c>
      <c r="G347">
        <v>1622.55</v>
      </c>
      <c r="H347">
        <v>1618.72</v>
      </c>
      <c r="I347">
        <v>1615.11</v>
      </c>
      <c r="J347">
        <v>1611.71</v>
      </c>
      <c r="K347">
        <v>1608.54</v>
      </c>
      <c r="L347">
        <v>1605.59</v>
      </c>
    </row>
    <row r="348" spans="1:12" x14ac:dyDescent="0.15">
      <c r="A348">
        <v>1715</v>
      </c>
      <c r="B348">
        <v>1647.59</v>
      </c>
      <c r="C348">
        <v>1642.54</v>
      </c>
      <c r="D348">
        <v>1637.72</v>
      </c>
      <c r="E348">
        <v>1633.11</v>
      </c>
      <c r="F348">
        <v>1628.73</v>
      </c>
      <c r="G348">
        <v>1624.56</v>
      </c>
      <c r="H348">
        <v>1620.62</v>
      </c>
      <c r="I348">
        <v>1616.89</v>
      </c>
      <c r="J348">
        <v>1613.39</v>
      </c>
      <c r="K348">
        <v>1610.11</v>
      </c>
      <c r="L348">
        <v>1607.05</v>
      </c>
    </row>
    <row r="349" spans="1:12" x14ac:dyDescent="0.15">
      <c r="A349">
        <v>1720</v>
      </c>
      <c r="B349">
        <v>1650.2</v>
      </c>
      <c r="C349">
        <v>1645.04</v>
      </c>
      <c r="D349">
        <v>1640.11</v>
      </c>
      <c r="E349">
        <v>1635.39</v>
      </c>
      <c r="F349">
        <v>1630.9</v>
      </c>
      <c r="G349">
        <v>1626.62</v>
      </c>
      <c r="H349">
        <v>1622.57</v>
      </c>
      <c r="I349">
        <v>1618.74</v>
      </c>
      <c r="J349">
        <v>1615.12</v>
      </c>
      <c r="K349">
        <v>1611.73</v>
      </c>
      <c r="L349">
        <v>1608.56</v>
      </c>
    </row>
    <row r="350" spans="1:12" x14ac:dyDescent="0.15">
      <c r="A350">
        <v>1725</v>
      </c>
      <c r="B350">
        <v>1652.87</v>
      </c>
      <c r="C350">
        <v>1647.6</v>
      </c>
      <c r="D350">
        <v>1642.55</v>
      </c>
      <c r="E350">
        <v>1637.73</v>
      </c>
      <c r="F350">
        <v>1633.12</v>
      </c>
      <c r="G350">
        <v>1628.74</v>
      </c>
      <c r="H350">
        <v>1624.58</v>
      </c>
      <c r="I350">
        <v>1620.63</v>
      </c>
      <c r="J350">
        <v>1616.91</v>
      </c>
      <c r="K350">
        <v>1613.41</v>
      </c>
      <c r="L350">
        <v>1610.13</v>
      </c>
    </row>
    <row r="351" spans="1:12" x14ac:dyDescent="0.15">
      <c r="A351">
        <v>1730</v>
      </c>
      <c r="B351">
        <v>1655.59</v>
      </c>
      <c r="C351">
        <v>1650.21</v>
      </c>
      <c r="D351">
        <v>1645.05</v>
      </c>
      <c r="E351">
        <v>1640.12</v>
      </c>
      <c r="F351">
        <v>1635.41</v>
      </c>
      <c r="G351">
        <v>1630.91</v>
      </c>
      <c r="H351">
        <v>1626.64</v>
      </c>
      <c r="I351">
        <v>1622.59</v>
      </c>
      <c r="J351">
        <v>1618.75</v>
      </c>
      <c r="K351">
        <v>1615.14</v>
      </c>
      <c r="L351">
        <v>1611.75</v>
      </c>
    </row>
    <row r="352" spans="1:12" x14ac:dyDescent="0.15">
      <c r="A352">
        <v>1735</v>
      </c>
      <c r="B352">
        <v>1658.36</v>
      </c>
      <c r="C352">
        <v>1652.88</v>
      </c>
      <c r="D352">
        <v>1647.61</v>
      </c>
      <c r="E352">
        <v>1642.57</v>
      </c>
      <c r="F352">
        <v>1637.74</v>
      </c>
      <c r="G352">
        <v>1633.14</v>
      </c>
      <c r="H352">
        <v>1628.76</v>
      </c>
      <c r="I352">
        <v>1624.59</v>
      </c>
      <c r="J352">
        <v>1620.65</v>
      </c>
      <c r="K352">
        <v>1616.93</v>
      </c>
      <c r="L352">
        <v>1613.43</v>
      </c>
    </row>
    <row r="353" spans="1:12" x14ac:dyDescent="0.15">
      <c r="A353">
        <v>1740</v>
      </c>
      <c r="B353">
        <v>1661.19</v>
      </c>
      <c r="C353">
        <v>1655.6</v>
      </c>
      <c r="D353">
        <v>1650.22</v>
      </c>
      <c r="E353">
        <v>1645.07</v>
      </c>
      <c r="F353">
        <v>1640.13</v>
      </c>
      <c r="G353">
        <v>1635.42</v>
      </c>
      <c r="H353">
        <v>1630.93</v>
      </c>
      <c r="I353">
        <v>1626.66</v>
      </c>
      <c r="J353">
        <v>1622.6</v>
      </c>
      <c r="K353">
        <v>1618.77</v>
      </c>
      <c r="L353">
        <v>1615.16</v>
      </c>
    </row>
    <row r="354" spans="1:12" x14ac:dyDescent="0.15">
      <c r="A354">
        <v>1745</v>
      </c>
      <c r="B354">
        <v>1664.08</v>
      </c>
      <c r="C354">
        <v>1658.37</v>
      </c>
      <c r="D354">
        <v>1652.89</v>
      </c>
      <c r="E354">
        <v>1647.63</v>
      </c>
      <c r="F354">
        <v>1642.58</v>
      </c>
      <c r="G354">
        <v>1637.76</v>
      </c>
      <c r="H354">
        <v>1633.16</v>
      </c>
      <c r="I354">
        <v>1628.77</v>
      </c>
      <c r="J354">
        <v>1624.61</v>
      </c>
      <c r="K354">
        <v>1620.67</v>
      </c>
      <c r="L354">
        <v>1616.95</v>
      </c>
    </row>
    <row r="355" spans="1:12" x14ac:dyDescent="0.15">
      <c r="A355">
        <v>1750</v>
      </c>
      <c r="B355">
        <v>1667.02</v>
      </c>
      <c r="C355">
        <v>1661.21</v>
      </c>
      <c r="D355">
        <v>1655.61</v>
      </c>
      <c r="E355">
        <v>1650.24</v>
      </c>
      <c r="F355">
        <v>1645.08</v>
      </c>
      <c r="G355">
        <v>1640.15</v>
      </c>
      <c r="H355">
        <v>1635.44</v>
      </c>
      <c r="I355">
        <v>1630.95</v>
      </c>
      <c r="J355">
        <v>1626.67</v>
      </c>
      <c r="K355">
        <v>1622.62</v>
      </c>
      <c r="L355">
        <v>1618.79</v>
      </c>
    </row>
    <row r="356" spans="1:12" x14ac:dyDescent="0.15">
      <c r="A356">
        <v>1755</v>
      </c>
      <c r="B356">
        <v>1670.02</v>
      </c>
      <c r="C356">
        <v>1664.09</v>
      </c>
      <c r="D356">
        <v>1658.39</v>
      </c>
      <c r="E356">
        <v>1652.9</v>
      </c>
      <c r="F356">
        <v>1647.64</v>
      </c>
      <c r="G356">
        <v>1642.6</v>
      </c>
      <c r="H356">
        <v>1637.78</v>
      </c>
      <c r="I356">
        <v>1633.17</v>
      </c>
      <c r="J356">
        <v>1628.79</v>
      </c>
      <c r="K356">
        <v>1624.63</v>
      </c>
      <c r="L356">
        <v>1620.69</v>
      </c>
    </row>
    <row r="357" spans="1:12" x14ac:dyDescent="0.15">
      <c r="A357">
        <v>1760</v>
      </c>
      <c r="B357">
        <v>1673.07</v>
      </c>
      <c r="C357">
        <v>1667.03</v>
      </c>
      <c r="D357">
        <v>1661.22</v>
      </c>
      <c r="E357">
        <v>1655.63</v>
      </c>
      <c r="F357">
        <v>1650.25</v>
      </c>
      <c r="G357">
        <v>1645.1</v>
      </c>
      <c r="H357">
        <v>1640.17</v>
      </c>
      <c r="I357">
        <v>1635.46</v>
      </c>
      <c r="J357">
        <v>1630.97</v>
      </c>
      <c r="K357">
        <v>1626.7</v>
      </c>
      <c r="L357">
        <v>1622.65</v>
      </c>
    </row>
    <row r="358" spans="1:12" x14ac:dyDescent="0.15">
      <c r="A358">
        <v>1765</v>
      </c>
      <c r="B358">
        <v>1676.18</v>
      </c>
      <c r="C358">
        <v>1670.03</v>
      </c>
      <c r="D358">
        <v>1664.11</v>
      </c>
      <c r="E358">
        <v>1658.4</v>
      </c>
      <c r="F358">
        <v>1652.92</v>
      </c>
      <c r="G358">
        <v>1647.66</v>
      </c>
      <c r="H358">
        <v>1642.62</v>
      </c>
      <c r="I358">
        <v>1637.79</v>
      </c>
      <c r="J358">
        <v>1633.19</v>
      </c>
      <c r="K358">
        <v>1628.81</v>
      </c>
      <c r="L358">
        <v>1624.65</v>
      </c>
    </row>
    <row r="359" spans="1:12" x14ac:dyDescent="0.15">
      <c r="A359">
        <v>1770</v>
      </c>
      <c r="B359">
        <v>1679.34</v>
      </c>
      <c r="C359">
        <v>1673.08</v>
      </c>
      <c r="D359">
        <v>1667.05</v>
      </c>
      <c r="E359">
        <v>1661.23</v>
      </c>
      <c r="F359">
        <v>1655.64</v>
      </c>
      <c r="G359">
        <v>1650.27</v>
      </c>
      <c r="H359">
        <v>1645.12</v>
      </c>
      <c r="I359">
        <v>1640.19</v>
      </c>
      <c r="J359">
        <v>1635.48</v>
      </c>
      <c r="K359">
        <v>1630.99</v>
      </c>
      <c r="L359">
        <v>1626.72</v>
      </c>
    </row>
    <row r="360" spans="1:12" x14ac:dyDescent="0.15">
      <c r="A360">
        <v>1775</v>
      </c>
      <c r="B360">
        <v>1682.55</v>
      </c>
      <c r="C360">
        <v>1676.19</v>
      </c>
      <c r="D360">
        <v>1670.04</v>
      </c>
      <c r="E360">
        <v>1664.12</v>
      </c>
      <c r="F360">
        <v>1658.42</v>
      </c>
      <c r="G360">
        <v>1652.94</v>
      </c>
      <c r="H360">
        <v>1647.68</v>
      </c>
      <c r="I360">
        <v>1642.63</v>
      </c>
      <c r="J360">
        <v>1637.81</v>
      </c>
      <c r="K360">
        <v>1633.21</v>
      </c>
      <c r="L360">
        <v>1628.84</v>
      </c>
    </row>
    <row r="361" spans="1:12" x14ac:dyDescent="0.15">
      <c r="A361">
        <v>1780</v>
      </c>
      <c r="B361">
        <v>1685.82</v>
      </c>
      <c r="C361">
        <v>1679.35</v>
      </c>
      <c r="D361">
        <v>1673.09</v>
      </c>
      <c r="E361">
        <v>1667.06</v>
      </c>
      <c r="F361">
        <v>1661.25</v>
      </c>
      <c r="G361">
        <v>1655.66</v>
      </c>
      <c r="H361">
        <v>1650.29</v>
      </c>
      <c r="I361">
        <v>1645.14</v>
      </c>
      <c r="J361">
        <v>1640.21</v>
      </c>
      <c r="K361">
        <v>1635.5</v>
      </c>
      <c r="L361">
        <v>1631.01</v>
      </c>
    </row>
    <row r="362" spans="1:12" x14ac:dyDescent="0.15">
      <c r="A362">
        <v>1785</v>
      </c>
      <c r="B362">
        <v>1689.15</v>
      </c>
      <c r="C362">
        <v>1682.57</v>
      </c>
      <c r="D362">
        <v>1676.2</v>
      </c>
      <c r="E362">
        <v>1670.06</v>
      </c>
      <c r="F362">
        <v>1664.14</v>
      </c>
      <c r="G362">
        <v>1658.44</v>
      </c>
      <c r="H362">
        <v>1652.96</v>
      </c>
      <c r="I362">
        <v>1647.69</v>
      </c>
      <c r="J362">
        <v>1642.66</v>
      </c>
      <c r="K362">
        <v>1637.84</v>
      </c>
      <c r="L362">
        <v>1633.24</v>
      </c>
    </row>
    <row r="363" spans="1:12" x14ac:dyDescent="0.15">
      <c r="A363">
        <v>1790</v>
      </c>
      <c r="B363">
        <v>1692.53</v>
      </c>
      <c r="C363">
        <v>1685.84</v>
      </c>
      <c r="D363">
        <v>1679.36</v>
      </c>
      <c r="E363">
        <v>1673.11</v>
      </c>
      <c r="F363">
        <v>1667.08</v>
      </c>
      <c r="G363">
        <v>1661.27</v>
      </c>
      <c r="H363">
        <v>1655.68</v>
      </c>
      <c r="I363">
        <v>1650.31</v>
      </c>
      <c r="J363">
        <v>1645.16</v>
      </c>
      <c r="K363">
        <v>1640.23</v>
      </c>
      <c r="L363">
        <v>1635.52</v>
      </c>
    </row>
    <row r="364" spans="1:12" x14ac:dyDescent="0.15">
      <c r="A364">
        <v>1795</v>
      </c>
      <c r="B364">
        <v>1695.97</v>
      </c>
      <c r="C364">
        <v>1689.17</v>
      </c>
      <c r="D364">
        <v>1682.58</v>
      </c>
      <c r="E364">
        <v>1676.22</v>
      </c>
      <c r="F364">
        <v>1670.08</v>
      </c>
      <c r="G364">
        <v>1664.16</v>
      </c>
      <c r="H364">
        <v>1658.46</v>
      </c>
      <c r="I364">
        <v>1652.98</v>
      </c>
      <c r="J364">
        <v>1647.72</v>
      </c>
      <c r="K364">
        <v>1642.68</v>
      </c>
      <c r="L364">
        <v>1637.86</v>
      </c>
    </row>
    <row r="365" spans="1:12" x14ac:dyDescent="0.15">
      <c r="A365">
        <v>1800</v>
      </c>
      <c r="B365">
        <v>1699.46</v>
      </c>
      <c r="C365">
        <v>1692.55</v>
      </c>
      <c r="D365">
        <v>1685.85</v>
      </c>
      <c r="E365">
        <v>1679.38</v>
      </c>
      <c r="F365">
        <v>1673.13</v>
      </c>
      <c r="G365">
        <v>1667.1</v>
      </c>
      <c r="H365">
        <v>1661.29</v>
      </c>
      <c r="I365">
        <v>1655.7</v>
      </c>
      <c r="J365">
        <v>1650.33</v>
      </c>
      <c r="K365">
        <v>1645.18</v>
      </c>
      <c r="L365">
        <v>1640.25</v>
      </c>
    </row>
    <row r="366" spans="1:12" x14ac:dyDescent="0.15">
      <c r="A366">
        <v>1805</v>
      </c>
      <c r="B366">
        <v>1703.01</v>
      </c>
      <c r="C366">
        <v>1695.98</v>
      </c>
      <c r="D366">
        <v>1689.18</v>
      </c>
      <c r="E366">
        <v>1682.6</v>
      </c>
      <c r="F366">
        <v>1676.24</v>
      </c>
      <c r="G366">
        <v>1670.1</v>
      </c>
      <c r="H366">
        <v>1664.18</v>
      </c>
      <c r="I366">
        <v>1658.48</v>
      </c>
      <c r="J366">
        <v>1653</v>
      </c>
      <c r="K366">
        <v>1647.74</v>
      </c>
      <c r="L366">
        <v>1642.7</v>
      </c>
    </row>
    <row r="367" spans="1:12" x14ac:dyDescent="0.15">
      <c r="A367">
        <v>1810</v>
      </c>
      <c r="B367">
        <v>1706.61</v>
      </c>
      <c r="C367">
        <v>1699.48</v>
      </c>
      <c r="D367">
        <v>1692.56</v>
      </c>
      <c r="E367">
        <v>1685.87</v>
      </c>
      <c r="F367">
        <v>1679.4</v>
      </c>
      <c r="G367">
        <v>1673.15</v>
      </c>
      <c r="H367">
        <v>1667.12</v>
      </c>
      <c r="I367">
        <v>1661.31</v>
      </c>
      <c r="J367">
        <v>1655.72</v>
      </c>
      <c r="K367">
        <v>1650.35</v>
      </c>
      <c r="L367">
        <v>1645.2</v>
      </c>
    </row>
    <row r="368" spans="1:12" x14ac:dyDescent="0.15">
      <c r="A368">
        <v>1815</v>
      </c>
      <c r="B368">
        <v>1710.27</v>
      </c>
      <c r="C368">
        <v>1703.02</v>
      </c>
      <c r="D368">
        <v>1696</v>
      </c>
      <c r="E368">
        <v>1689.2</v>
      </c>
      <c r="F368">
        <v>1682.62</v>
      </c>
      <c r="G368">
        <v>1676.26</v>
      </c>
      <c r="H368">
        <v>1670.12</v>
      </c>
      <c r="I368">
        <v>1664.2</v>
      </c>
      <c r="J368">
        <v>1658.5</v>
      </c>
      <c r="K368">
        <v>1653.02</v>
      </c>
      <c r="L368">
        <v>1647.76</v>
      </c>
    </row>
    <row r="369" spans="1:12" x14ac:dyDescent="0.15">
      <c r="A369">
        <v>1820</v>
      </c>
      <c r="B369">
        <v>1713.98</v>
      </c>
      <c r="C369">
        <v>1706.62</v>
      </c>
      <c r="D369">
        <v>1699.49</v>
      </c>
      <c r="E369">
        <v>1692.58</v>
      </c>
      <c r="F369">
        <v>1685.89</v>
      </c>
      <c r="G369">
        <v>1679.42</v>
      </c>
      <c r="H369">
        <v>1673.17</v>
      </c>
      <c r="I369">
        <v>1667.14</v>
      </c>
      <c r="J369">
        <v>1661.33</v>
      </c>
      <c r="K369">
        <v>1655.74</v>
      </c>
      <c r="L369">
        <v>1650.38</v>
      </c>
    </row>
    <row r="370" spans="1:12" x14ac:dyDescent="0.15">
      <c r="A370">
        <v>1825</v>
      </c>
      <c r="B370">
        <v>1717.74</v>
      </c>
      <c r="C370">
        <v>1710.28</v>
      </c>
      <c r="D370">
        <v>1703.04</v>
      </c>
      <c r="E370">
        <v>1696.02</v>
      </c>
      <c r="F370">
        <v>1689.22</v>
      </c>
      <c r="G370">
        <v>1682.64</v>
      </c>
      <c r="H370">
        <v>1676.28</v>
      </c>
      <c r="I370">
        <v>1670.14</v>
      </c>
      <c r="J370">
        <v>1664.22</v>
      </c>
      <c r="K370">
        <v>1658.52</v>
      </c>
      <c r="L370">
        <v>1653.05</v>
      </c>
    </row>
    <row r="371" spans="1:12" x14ac:dyDescent="0.15">
      <c r="A371">
        <v>1830</v>
      </c>
      <c r="B371">
        <v>1721.57</v>
      </c>
      <c r="C371">
        <v>1713.99</v>
      </c>
      <c r="D371">
        <v>1706.64</v>
      </c>
      <c r="E371">
        <v>1699.51</v>
      </c>
      <c r="F371">
        <v>1692.6</v>
      </c>
      <c r="G371">
        <v>1685.91</v>
      </c>
      <c r="H371">
        <v>1679.44</v>
      </c>
      <c r="I371">
        <v>1673.19</v>
      </c>
      <c r="J371">
        <v>1667.16</v>
      </c>
      <c r="K371">
        <v>1661.36</v>
      </c>
      <c r="L371">
        <v>1655.77</v>
      </c>
    </row>
    <row r="372" spans="1:12" x14ac:dyDescent="0.15">
      <c r="A372">
        <v>1835</v>
      </c>
      <c r="B372">
        <v>1725.44</v>
      </c>
      <c r="C372">
        <v>1717.76</v>
      </c>
      <c r="D372">
        <v>1710.3</v>
      </c>
      <c r="E372">
        <v>1703.06</v>
      </c>
      <c r="F372">
        <v>1696.04</v>
      </c>
      <c r="G372">
        <v>1689.24</v>
      </c>
      <c r="H372">
        <v>1682.66</v>
      </c>
      <c r="I372">
        <v>1676.3</v>
      </c>
      <c r="J372">
        <v>1670.16</v>
      </c>
      <c r="K372">
        <v>1664.25</v>
      </c>
      <c r="L372">
        <v>1658.55</v>
      </c>
    </row>
    <row r="373" spans="1:12" x14ac:dyDescent="0.15">
      <c r="A373">
        <v>1840</v>
      </c>
      <c r="B373">
        <v>1729.38</v>
      </c>
      <c r="C373">
        <v>1721.58</v>
      </c>
      <c r="D373">
        <v>1714.01</v>
      </c>
      <c r="E373">
        <v>1706.66</v>
      </c>
      <c r="F373">
        <v>1699.53</v>
      </c>
      <c r="G373">
        <v>1692.62</v>
      </c>
      <c r="H373">
        <v>1685.93</v>
      </c>
      <c r="I373">
        <v>1679.46</v>
      </c>
      <c r="J373">
        <v>1673.22</v>
      </c>
      <c r="K373">
        <v>1667.19</v>
      </c>
      <c r="L373">
        <v>1661.38</v>
      </c>
    </row>
    <row r="374" spans="1:12" x14ac:dyDescent="0.15">
      <c r="A374">
        <v>1845</v>
      </c>
      <c r="B374">
        <v>1733.36</v>
      </c>
      <c r="C374">
        <v>1725.46</v>
      </c>
      <c r="D374">
        <v>1717.78</v>
      </c>
      <c r="E374">
        <v>1710.32</v>
      </c>
      <c r="F374">
        <v>1703.08</v>
      </c>
      <c r="G374">
        <v>1696.06</v>
      </c>
      <c r="H374">
        <v>1689.26</v>
      </c>
      <c r="I374">
        <v>1682.68</v>
      </c>
      <c r="J374">
        <v>1676.32</v>
      </c>
      <c r="K374">
        <v>1670.19</v>
      </c>
      <c r="L374">
        <v>1664.27</v>
      </c>
    </row>
    <row r="375" spans="1:12" x14ac:dyDescent="0.15">
      <c r="A375">
        <v>1850</v>
      </c>
      <c r="B375">
        <v>1737.4</v>
      </c>
      <c r="C375">
        <v>1729.39</v>
      </c>
      <c r="D375">
        <v>1721.6</v>
      </c>
      <c r="E375">
        <v>1714.03</v>
      </c>
      <c r="F375">
        <v>1706.68</v>
      </c>
      <c r="G375">
        <v>1699.55</v>
      </c>
      <c r="H375">
        <v>1692.64</v>
      </c>
      <c r="I375">
        <v>1685.96</v>
      </c>
      <c r="J375">
        <v>1679.49</v>
      </c>
      <c r="K375">
        <v>1673.24</v>
      </c>
      <c r="L375">
        <v>1667.21</v>
      </c>
    </row>
    <row r="376" spans="1:12" x14ac:dyDescent="0.15">
      <c r="A376">
        <v>1855</v>
      </c>
      <c r="B376">
        <v>1741.5</v>
      </c>
      <c r="C376">
        <v>1733.38</v>
      </c>
      <c r="D376">
        <v>1725.48</v>
      </c>
      <c r="E376">
        <v>1717.8</v>
      </c>
      <c r="F376">
        <v>1710.34</v>
      </c>
      <c r="G376">
        <v>1703.1</v>
      </c>
      <c r="H376">
        <v>1696.08</v>
      </c>
      <c r="I376">
        <v>1689.28</v>
      </c>
      <c r="J376">
        <v>1682.71</v>
      </c>
      <c r="K376">
        <v>1676.35</v>
      </c>
      <c r="L376">
        <v>1670.21</v>
      </c>
    </row>
    <row r="377" spans="1:12" x14ac:dyDescent="0.15">
      <c r="A377">
        <v>1860</v>
      </c>
      <c r="B377">
        <v>1745.65</v>
      </c>
      <c r="C377">
        <v>1737.42</v>
      </c>
      <c r="D377">
        <v>1729.41</v>
      </c>
      <c r="E377">
        <v>1721.62</v>
      </c>
      <c r="F377">
        <v>1714.05</v>
      </c>
      <c r="G377">
        <v>1706.7</v>
      </c>
      <c r="H377">
        <v>1699.58</v>
      </c>
      <c r="I377">
        <v>1692.67</v>
      </c>
      <c r="J377">
        <v>1685.98</v>
      </c>
      <c r="K377">
        <v>1679.51</v>
      </c>
      <c r="L377">
        <v>1673.27</v>
      </c>
    </row>
    <row r="378" spans="1:12" x14ac:dyDescent="0.15">
      <c r="A378">
        <v>1865</v>
      </c>
      <c r="B378">
        <v>1749.86</v>
      </c>
      <c r="C378">
        <v>1741.52</v>
      </c>
      <c r="D378">
        <v>1733.4</v>
      </c>
      <c r="E378">
        <v>1725.5</v>
      </c>
      <c r="F378">
        <v>1717.82</v>
      </c>
      <c r="G378">
        <v>1710.36</v>
      </c>
      <c r="H378">
        <v>1703.12</v>
      </c>
      <c r="I378">
        <v>1696.11</v>
      </c>
      <c r="J378">
        <v>1689.31</v>
      </c>
      <c r="K378">
        <v>1682.73</v>
      </c>
      <c r="L378">
        <v>1676.38</v>
      </c>
    </row>
    <row r="379" spans="1:12" x14ac:dyDescent="0.15">
      <c r="A379">
        <v>1870</v>
      </c>
      <c r="B379">
        <v>1754.12</v>
      </c>
      <c r="C379">
        <v>1745.67</v>
      </c>
      <c r="D379">
        <v>1737.44</v>
      </c>
      <c r="E379">
        <v>1729.43</v>
      </c>
      <c r="F379">
        <v>1721.64</v>
      </c>
      <c r="G379">
        <v>1714.07</v>
      </c>
      <c r="H379">
        <v>1706.73</v>
      </c>
      <c r="I379">
        <v>1699.6</v>
      </c>
      <c r="J379">
        <v>1692.69</v>
      </c>
      <c r="K379">
        <v>1686.01</v>
      </c>
      <c r="L379">
        <v>1679.54</v>
      </c>
    </row>
    <row r="380" spans="1:12" x14ac:dyDescent="0.15">
      <c r="A380">
        <v>1875</v>
      </c>
      <c r="B380">
        <v>1758.44</v>
      </c>
      <c r="C380">
        <v>1749.88</v>
      </c>
      <c r="D380">
        <v>1741.54</v>
      </c>
      <c r="E380">
        <v>1733.42</v>
      </c>
      <c r="F380">
        <v>1725.52</v>
      </c>
      <c r="G380">
        <v>1717.84</v>
      </c>
      <c r="H380">
        <v>1710.39</v>
      </c>
      <c r="I380">
        <v>1703.15</v>
      </c>
      <c r="J380">
        <v>1696.13</v>
      </c>
      <c r="K380">
        <v>1689.34</v>
      </c>
      <c r="L380">
        <v>1682.76</v>
      </c>
    </row>
    <row r="381" spans="1:12" x14ac:dyDescent="0.15">
      <c r="A381">
        <v>1880</v>
      </c>
      <c r="B381">
        <v>1762.81</v>
      </c>
      <c r="C381">
        <v>1754.14</v>
      </c>
      <c r="D381">
        <v>1745.69</v>
      </c>
      <c r="E381">
        <v>1737.46</v>
      </c>
      <c r="F381">
        <v>1729.45</v>
      </c>
      <c r="G381">
        <v>1721.67</v>
      </c>
      <c r="H381">
        <v>1714.1</v>
      </c>
      <c r="I381">
        <v>1706.75</v>
      </c>
      <c r="J381">
        <v>1699.63</v>
      </c>
      <c r="K381">
        <v>1692.72</v>
      </c>
      <c r="L381">
        <v>1686.03</v>
      </c>
    </row>
    <row r="382" spans="1:12" x14ac:dyDescent="0.15">
      <c r="A382">
        <v>1885</v>
      </c>
      <c r="B382">
        <v>1767.24</v>
      </c>
      <c r="C382">
        <v>1758.46</v>
      </c>
      <c r="D382">
        <v>1749.9</v>
      </c>
      <c r="E382">
        <v>1741.56</v>
      </c>
      <c r="F382">
        <v>1733.44</v>
      </c>
      <c r="G382">
        <v>1725.54</v>
      </c>
      <c r="H382">
        <v>1717.87</v>
      </c>
      <c r="I382">
        <v>1710.41</v>
      </c>
      <c r="J382">
        <v>1703.17</v>
      </c>
      <c r="K382">
        <v>1696.16</v>
      </c>
      <c r="L382">
        <v>1689.36</v>
      </c>
    </row>
    <row r="383" spans="1:12" x14ac:dyDescent="0.15">
      <c r="A383">
        <v>1890</v>
      </c>
      <c r="B383">
        <v>1771.72</v>
      </c>
      <c r="C383">
        <v>1762.83</v>
      </c>
      <c r="D383">
        <v>1754.16</v>
      </c>
      <c r="E383">
        <v>1745.71</v>
      </c>
      <c r="F383">
        <v>1737.49</v>
      </c>
      <c r="G383">
        <v>1729.48</v>
      </c>
      <c r="H383">
        <v>1721.69</v>
      </c>
      <c r="I383">
        <v>1714.12</v>
      </c>
      <c r="J383">
        <v>1706.78</v>
      </c>
      <c r="K383">
        <v>1699.65</v>
      </c>
      <c r="L383">
        <v>1692.75</v>
      </c>
    </row>
    <row r="384" spans="1:12" x14ac:dyDescent="0.15">
      <c r="A384">
        <v>1895</v>
      </c>
      <c r="B384">
        <v>1776.26</v>
      </c>
      <c r="C384">
        <v>1767.26</v>
      </c>
      <c r="D384">
        <v>1758.48</v>
      </c>
      <c r="E384">
        <v>1749.92</v>
      </c>
      <c r="F384">
        <v>1741.58</v>
      </c>
      <c r="G384">
        <v>1733.47</v>
      </c>
      <c r="H384">
        <v>1725.57</v>
      </c>
      <c r="I384">
        <v>1717.89</v>
      </c>
      <c r="J384">
        <v>1710.44</v>
      </c>
      <c r="K384">
        <v>1703.2</v>
      </c>
      <c r="L384">
        <v>1696.19</v>
      </c>
    </row>
    <row r="385" spans="1:12" x14ac:dyDescent="0.15">
      <c r="A385">
        <v>1900</v>
      </c>
      <c r="B385">
        <v>1780.85</v>
      </c>
      <c r="C385">
        <v>1771.74</v>
      </c>
      <c r="D385">
        <v>1762.85</v>
      </c>
      <c r="E385">
        <v>1754.18</v>
      </c>
      <c r="F385">
        <v>1745.74</v>
      </c>
      <c r="G385">
        <v>1737.51</v>
      </c>
      <c r="H385">
        <v>1729.5</v>
      </c>
      <c r="I385">
        <v>1721.72</v>
      </c>
      <c r="J385">
        <v>1714.15</v>
      </c>
      <c r="K385">
        <v>1706.81</v>
      </c>
      <c r="L385">
        <v>1699.68</v>
      </c>
    </row>
    <row r="386" spans="1:12" x14ac:dyDescent="0.15">
      <c r="A386">
        <v>1905</v>
      </c>
      <c r="B386">
        <v>1785.5</v>
      </c>
      <c r="C386">
        <v>1776.28</v>
      </c>
      <c r="D386">
        <v>1767.28</v>
      </c>
      <c r="E386">
        <v>1758.5</v>
      </c>
      <c r="F386">
        <v>1749.95</v>
      </c>
      <c r="G386">
        <v>1741.61</v>
      </c>
      <c r="H386">
        <v>1733.49</v>
      </c>
      <c r="I386">
        <v>1725.6</v>
      </c>
      <c r="J386">
        <v>1717.92</v>
      </c>
      <c r="K386">
        <v>1710.47</v>
      </c>
      <c r="L386">
        <v>1703.23</v>
      </c>
    </row>
    <row r="387" spans="1:12" x14ac:dyDescent="0.15">
      <c r="A387">
        <v>1910</v>
      </c>
      <c r="B387">
        <v>1790.2</v>
      </c>
      <c r="C387">
        <v>1780.87</v>
      </c>
      <c r="D387">
        <v>1771.76</v>
      </c>
      <c r="E387">
        <v>1762.88</v>
      </c>
      <c r="F387">
        <v>1754.21</v>
      </c>
      <c r="G387">
        <v>1745.76</v>
      </c>
      <c r="H387">
        <v>1737.54</v>
      </c>
      <c r="I387">
        <v>1729.53</v>
      </c>
      <c r="J387">
        <v>1721.74</v>
      </c>
      <c r="K387">
        <v>1714.18</v>
      </c>
      <c r="L387">
        <v>1706.84</v>
      </c>
    </row>
    <row r="388" spans="1:12" x14ac:dyDescent="0.15">
      <c r="A388">
        <v>1915</v>
      </c>
      <c r="B388">
        <v>1794.96</v>
      </c>
      <c r="C388">
        <v>1785.52</v>
      </c>
      <c r="D388">
        <v>1776.3</v>
      </c>
      <c r="E388">
        <v>1767.3</v>
      </c>
      <c r="F388">
        <v>1758.53</v>
      </c>
      <c r="G388">
        <v>1749.97</v>
      </c>
      <c r="H388">
        <v>1741.63</v>
      </c>
      <c r="I388">
        <v>1733.52</v>
      </c>
      <c r="J388">
        <v>1725.62</v>
      </c>
      <c r="K388">
        <v>1717.95</v>
      </c>
      <c r="L388">
        <v>1710.5</v>
      </c>
    </row>
    <row r="389" spans="1:12" x14ac:dyDescent="0.15">
      <c r="A389">
        <v>1920</v>
      </c>
      <c r="B389">
        <v>1799.77</v>
      </c>
      <c r="C389">
        <v>1790.22</v>
      </c>
      <c r="D389">
        <v>1780.89</v>
      </c>
      <c r="E389">
        <v>1771.79</v>
      </c>
      <c r="F389">
        <v>1762.9</v>
      </c>
      <c r="G389">
        <v>1754.23</v>
      </c>
      <c r="H389">
        <v>1745.79</v>
      </c>
      <c r="I389">
        <v>1737.56</v>
      </c>
      <c r="J389">
        <v>1729.56</v>
      </c>
      <c r="K389">
        <v>1721.77</v>
      </c>
      <c r="L389">
        <v>1714.21</v>
      </c>
    </row>
    <row r="390" spans="1:12" x14ac:dyDescent="0.15">
      <c r="A390">
        <v>1925</v>
      </c>
      <c r="B390">
        <v>1804.64</v>
      </c>
      <c r="C390">
        <v>1794.98</v>
      </c>
      <c r="D390">
        <v>1785.54</v>
      </c>
      <c r="E390">
        <v>1776.33</v>
      </c>
      <c r="F390">
        <v>1767.33</v>
      </c>
      <c r="G390">
        <v>1758.55</v>
      </c>
      <c r="H390">
        <v>1750</v>
      </c>
      <c r="I390">
        <v>1741.66</v>
      </c>
      <c r="J390">
        <v>1733.55</v>
      </c>
      <c r="K390">
        <v>1725.65</v>
      </c>
      <c r="L390">
        <v>1717.98</v>
      </c>
    </row>
    <row r="391" spans="1:12" x14ac:dyDescent="0.15">
      <c r="A391">
        <v>1930</v>
      </c>
      <c r="B391">
        <v>1809.56</v>
      </c>
      <c r="C391">
        <v>1799.79</v>
      </c>
      <c r="D391">
        <v>1790.24</v>
      </c>
      <c r="E391">
        <v>1780.92</v>
      </c>
      <c r="F391">
        <v>1771.81</v>
      </c>
      <c r="G391">
        <v>1762.93</v>
      </c>
      <c r="H391">
        <v>1754.26</v>
      </c>
      <c r="I391">
        <v>1745.82</v>
      </c>
      <c r="J391">
        <v>1737.59</v>
      </c>
      <c r="K391">
        <v>1729.59</v>
      </c>
      <c r="L391">
        <v>1721.8</v>
      </c>
    </row>
    <row r="392" spans="1:12" x14ac:dyDescent="0.15">
      <c r="A392">
        <v>1935</v>
      </c>
      <c r="B392">
        <v>1814.54</v>
      </c>
      <c r="C392">
        <v>1804.66</v>
      </c>
      <c r="D392">
        <v>1795</v>
      </c>
      <c r="E392">
        <v>1785.57</v>
      </c>
      <c r="F392">
        <v>1776.35</v>
      </c>
      <c r="G392">
        <v>1767.36</v>
      </c>
      <c r="H392">
        <v>1758.58</v>
      </c>
      <c r="I392">
        <v>1750.02</v>
      </c>
      <c r="J392">
        <v>1741.69</v>
      </c>
      <c r="K392">
        <v>1733.58</v>
      </c>
      <c r="L392">
        <v>1725.68</v>
      </c>
    </row>
    <row r="393" spans="1:12" x14ac:dyDescent="0.15">
      <c r="A393">
        <v>1940</v>
      </c>
      <c r="B393">
        <v>1819.57</v>
      </c>
      <c r="C393">
        <v>1809.59</v>
      </c>
      <c r="D393">
        <v>1799.82</v>
      </c>
      <c r="E393">
        <v>1790.27</v>
      </c>
      <c r="F393">
        <v>1780.94</v>
      </c>
      <c r="G393">
        <v>1771.84</v>
      </c>
      <c r="H393">
        <v>1762.95</v>
      </c>
      <c r="I393">
        <v>1754.29</v>
      </c>
      <c r="J393">
        <v>1745.84</v>
      </c>
      <c r="K393">
        <v>1737.62</v>
      </c>
      <c r="L393">
        <v>1729.62</v>
      </c>
    </row>
    <row r="394" spans="1:12" x14ac:dyDescent="0.15">
      <c r="A394">
        <v>1945</v>
      </c>
      <c r="B394">
        <v>1824.66</v>
      </c>
      <c r="C394">
        <v>1814.56</v>
      </c>
      <c r="D394">
        <v>1804.68</v>
      </c>
      <c r="E394">
        <v>1795.03</v>
      </c>
      <c r="F394">
        <v>1785.59</v>
      </c>
      <c r="G394">
        <v>1776.38</v>
      </c>
      <c r="H394">
        <v>1767.38</v>
      </c>
      <c r="I394">
        <v>1758.61</v>
      </c>
      <c r="J394">
        <v>1750.05</v>
      </c>
      <c r="K394">
        <v>1741.72</v>
      </c>
      <c r="L394">
        <v>1733.61</v>
      </c>
    </row>
    <row r="395" spans="1:12" x14ac:dyDescent="0.15">
      <c r="A395">
        <v>1950</v>
      </c>
      <c r="B395">
        <v>1829.8</v>
      </c>
      <c r="C395">
        <v>1819.6</v>
      </c>
      <c r="D395">
        <v>1809.61</v>
      </c>
      <c r="E395">
        <v>1799.84</v>
      </c>
      <c r="F395">
        <v>1790.3</v>
      </c>
      <c r="G395">
        <v>1780.97</v>
      </c>
      <c r="H395">
        <v>1771.87</v>
      </c>
      <c r="I395">
        <v>1762.98</v>
      </c>
      <c r="J395">
        <v>1754.32</v>
      </c>
      <c r="K395">
        <v>1745.88</v>
      </c>
      <c r="L395">
        <v>1737.65</v>
      </c>
    </row>
    <row r="396" spans="1:12" x14ac:dyDescent="0.15">
      <c r="A396">
        <v>1955</v>
      </c>
      <c r="B396">
        <v>1835</v>
      </c>
      <c r="C396">
        <v>1824.69</v>
      </c>
      <c r="D396">
        <v>1814.59</v>
      </c>
      <c r="E396">
        <v>1804.71</v>
      </c>
      <c r="F396">
        <v>1795.06</v>
      </c>
      <c r="G396">
        <v>1785.62</v>
      </c>
      <c r="H396">
        <v>1776.41</v>
      </c>
      <c r="I396">
        <v>1767.41</v>
      </c>
      <c r="J396">
        <v>1758.64</v>
      </c>
      <c r="K396">
        <v>1750.09</v>
      </c>
      <c r="L396">
        <v>1741.75</v>
      </c>
    </row>
    <row r="397" spans="1:12" x14ac:dyDescent="0.15">
      <c r="A397">
        <v>1960</v>
      </c>
      <c r="B397">
        <v>1840.26</v>
      </c>
      <c r="C397">
        <v>1829.83</v>
      </c>
      <c r="D397">
        <v>1819.62</v>
      </c>
      <c r="E397">
        <v>1809.63</v>
      </c>
      <c r="F397">
        <v>1799.87</v>
      </c>
      <c r="G397">
        <v>1790.32</v>
      </c>
      <c r="H397">
        <v>1781</v>
      </c>
      <c r="I397">
        <v>1771.9</v>
      </c>
      <c r="J397">
        <v>1763.01</v>
      </c>
      <c r="K397">
        <v>1754.35</v>
      </c>
      <c r="L397">
        <v>1745.91</v>
      </c>
    </row>
    <row r="398" spans="1:12" x14ac:dyDescent="0.15">
      <c r="A398">
        <v>1965</v>
      </c>
      <c r="B398">
        <v>1845.56</v>
      </c>
      <c r="C398">
        <v>1835.03</v>
      </c>
      <c r="D398">
        <v>1824.71</v>
      </c>
      <c r="E398">
        <v>1814.61</v>
      </c>
      <c r="F398">
        <v>1804.74</v>
      </c>
      <c r="G398">
        <v>1795.08</v>
      </c>
      <c r="H398">
        <v>1785.65</v>
      </c>
      <c r="I398">
        <v>1776.44</v>
      </c>
      <c r="J398">
        <v>1767.44</v>
      </c>
      <c r="K398">
        <v>1758.67</v>
      </c>
      <c r="L398">
        <v>1750.12</v>
      </c>
    </row>
    <row r="399" spans="1:12" x14ac:dyDescent="0.15">
      <c r="A399">
        <v>1970</v>
      </c>
      <c r="B399">
        <v>1850.93</v>
      </c>
      <c r="C399">
        <v>1840.28</v>
      </c>
      <c r="D399">
        <v>1829.85</v>
      </c>
      <c r="E399">
        <v>1819.65</v>
      </c>
      <c r="F399">
        <v>1809.66</v>
      </c>
      <c r="G399">
        <v>1799.9</v>
      </c>
      <c r="H399">
        <v>1790.35</v>
      </c>
      <c r="I399">
        <v>1781.03</v>
      </c>
      <c r="J399">
        <v>1771.93</v>
      </c>
      <c r="K399">
        <v>1763.04</v>
      </c>
      <c r="L399">
        <v>1754.38</v>
      </c>
    </row>
    <row r="400" spans="1:12" x14ac:dyDescent="0.15">
      <c r="A400">
        <v>1975</v>
      </c>
      <c r="B400">
        <v>1856.35</v>
      </c>
      <c r="C400">
        <v>1845.59</v>
      </c>
      <c r="D400">
        <v>1835.05</v>
      </c>
      <c r="E400">
        <v>1824.74</v>
      </c>
      <c r="F400">
        <v>1814.64</v>
      </c>
      <c r="G400">
        <v>1804.77</v>
      </c>
      <c r="H400">
        <v>1795.11</v>
      </c>
      <c r="I400">
        <v>1785.68</v>
      </c>
      <c r="J400">
        <v>1776.47</v>
      </c>
      <c r="K400">
        <v>1767.47</v>
      </c>
      <c r="L400">
        <v>1758.7</v>
      </c>
    </row>
    <row r="401" spans="1:12" x14ac:dyDescent="0.15">
      <c r="A401">
        <v>1980</v>
      </c>
      <c r="B401">
        <v>1861.81</v>
      </c>
      <c r="C401">
        <v>1850.95</v>
      </c>
      <c r="D401">
        <v>1840.3</v>
      </c>
      <c r="E401">
        <v>1829.88</v>
      </c>
      <c r="F401">
        <v>1819.68</v>
      </c>
      <c r="G401">
        <v>1809.69</v>
      </c>
      <c r="H401">
        <v>1799.93</v>
      </c>
      <c r="I401">
        <v>1790.38</v>
      </c>
      <c r="J401">
        <v>1781.06</v>
      </c>
      <c r="K401">
        <v>1771.96</v>
      </c>
      <c r="L401">
        <v>1763.08</v>
      </c>
    </row>
    <row r="402" spans="1:12" x14ac:dyDescent="0.15">
      <c r="A402">
        <v>1985</v>
      </c>
      <c r="B402">
        <v>1867.3</v>
      </c>
      <c r="C402">
        <v>1856.37</v>
      </c>
      <c r="D402">
        <v>1845.61</v>
      </c>
      <c r="E402">
        <v>1835.08</v>
      </c>
      <c r="F402">
        <v>1824.76</v>
      </c>
      <c r="G402">
        <v>1814.67</v>
      </c>
      <c r="H402">
        <v>1804.8</v>
      </c>
      <c r="I402">
        <v>1795.14</v>
      </c>
      <c r="J402">
        <v>1785.71</v>
      </c>
      <c r="K402">
        <v>1776.5</v>
      </c>
      <c r="L402">
        <v>1767.51</v>
      </c>
    </row>
    <row r="403" spans="1:12" x14ac:dyDescent="0.15">
      <c r="A403">
        <v>1990</v>
      </c>
      <c r="B403">
        <v>1872.79</v>
      </c>
      <c r="C403">
        <v>1861.84</v>
      </c>
      <c r="D403">
        <v>1850.97</v>
      </c>
      <c r="E403">
        <v>1840.33</v>
      </c>
      <c r="F403">
        <v>1829.91</v>
      </c>
      <c r="G403">
        <v>1819.7</v>
      </c>
      <c r="H403">
        <v>1809.72</v>
      </c>
      <c r="I403">
        <v>1799.96</v>
      </c>
      <c r="J403">
        <v>1790.42</v>
      </c>
      <c r="K403">
        <v>1781.09</v>
      </c>
      <c r="L403">
        <v>1771.99</v>
      </c>
    </row>
    <row r="404" spans="1:12" x14ac:dyDescent="0.15">
      <c r="A404">
        <v>1995</v>
      </c>
      <c r="B404">
        <v>1878.27</v>
      </c>
      <c r="C404">
        <v>1867.33</v>
      </c>
      <c r="D404">
        <v>1856.39</v>
      </c>
      <c r="E404">
        <v>1845.64</v>
      </c>
      <c r="F404">
        <v>1835.11</v>
      </c>
      <c r="G404">
        <v>1824.79</v>
      </c>
      <c r="H404">
        <v>1814.7</v>
      </c>
      <c r="I404">
        <v>1804.83</v>
      </c>
      <c r="J404">
        <v>1795.18</v>
      </c>
      <c r="K404">
        <v>1785.74</v>
      </c>
      <c r="L404">
        <v>1776.53</v>
      </c>
    </row>
    <row r="405" spans="1:12" x14ac:dyDescent="0.15">
      <c r="A405">
        <v>2000</v>
      </c>
      <c r="B405">
        <v>1883.64</v>
      </c>
      <c r="C405">
        <v>1872.81</v>
      </c>
      <c r="D405">
        <v>1861.87</v>
      </c>
      <c r="E405">
        <v>1851.01</v>
      </c>
      <c r="F405">
        <v>1840.36</v>
      </c>
      <c r="G405">
        <v>1829.94</v>
      </c>
      <c r="H405">
        <v>1819.73</v>
      </c>
      <c r="I405">
        <v>1809.75</v>
      </c>
      <c r="J405">
        <v>1799.99</v>
      </c>
      <c r="K405">
        <v>1790.45</v>
      </c>
      <c r="L405">
        <v>1781.13</v>
      </c>
    </row>
    <row r="406" spans="1:12" x14ac:dyDescent="0.15">
      <c r="A406">
        <v>2005</v>
      </c>
      <c r="B406">
        <v>1888.59</v>
      </c>
      <c r="C406">
        <v>1878.3</v>
      </c>
      <c r="D406">
        <v>1867.35</v>
      </c>
      <c r="E406">
        <v>1856.42</v>
      </c>
      <c r="F406">
        <v>1845.67</v>
      </c>
      <c r="G406">
        <v>1835.14</v>
      </c>
      <c r="H406">
        <v>1824.82</v>
      </c>
      <c r="I406">
        <v>1814.73</v>
      </c>
      <c r="J406">
        <v>1804.86</v>
      </c>
      <c r="K406">
        <v>1795.21</v>
      </c>
      <c r="L406">
        <v>1785.78</v>
      </c>
    </row>
    <row r="407" spans="1:12" x14ac:dyDescent="0.15">
      <c r="A407">
        <v>2010</v>
      </c>
      <c r="B407">
        <v>1893.06</v>
      </c>
      <c r="C407">
        <v>1883.69</v>
      </c>
      <c r="D407">
        <v>1872.84</v>
      </c>
      <c r="E407">
        <v>1861.9</v>
      </c>
      <c r="F407">
        <v>1851.03</v>
      </c>
      <c r="G407">
        <v>1840.39</v>
      </c>
      <c r="H407">
        <v>1829.97</v>
      </c>
      <c r="I407">
        <v>1819.77</v>
      </c>
      <c r="J407">
        <v>1809.79</v>
      </c>
      <c r="K407">
        <v>1800.02</v>
      </c>
      <c r="L407">
        <v>1790.48</v>
      </c>
    </row>
    <row r="408" spans="1:12" x14ac:dyDescent="0.15">
      <c r="A408">
        <v>2015</v>
      </c>
      <c r="B408">
        <v>1897.04</v>
      </c>
      <c r="C408">
        <v>1888.64</v>
      </c>
      <c r="D408">
        <v>1878.33</v>
      </c>
      <c r="E408">
        <v>1867.38</v>
      </c>
      <c r="F408">
        <v>1856.45</v>
      </c>
      <c r="G408">
        <v>1845.7</v>
      </c>
      <c r="H408">
        <v>1835.17</v>
      </c>
      <c r="I408">
        <v>1824.86</v>
      </c>
      <c r="J408">
        <v>1814.77</v>
      </c>
      <c r="K408">
        <v>1804.89</v>
      </c>
      <c r="L408">
        <v>1795.24</v>
      </c>
    </row>
    <row r="409" spans="1:12" x14ac:dyDescent="0.15">
      <c r="A409">
        <v>2020</v>
      </c>
      <c r="B409">
        <v>1900.54</v>
      </c>
      <c r="C409">
        <v>1893.1</v>
      </c>
      <c r="D409">
        <v>1883.72</v>
      </c>
      <c r="E409">
        <v>1872.87</v>
      </c>
      <c r="F409">
        <v>1861.92</v>
      </c>
      <c r="G409">
        <v>1851.07</v>
      </c>
      <c r="H409">
        <v>1840.42</v>
      </c>
      <c r="I409">
        <v>1830</v>
      </c>
      <c r="J409">
        <v>1819.8</v>
      </c>
      <c r="K409">
        <v>1809.82</v>
      </c>
      <c r="L409">
        <v>1800.06</v>
      </c>
    </row>
    <row r="410" spans="1:12" x14ac:dyDescent="0.15">
      <c r="A410">
        <v>2025</v>
      </c>
      <c r="B410">
        <v>1903.56</v>
      </c>
      <c r="C410">
        <v>1897.08</v>
      </c>
      <c r="D410">
        <v>1888.66</v>
      </c>
      <c r="E410">
        <v>1878.36</v>
      </c>
      <c r="F410">
        <v>1867.41</v>
      </c>
      <c r="G410">
        <v>1856.48</v>
      </c>
      <c r="H410">
        <v>1845.73</v>
      </c>
      <c r="I410">
        <v>1835.2</v>
      </c>
      <c r="J410">
        <v>1824.89</v>
      </c>
      <c r="K410">
        <v>1814.8</v>
      </c>
      <c r="L410">
        <v>1804.93</v>
      </c>
    </row>
    <row r="411" spans="1:12" x14ac:dyDescent="0.15">
      <c r="A411">
        <v>2030</v>
      </c>
      <c r="B411">
        <v>1906.09</v>
      </c>
      <c r="C411">
        <v>1900.58</v>
      </c>
      <c r="D411">
        <v>1893.12</v>
      </c>
      <c r="E411">
        <v>1883.74</v>
      </c>
      <c r="F411">
        <v>1872.9</v>
      </c>
      <c r="G411">
        <v>1861.95</v>
      </c>
      <c r="H411">
        <v>1851.1</v>
      </c>
      <c r="I411">
        <v>1840.46</v>
      </c>
      <c r="J411">
        <v>1830.04</v>
      </c>
      <c r="K411">
        <v>1819.84</v>
      </c>
      <c r="L411">
        <v>1809.86</v>
      </c>
    </row>
    <row r="412" spans="1:12" x14ac:dyDescent="0.15">
      <c r="A412">
        <v>2035</v>
      </c>
      <c r="B412">
        <v>1908.15</v>
      </c>
      <c r="C412">
        <v>1903.59</v>
      </c>
      <c r="D412">
        <v>1897.1</v>
      </c>
      <c r="E412">
        <v>1888.68</v>
      </c>
      <c r="F412">
        <v>1878.38</v>
      </c>
      <c r="G412">
        <v>1867.44</v>
      </c>
      <c r="H412">
        <v>1856.52</v>
      </c>
      <c r="I412">
        <v>1845.77</v>
      </c>
      <c r="J412">
        <v>1835.24</v>
      </c>
      <c r="K412">
        <v>1824.93</v>
      </c>
      <c r="L412">
        <v>1814.84</v>
      </c>
    </row>
    <row r="413" spans="1:12" x14ac:dyDescent="0.15">
      <c r="A413">
        <v>2040</v>
      </c>
      <c r="B413">
        <v>1909.72</v>
      </c>
      <c r="C413">
        <v>1906.13</v>
      </c>
      <c r="D413">
        <v>1900.6</v>
      </c>
      <c r="E413">
        <v>1893.14</v>
      </c>
      <c r="F413">
        <v>1883.75</v>
      </c>
      <c r="G413">
        <v>1872.92</v>
      </c>
      <c r="H413">
        <v>1861.98</v>
      </c>
      <c r="I413">
        <v>1851.13</v>
      </c>
      <c r="J413">
        <v>1840.49</v>
      </c>
      <c r="K413">
        <v>1830.07</v>
      </c>
      <c r="L413">
        <v>1819.87</v>
      </c>
    </row>
    <row r="414" spans="1:12" x14ac:dyDescent="0.15">
      <c r="A414">
        <v>2045</v>
      </c>
      <c r="B414">
        <v>1910.8</v>
      </c>
      <c r="C414">
        <v>1908.18</v>
      </c>
      <c r="D414">
        <v>1903.61</v>
      </c>
      <c r="E414">
        <v>1897.12</v>
      </c>
      <c r="F414">
        <v>1888.69</v>
      </c>
      <c r="G414">
        <v>1878.4</v>
      </c>
      <c r="H414">
        <v>1867.46</v>
      </c>
      <c r="I414">
        <v>1856.55</v>
      </c>
      <c r="J414">
        <v>1845.8</v>
      </c>
      <c r="K414">
        <v>1835.27</v>
      </c>
      <c r="L414">
        <v>1824.96</v>
      </c>
    </row>
    <row r="415" spans="1:12" x14ac:dyDescent="0.15">
      <c r="A415">
        <v>2050</v>
      </c>
      <c r="B415">
        <v>1911.41</v>
      </c>
      <c r="C415">
        <v>1909.74</v>
      </c>
      <c r="D415">
        <v>1906.14</v>
      </c>
      <c r="E415">
        <v>1900.61</v>
      </c>
      <c r="F415">
        <v>1893.14</v>
      </c>
      <c r="G415">
        <v>1883.74</v>
      </c>
      <c r="H415">
        <v>1872.95</v>
      </c>
      <c r="I415">
        <v>1862.01</v>
      </c>
      <c r="J415">
        <v>1851.17</v>
      </c>
      <c r="K415">
        <v>1840.53</v>
      </c>
      <c r="L415">
        <v>1830.11</v>
      </c>
    </row>
    <row r="416" spans="1:12" x14ac:dyDescent="0.15">
      <c r="A416">
        <v>2055</v>
      </c>
      <c r="B416">
        <v>1911.57</v>
      </c>
      <c r="C416">
        <v>1910.83</v>
      </c>
      <c r="D416">
        <v>1908.19</v>
      </c>
      <c r="E416">
        <v>1903.62</v>
      </c>
      <c r="F416">
        <v>1897.12</v>
      </c>
      <c r="G416">
        <v>1888.68</v>
      </c>
      <c r="H416">
        <v>1878.42</v>
      </c>
      <c r="I416">
        <v>1867.49</v>
      </c>
      <c r="J416">
        <v>1856.58</v>
      </c>
      <c r="K416">
        <v>1845.84</v>
      </c>
      <c r="L416">
        <v>1835.31</v>
      </c>
    </row>
    <row r="417" spans="1:12" x14ac:dyDescent="0.15">
      <c r="A417">
        <v>2060</v>
      </c>
      <c r="B417">
        <v>1911.57</v>
      </c>
      <c r="C417">
        <v>1911.43</v>
      </c>
      <c r="D417">
        <v>1909.75</v>
      </c>
      <c r="E417">
        <v>1906.15</v>
      </c>
      <c r="F417">
        <v>1900.61</v>
      </c>
      <c r="G417">
        <v>1893.13</v>
      </c>
      <c r="H417">
        <v>1883.72</v>
      </c>
      <c r="I417">
        <v>1872.98</v>
      </c>
      <c r="J417">
        <v>1862.04</v>
      </c>
      <c r="K417">
        <v>1851.2</v>
      </c>
      <c r="L417">
        <v>1840.57</v>
      </c>
    </row>
    <row r="418" spans="1:12" x14ac:dyDescent="0.15">
      <c r="A418">
        <v>2065</v>
      </c>
      <c r="B418">
        <v>1911.57</v>
      </c>
      <c r="C418">
        <v>1911.57</v>
      </c>
      <c r="D418">
        <v>1910.84</v>
      </c>
      <c r="E418">
        <v>1908.2</v>
      </c>
      <c r="F418">
        <v>1903.62</v>
      </c>
      <c r="G418">
        <v>1897.1</v>
      </c>
      <c r="H418">
        <v>1888.65</v>
      </c>
      <c r="I418">
        <v>1878.43</v>
      </c>
      <c r="J418">
        <v>1867.52</v>
      </c>
      <c r="K418">
        <v>1856.62</v>
      </c>
      <c r="L418">
        <v>1845.88</v>
      </c>
    </row>
    <row r="419" spans="1:12" x14ac:dyDescent="0.15">
      <c r="A419">
        <v>2070</v>
      </c>
      <c r="B419">
        <v>1911.57</v>
      </c>
      <c r="C419">
        <v>1911.57</v>
      </c>
      <c r="D419">
        <v>1911.44</v>
      </c>
      <c r="E419">
        <v>1909.76</v>
      </c>
      <c r="F419">
        <v>1906.14</v>
      </c>
      <c r="G419">
        <v>1900.59</v>
      </c>
      <c r="H419">
        <v>1893.1</v>
      </c>
      <c r="I419">
        <v>1883.7</v>
      </c>
      <c r="J419">
        <v>1873</v>
      </c>
      <c r="K419">
        <v>1862.07</v>
      </c>
      <c r="L419">
        <v>1851.24</v>
      </c>
    </row>
    <row r="420" spans="1:12" x14ac:dyDescent="0.15">
      <c r="A420">
        <v>2075</v>
      </c>
      <c r="B420">
        <v>1911.57</v>
      </c>
      <c r="C420">
        <v>1911.57</v>
      </c>
      <c r="D420">
        <v>1911.57</v>
      </c>
      <c r="E420">
        <v>1910.84</v>
      </c>
      <c r="F420">
        <v>1908.19</v>
      </c>
      <c r="G420">
        <v>1903.6</v>
      </c>
      <c r="H420">
        <v>1897.07</v>
      </c>
      <c r="I420">
        <v>1888.62</v>
      </c>
      <c r="J420">
        <v>1878.43</v>
      </c>
      <c r="K420">
        <v>1867.55</v>
      </c>
      <c r="L420">
        <v>1856.65</v>
      </c>
    </row>
    <row r="421" spans="1:12" x14ac:dyDescent="0.15">
      <c r="A421">
        <v>2080</v>
      </c>
      <c r="B421">
        <v>1911.57</v>
      </c>
      <c r="C421">
        <v>1911.57</v>
      </c>
      <c r="D421">
        <v>1911.57</v>
      </c>
      <c r="E421">
        <v>1911.43</v>
      </c>
      <c r="F421">
        <v>1909.74</v>
      </c>
      <c r="G421">
        <v>1906.12</v>
      </c>
      <c r="H421">
        <v>1900.56</v>
      </c>
      <c r="I421">
        <v>1893.06</v>
      </c>
      <c r="J421">
        <v>1883.67</v>
      </c>
      <c r="K421">
        <v>1873.03</v>
      </c>
      <c r="L421">
        <v>1862.1</v>
      </c>
    </row>
    <row r="422" spans="1:12" x14ac:dyDescent="0.15">
      <c r="A422">
        <v>2085</v>
      </c>
      <c r="B422">
        <v>1911.57</v>
      </c>
      <c r="C422">
        <v>1911.57</v>
      </c>
      <c r="D422">
        <v>1911.57</v>
      </c>
      <c r="E422">
        <v>1911.57</v>
      </c>
      <c r="F422">
        <v>1910.75</v>
      </c>
      <c r="G422">
        <v>1908.01</v>
      </c>
      <c r="H422">
        <v>1903.33</v>
      </c>
      <c r="I422">
        <v>1896.72</v>
      </c>
      <c r="J422">
        <v>1888.17</v>
      </c>
      <c r="K422">
        <v>1877.97</v>
      </c>
      <c r="L422">
        <v>1867.12</v>
      </c>
    </row>
  </sheetData>
  <mergeCells count="1">
    <mergeCell ref="R1:V1"/>
  </mergeCells>
  <phoneticPr fontId="1" type="noConversion"/>
  <hyperlinks>
    <hyperlink ref="R4" location="SOUNDING!A1" display="Back" xr:uid="{00000000-0004-0000-11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1" tint="0.34998626667073579"/>
  </sheetPr>
  <dimension ref="A1:W215"/>
  <sheetViews>
    <sheetView showRowColHeaders="0" workbookViewId="0">
      <pane xSplit="17" ySplit="4" topLeftCell="R182" activePane="bottomRight" state="frozenSplit"/>
      <selection activeCell="R4" sqref="R4"/>
      <selection pane="topRight" activeCell="R4" sqref="R4"/>
      <selection pane="bottomLeft" activeCell="R4" sqref="R4"/>
      <selection pane="bottomRight" activeCell="D218" sqref="D218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  <row r="215" spans="1:12" x14ac:dyDescent="0.15">
      <c r="A215"/>
      <c r="B215"/>
      <c r="C215"/>
      <c r="D215"/>
      <c r="E215"/>
      <c r="F215"/>
      <c r="G215"/>
      <c r="H215"/>
      <c r="I215"/>
      <c r="J215"/>
      <c r="K215"/>
      <c r="L215"/>
    </row>
  </sheetData>
  <mergeCells count="1">
    <mergeCell ref="R1:V1"/>
  </mergeCells>
  <phoneticPr fontId="1" type="noConversion"/>
  <hyperlinks>
    <hyperlink ref="R4" location="SOUNDING!A1" display="Back" xr:uid="{00000000-0004-0000-1200-000000000000}"/>
  </hyperlink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302C-8223-4A06-BF23-84CC64F25FC0}">
  <sheetPr codeName="Sheet24">
    <tabColor theme="1" tint="0.34998626667073579"/>
  </sheetPr>
  <dimension ref="A1:W214"/>
  <sheetViews>
    <sheetView showRowColHeaders="0" workbookViewId="0">
      <pane xSplit="17" ySplit="4" topLeftCell="R188" activePane="bottomRight" state="frozenSplit"/>
      <selection activeCell="R4" sqref="R4"/>
      <selection pane="topRight" activeCell="R4" sqref="R4"/>
      <selection pane="bottomLeft" activeCell="R4" sqref="R4"/>
      <selection pane="bottomRight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0C3B5FAA-C8AD-47F9-BEC3-27FD37D3A0B9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4B1C6-4D25-4619-AE21-EDA734FE0767}">
  <sheetPr codeName="Sheet25">
    <tabColor theme="1" tint="0.34998626667073579"/>
  </sheetPr>
  <dimension ref="A1:W214"/>
  <sheetViews>
    <sheetView showRowColHeaders="0" workbookViewId="0">
      <pane xSplit="17" ySplit="4" topLeftCell="R191" activePane="bottomRight" state="frozenSplit"/>
      <selection activeCell="R4" sqref="R4"/>
      <selection pane="topRight" activeCell="R4" sqref="R4"/>
      <selection pane="bottomLeft" activeCell="R4" sqref="R4"/>
      <selection pane="bottomRight" activeCell="A215" sqref="A215:L215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6F3B0364-EF3A-4763-809C-6B6DFF41FD72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AEF87-80DB-43E0-8E95-0DA47499C91A}">
  <sheetPr codeName="Sheet23">
    <tabColor theme="1" tint="0.34998626667073579"/>
  </sheetPr>
  <dimension ref="A1:W214"/>
  <sheetViews>
    <sheetView showRowColHeaders="0" workbookViewId="0">
      <pane xSplit="17" ySplit="4" topLeftCell="R197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40ECB81F-BB23-4CB0-AB7E-9E9152B2109D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CF92C-8B8D-4F3B-BF3E-D8DC7E9D385F}">
  <sheetPr codeName="Sheet26">
    <tabColor theme="1" tint="0.34998626667073579"/>
  </sheetPr>
  <dimension ref="A1:W214"/>
  <sheetViews>
    <sheetView showRowColHeaders="0" workbookViewId="0">
      <pane xSplit="17" ySplit="4" topLeftCell="R193" activePane="bottomRight" state="frozenSplit"/>
      <selection activeCell="R4" sqref="R4"/>
      <selection pane="topRight" activeCell="R4" sqref="R4"/>
      <selection pane="bottomLeft" activeCell="R4" sqref="R4"/>
      <selection pane="bottomRight" activeCell="A215" sqref="A215:L215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C9B186D6-9A72-48C6-B4ED-12C69FE24FF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1" tint="0.34998626667073579"/>
  </sheetPr>
  <dimension ref="A1:W214"/>
  <sheetViews>
    <sheetView showRowColHeaders="0" workbookViewId="0">
      <pane xSplit="17" ySplit="4" topLeftCell="R188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00000000-0004-0000-1300-000000000000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98E1D-E496-4F42-9EB0-0022E1662D97}">
  <sheetPr codeName="Sheet27">
    <tabColor theme="1" tint="0.34998626667073579"/>
  </sheetPr>
  <dimension ref="A1:W214"/>
  <sheetViews>
    <sheetView showRowColHeaders="0" workbookViewId="0">
      <pane xSplit="17" ySplit="4" topLeftCell="R188" activePane="bottomRight" state="frozenSplit"/>
      <selection activeCell="R4" sqref="R4"/>
      <selection pane="topRight" activeCell="R4" sqref="R4"/>
      <selection pane="bottomLeft" activeCell="R4" sqref="R4"/>
      <selection pane="bottomRight" activeCell="A215" sqref="A215:L216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0922BA14-7058-404F-B724-A71F27C1775B}"/>
  </hyperlink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35FAB-E862-4F4D-96A7-C6ACDE11AD98}">
  <sheetPr codeName="Sheet28">
    <tabColor theme="1" tint="0.34998626667073579"/>
  </sheetPr>
  <dimension ref="A1:W214"/>
  <sheetViews>
    <sheetView showRowColHeaders="0" workbookViewId="0">
      <pane xSplit="17" ySplit="4" topLeftCell="R188" activePane="bottomRight" state="frozenSplit"/>
      <selection activeCell="R4" sqref="R4"/>
      <selection pane="topRight" activeCell="R4" sqref="R4"/>
      <selection pane="bottomLeft" activeCell="R4" sqref="R4"/>
      <selection pane="bottomRight" activeCell="I222" sqref="I221:I222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5C38F66C-9087-497E-9225-34DDCB515714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8BC0-B3D2-4824-BE5D-7FCBA9B8B711}">
  <sheetPr codeName="Sheet29">
    <tabColor theme="1" tint="0.34998626667073579"/>
  </sheetPr>
  <dimension ref="A1:W214"/>
  <sheetViews>
    <sheetView showRowColHeaders="0" workbookViewId="0">
      <pane xSplit="17" ySplit="4" topLeftCell="R5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CCC14A73-CB1E-4322-8173-54FD28E91002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48A06-98BD-463D-8880-2DD7589DE910}">
  <sheetPr codeName="Sheet30">
    <tabColor theme="1" tint="0.34998626667073579"/>
  </sheetPr>
  <dimension ref="A1:W214"/>
  <sheetViews>
    <sheetView showRowColHeaders="0" workbookViewId="0">
      <pane xSplit="17" ySplit="4" topLeftCell="R5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C7F2671D-38D2-4184-9AC6-307DE6AE1CB0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30961-CEBF-43BA-A5A6-62645D5B44D5}">
  <sheetPr codeName="Sheet31">
    <tabColor theme="1" tint="0.34998626667073579"/>
  </sheetPr>
  <dimension ref="A1:W214"/>
  <sheetViews>
    <sheetView showRowColHeaders="0" workbookViewId="0">
      <pane xSplit="17" ySplit="4" topLeftCell="R5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B89D6653-5E50-4BD0-B1FD-DBA627113C97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10DF4-0D09-4FC8-94E4-AE9C675CC571}">
  <sheetPr codeName="Sheet32">
    <tabColor theme="1" tint="0.34998626667073579"/>
  </sheetPr>
  <dimension ref="A1:W214"/>
  <sheetViews>
    <sheetView showRowColHeaders="0" workbookViewId="0">
      <pane xSplit="17" ySplit="4" topLeftCell="R5" activePane="bottomRight" state="frozenSplit"/>
      <selection activeCell="R4" sqref="R4"/>
      <selection pane="topRight" activeCell="R4" sqref="R4"/>
      <selection pane="bottomLeft" activeCell="R4" sqref="R4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20.09</v>
      </c>
      <c r="C5">
        <v>13.35</v>
      </c>
      <c r="D5">
        <v>6.98</v>
      </c>
      <c r="E5">
        <v>1.49</v>
      </c>
      <c r="F5">
        <v>0.44</v>
      </c>
      <c r="G5">
        <v>0.22</v>
      </c>
      <c r="H5">
        <v>0.13</v>
      </c>
      <c r="I5">
        <v>0.09</v>
      </c>
      <c r="J5">
        <v>0.06</v>
      </c>
      <c r="K5">
        <v>0.04</v>
      </c>
      <c r="L5">
        <v>0.03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28.94</v>
      </c>
      <c r="C6">
        <v>21.85</v>
      </c>
      <c r="D6">
        <v>15.03</v>
      </c>
      <c r="E6">
        <v>8.59</v>
      </c>
      <c r="F6">
        <v>3.29</v>
      </c>
      <c r="G6">
        <v>1.63</v>
      </c>
      <c r="H6">
        <v>1.02</v>
      </c>
      <c r="I6">
        <v>0.72</v>
      </c>
      <c r="J6">
        <v>0.54</v>
      </c>
      <c r="K6">
        <v>0.42</v>
      </c>
      <c r="L6">
        <v>0.34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38.26</v>
      </c>
      <c r="C7">
        <v>30.88</v>
      </c>
      <c r="D7">
        <v>23.73</v>
      </c>
      <c r="E7">
        <v>16.86</v>
      </c>
      <c r="F7">
        <v>10.36</v>
      </c>
      <c r="G7">
        <v>5.28</v>
      </c>
      <c r="H7">
        <v>3.23</v>
      </c>
      <c r="I7">
        <v>2.25</v>
      </c>
      <c r="J7">
        <v>1.69</v>
      </c>
      <c r="K7">
        <v>1.34</v>
      </c>
      <c r="L7">
        <v>1.1000000000000001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47.99</v>
      </c>
      <c r="C8">
        <v>40.36</v>
      </c>
      <c r="D8">
        <v>32.93</v>
      </c>
      <c r="E8">
        <v>25.73</v>
      </c>
      <c r="F8">
        <v>18.809999999999999</v>
      </c>
      <c r="G8">
        <v>12.27</v>
      </c>
      <c r="H8">
        <v>7.4</v>
      </c>
      <c r="I8">
        <v>5.08</v>
      </c>
      <c r="J8">
        <v>3.79</v>
      </c>
      <c r="K8">
        <v>2.97</v>
      </c>
      <c r="L8">
        <v>2.4300000000000002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58.06</v>
      </c>
      <c r="C9">
        <v>50.22</v>
      </c>
      <c r="D9">
        <v>42.55</v>
      </c>
      <c r="E9">
        <v>35.07</v>
      </c>
      <c r="F9">
        <v>27.83</v>
      </c>
      <c r="G9">
        <v>20.87</v>
      </c>
      <c r="H9">
        <v>14.29</v>
      </c>
      <c r="I9">
        <v>9.65</v>
      </c>
      <c r="J9">
        <v>7.11</v>
      </c>
      <c r="K9">
        <v>5.55</v>
      </c>
      <c r="L9">
        <v>4.51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68.45</v>
      </c>
      <c r="C10">
        <v>60.41</v>
      </c>
      <c r="D10">
        <v>52.53</v>
      </c>
      <c r="E10">
        <v>44.82</v>
      </c>
      <c r="F10">
        <v>37.299999999999997</v>
      </c>
      <c r="G10">
        <v>30.02</v>
      </c>
      <c r="H10">
        <v>23.02</v>
      </c>
      <c r="I10">
        <v>16.45</v>
      </c>
      <c r="J10">
        <v>11.99</v>
      </c>
      <c r="K10">
        <v>9.2899999999999991</v>
      </c>
      <c r="L10">
        <v>7.5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79.13</v>
      </c>
      <c r="C11">
        <v>70.91</v>
      </c>
      <c r="D11">
        <v>62.83</v>
      </c>
      <c r="E11">
        <v>54.91</v>
      </c>
      <c r="F11">
        <v>47.16</v>
      </c>
      <c r="G11">
        <v>39.61</v>
      </c>
      <c r="H11">
        <v>32.29</v>
      </c>
      <c r="I11">
        <v>25.25</v>
      </c>
      <c r="J11">
        <v>18.78</v>
      </c>
      <c r="K11">
        <v>14.43</v>
      </c>
      <c r="L11">
        <v>11.58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90.06</v>
      </c>
      <c r="C12">
        <v>81.680000000000007</v>
      </c>
      <c r="D12">
        <v>73.430000000000007</v>
      </c>
      <c r="E12">
        <v>65.319999999999993</v>
      </c>
      <c r="F12">
        <v>57.36</v>
      </c>
      <c r="G12">
        <v>49.58</v>
      </c>
      <c r="H12">
        <v>41.99</v>
      </c>
      <c r="I12">
        <v>34.64</v>
      </c>
      <c r="J12">
        <v>27.57</v>
      </c>
      <c r="K12">
        <v>21.23</v>
      </c>
      <c r="L12">
        <v>16.95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101.24</v>
      </c>
      <c r="C13">
        <v>92.71</v>
      </c>
      <c r="D13">
        <v>84.3</v>
      </c>
      <c r="E13">
        <v>76.010000000000005</v>
      </c>
      <c r="F13">
        <v>67.87</v>
      </c>
      <c r="G13">
        <v>59.88</v>
      </c>
      <c r="H13">
        <v>52.06</v>
      </c>
      <c r="I13">
        <v>44.44</v>
      </c>
      <c r="J13">
        <v>37.049999999999997</v>
      </c>
      <c r="K13">
        <v>29.96</v>
      </c>
      <c r="L13">
        <v>23.8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112.65</v>
      </c>
      <c r="C14">
        <v>103.98</v>
      </c>
      <c r="D14">
        <v>95.41</v>
      </c>
      <c r="E14">
        <v>86.97</v>
      </c>
      <c r="F14">
        <v>78.650000000000006</v>
      </c>
      <c r="G14">
        <v>70.48</v>
      </c>
      <c r="H14">
        <v>62.46</v>
      </c>
      <c r="I14">
        <v>54.61</v>
      </c>
      <c r="J14">
        <v>46.96</v>
      </c>
      <c r="K14">
        <v>39.54</v>
      </c>
      <c r="L14">
        <v>32.42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124.27</v>
      </c>
      <c r="C15">
        <v>115.46</v>
      </c>
      <c r="D15">
        <v>106.76</v>
      </c>
      <c r="E15">
        <v>98.17</v>
      </c>
      <c r="F15">
        <v>89.7</v>
      </c>
      <c r="G15">
        <v>81.349999999999994</v>
      </c>
      <c r="H15">
        <v>73.150000000000006</v>
      </c>
      <c r="I15">
        <v>65.099999999999994</v>
      </c>
      <c r="J15">
        <v>57.22</v>
      </c>
      <c r="K15">
        <v>49.53</v>
      </c>
      <c r="L15">
        <v>42.09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136.09</v>
      </c>
      <c r="C16">
        <v>127.16</v>
      </c>
      <c r="D16">
        <v>118.33</v>
      </c>
      <c r="E16">
        <v>109.6</v>
      </c>
      <c r="F16">
        <v>100.98</v>
      </c>
      <c r="G16">
        <v>92.48</v>
      </c>
      <c r="H16">
        <v>84.11</v>
      </c>
      <c r="I16">
        <v>75.87</v>
      </c>
      <c r="J16">
        <v>67.790000000000006</v>
      </c>
      <c r="K16">
        <v>59.88</v>
      </c>
      <c r="L16">
        <v>52.17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148.1</v>
      </c>
      <c r="C17">
        <v>139.06</v>
      </c>
      <c r="D17">
        <v>130.1</v>
      </c>
      <c r="E17">
        <v>121.25</v>
      </c>
      <c r="F17">
        <v>112.49</v>
      </c>
      <c r="G17">
        <v>103.84</v>
      </c>
      <c r="H17">
        <v>95.31</v>
      </c>
      <c r="I17">
        <v>86.91</v>
      </c>
      <c r="J17">
        <v>78.650000000000006</v>
      </c>
      <c r="K17">
        <v>70.540000000000006</v>
      </c>
      <c r="L17">
        <v>62.6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160.29</v>
      </c>
      <c r="C18">
        <v>151.13999999999999</v>
      </c>
      <c r="D18">
        <v>142.07</v>
      </c>
      <c r="E18">
        <v>133.09</v>
      </c>
      <c r="F18">
        <v>124.21</v>
      </c>
      <c r="G18">
        <v>115.43</v>
      </c>
      <c r="H18">
        <v>106.75</v>
      </c>
      <c r="I18">
        <v>98.2</v>
      </c>
      <c r="J18">
        <v>89.77</v>
      </c>
      <c r="K18">
        <v>81.48</v>
      </c>
      <c r="L18">
        <v>73.34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172.66</v>
      </c>
      <c r="C19">
        <v>163.4</v>
      </c>
      <c r="D19">
        <v>154.22999999999999</v>
      </c>
      <c r="E19">
        <v>145.13</v>
      </c>
      <c r="F19">
        <v>136.13</v>
      </c>
      <c r="G19">
        <v>127.22</v>
      </c>
      <c r="H19">
        <v>118.41</v>
      </c>
      <c r="I19">
        <v>109.71</v>
      </c>
      <c r="J19">
        <v>101.13</v>
      </c>
      <c r="K19">
        <v>92.67</v>
      </c>
      <c r="L19">
        <v>84.35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185.19</v>
      </c>
      <c r="C20">
        <v>175.84</v>
      </c>
      <c r="D20">
        <v>166.56</v>
      </c>
      <c r="E20">
        <v>157.36000000000001</v>
      </c>
      <c r="F20">
        <v>148.24</v>
      </c>
      <c r="G20">
        <v>139.21</v>
      </c>
      <c r="H20">
        <v>130.27000000000001</v>
      </c>
      <c r="I20">
        <v>121.44</v>
      </c>
      <c r="J20">
        <v>112.71</v>
      </c>
      <c r="K20">
        <v>104.11</v>
      </c>
      <c r="L20">
        <v>95.62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197.89</v>
      </c>
      <c r="C21">
        <v>188.44</v>
      </c>
      <c r="D21">
        <v>179.06</v>
      </c>
      <c r="E21">
        <v>169.75</v>
      </c>
      <c r="F21">
        <v>160.53</v>
      </c>
      <c r="G21">
        <v>151.38999999999999</v>
      </c>
      <c r="H21">
        <v>142.33000000000001</v>
      </c>
      <c r="I21">
        <v>133.37</v>
      </c>
      <c r="J21">
        <v>124.51</v>
      </c>
      <c r="K21">
        <v>115.76</v>
      </c>
      <c r="L21">
        <v>107.13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210.74</v>
      </c>
      <c r="C22">
        <v>201.2</v>
      </c>
      <c r="D22">
        <v>191.73</v>
      </c>
      <c r="E22">
        <v>182.32</v>
      </c>
      <c r="F22">
        <v>172.99</v>
      </c>
      <c r="G22">
        <v>163.74</v>
      </c>
      <c r="H22">
        <v>154.58000000000001</v>
      </c>
      <c r="I22">
        <v>145.5</v>
      </c>
      <c r="J22">
        <v>136.51</v>
      </c>
      <c r="K22">
        <v>127.63</v>
      </c>
      <c r="L22">
        <v>118.85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223.74</v>
      </c>
      <c r="C23">
        <v>214.11</v>
      </c>
      <c r="D23">
        <v>204.55</v>
      </c>
      <c r="E23">
        <v>195.05</v>
      </c>
      <c r="F23">
        <v>185.63</v>
      </c>
      <c r="G23">
        <v>176.27</v>
      </c>
      <c r="H23">
        <v>167</v>
      </c>
      <c r="I23">
        <v>157.81</v>
      </c>
      <c r="J23">
        <v>148.69999999999999</v>
      </c>
      <c r="K23">
        <v>139.69999999999999</v>
      </c>
      <c r="L23">
        <v>130.79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236.89</v>
      </c>
      <c r="C24">
        <v>227.18</v>
      </c>
      <c r="D24">
        <v>217.53</v>
      </c>
      <c r="E24">
        <v>207.94</v>
      </c>
      <c r="F24">
        <v>198.42</v>
      </c>
      <c r="G24">
        <v>188.97</v>
      </c>
      <c r="H24">
        <v>179.59</v>
      </c>
      <c r="I24">
        <v>170.29</v>
      </c>
      <c r="J24">
        <v>161.08000000000001</v>
      </c>
      <c r="K24">
        <v>151.94999999999999</v>
      </c>
      <c r="L24">
        <v>142.91999999999999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250.17</v>
      </c>
      <c r="C25">
        <v>240.38</v>
      </c>
      <c r="D25">
        <v>230.65</v>
      </c>
      <c r="E25">
        <v>220.98</v>
      </c>
      <c r="F25">
        <v>211.37</v>
      </c>
      <c r="G25">
        <v>201.82</v>
      </c>
      <c r="H25">
        <v>192.35</v>
      </c>
      <c r="I25">
        <v>182.95</v>
      </c>
      <c r="J25">
        <v>173.63</v>
      </c>
      <c r="K25">
        <v>164.39</v>
      </c>
      <c r="L25">
        <v>155.24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263.58999999999997</v>
      </c>
      <c r="C26">
        <v>253.72</v>
      </c>
      <c r="D26">
        <v>243.91</v>
      </c>
      <c r="E26">
        <v>234.16</v>
      </c>
      <c r="F26">
        <v>224.46</v>
      </c>
      <c r="G26">
        <v>214.83</v>
      </c>
      <c r="H26">
        <v>205.27</v>
      </c>
      <c r="I26">
        <v>195.77</v>
      </c>
      <c r="J26">
        <v>186.35</v>
      </c>
      <c r="K26">
        <v>177</v>
      </c>
      <c r="L26">
        <v>167.74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277.14</v>
      </c>
      <c r="C27">
        <v>267.2</v>
      </c>
      <c r="D27">
        <v>257.31</v>
      </c>
      <c r="E27">
        <v>247.48</v>
      </c>
      <c r="F27">
        <v>237.7</v>
      </c>
      <c r="G27">
        <v>227.99</v>
      </c>
      <c r="H27">
        <v>218.33</v>
      </c>
      <c r="I27">
        <v>208.75</v>
      </c>
      <c r="J27">
        <v>199.23</v>
      </c>
      <c r="K27">
        <v>189.78</v>
      </c>
      <c r="L27">
        <v>180.42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290.82</v>
      </c>
      <c r="C28">
        <v>280.81</v>
      </c>
      <c r="D28">
        <v>270.85000000000002</v>
      </c>
      <c r="E28">
        <v>260.94</v>
      </c>
      <c r="F28">
        <v>251.08</v>
      </c>
      <c r="G28">
        <v>241.29</v>
      </c>
      <c r="H28">
        <v>231.55</v>
      </c>
      <c r="I28">
        <v>221.87</v>
      </c>
      <c r="J28">
        <v>212.26</v>
      </c>
      <c r="K28">
        <v>202.72</v>
      </c>
      <c r="L28">
        <v>193.26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304.63</v>
      </c>
      <c r="C29">
        <v>294.55</v>
      </c>
      <c r="D29">
        <v>284.51</v>
      </c>
      <c r="E29">
        <v>274.52999999999997</v>
      </c>
      <c r="F29">
        <v>264.60000000000002</v>
      </c>
      <c r="G29">
        <v>254.72</v>
      </c>
      <c r="H29">
        <v>244.91</v>
      </c>
      <c r="I29">
        <v>235.15</v>
      </c>
      <c r="J29">
        <v>225.45</v>
      </c>
      <c r="K29">
        <v>215.82</v>
      </c>
      <c r="L29">
        <v>206.26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318.56</v>
      </c>
      <c r="C30">
        <v>308.41000000000003</v>
      </c>
      <c r="D30">
        <v>298.31</v>
      </c>
      <c r="E30">
        <v>288.25</v>
      </c>
      <c r="F30">
        <v>278.25</v>
      </c>
      <c r="G30">
        <v>268.3</v>
      </c>
      <c r="H30">
        <v>258.39999999999998</v>
      </c>
      <c r="I30">
        <v>248.56</v>
      </c>
      <c r="J30">
        <v>238.78</v>
      </c>
      <c r="K30">
        <v>229.06</v>
      </c>
      <c r="L30">
        <v>219.41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332.61</v>
      </c>
      <c r="C31">
        <v>322.39</v>
      </c>
      <c r="D31">
        <v>312.22000000000003</v>
      </c>
      <c r="E31">
        <v>302.10000000000002</v>
      </c>
      <c r="F31">
        <v>292.02999999999997</v>
      </c>
      <c r="G31">
        <v>282</v>
      </c>
      <c r="H31">
        <v>272.02999999999997</v>
      </c>
      <c r="I31">
        <v>262.11</v>
      </c>
      <c r="J31">
        <v>252.25</v>
      </c>
      <c r="K31">
        <v>242.45</v>
      </c>
      <c r="L31">
        <v>232.71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346.77</v>
      </c>
      <c r="C32">
        <v>336.5</v>
      </c>
      <c r="D32">
        <v>326.26</v>
      </c>
      <c r="E32">
        <v>316.07</v>
      </c>
      <c r="F32">
        <v>305.93</v>
      </c>
      <c r="G32">
        <v>295.83999999999997</v>
      </c>
      <c r="H32">
        <v>285.79000000000002</v>
      </c>
      <c r="I32">
        <v>275.8</v>
      </c>
      <c r="J32">
        <v>265.86</v>
      </c>
      <c r="K32">
        <v>255.98</v>
      </c>
      <c r="L32">
        <v>246.16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361.06</v>
      </c>
      <c r="C33">
        <v>350.72</v>
      </c>
      <c r="D33">
        <v>340.42</v>
      </c>
      <c r="E33">
        <v>330.17</v>
      </c>
      <c r="F33">
        <v>319.95999999999998</v>
      </c>
      <c r="G33">
        <v>309.8</v>
      </c>
      <c r="H33">
        <v>299.68</v>
      </c>
      <c r="I33">
        <v>289.62</v>
      </c>
      <c r="J33">
        <v>279.61</v>
      </c>
      <c r="K33">
        <v>269.64999999999998</v>
      </c>
      <c r="L33">
        <v>259.74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375.45</v>
      </c>
      <c r="C34">
        <v>365.06</v>
      </c>
      <c r="D34">
        <v>354.7</v>
      </c>
      <c r="E34">
        <v>344.38</v>
      </c>
      <c r="F34">
        <v>334.11</v>
      </c>
      <c r="G34">
        <v>323.88</v>
      </c>
      <c r="H34">
        <v>313.7</v>
      </c>
      <c r="I34">
        <v>303.56</v>
      </c>
      <c r="J34">
        <v>293.48</v>
      </c>
      <c r="K34">
        <v>283.45</v>
      </c>
      <c r="L34">
        <v>273.47000000000003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389.96</v>
      </c>
      <c r="C35">
        <v>379.5</v>
      </c>
      <c r="D35">
        <v>369.09</v>
      </c>
      <c r="E35">
        <v>358.71</v>
      </c>
      <c r="F35">
        <v>348.38</v>
      </c>
      <c r="G35">
        <v>338.09</v>
      </c>
      <c r="H35">
        <v>327.84</v>
      </c>
      <c r="I35">
        <v>317.64</v>
      </c>
      <c r="J35">
        <v>307.48</v>
      </c>
      <c r="K35">
        <v>297.38</v>
      </c>
      <c r="L35">
        <v>287.32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403.9</v>
      </c>
      <c r="C36">
        <v>394.06</v>
      </c>
      <c r="D36">
        <v>383.59</v>
      </c>
      <c r="E36">
        <v>373.16</v>
      </c>
      <c r="F36">
        <v>362.76</v>
      </c>
      <c r="G36">
        <v>352.41</v>
      </c>
      <c r="H36">
        <v>342.1</v>
      </c>
      <c r="I36">
        <v>331.83</v>
      </c>
      <c r="J36">
        <v>321.61</v>
      </c>
      <c r="K36">
        <v>311.43</v>
      </c>
      <c r="L36">
        <v>301.31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413.24</v>
      </c>
      <c r="C37">
        <v>408.39</v>
      </c>
      <c r="D37">
        <v>398.2</v>
      </c>
      <c r="E37">
        <v>387.71</v>
      </c>
      <c r="F37">
        <v>377.26</v>
      </c>
      <c r="G37">
        <v>366.85</v>
      </c>
      <c r="H37">
        <v>356.47</v>
      </c>
      <c r="I37">
        <v>346.14</v>
      </c>
      <c r="J37">
        <v>335.86</v>
      </c>
      <c r="K37">
        <v>325.61</v>
      </c>
      <c r="L37">
        <v>315.42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418.56</v>
      </c>
      <c r="C38">
        <v>415.74</v>
      </c>
      <c r="D38">
        <v>412.92</v>
      </c>
      <c r="E38">
        <v>402.37</v>
      </c>
      <c r="F38">
        <v>391.87</v>
      </c>
      <c r="G38">
        <v>381.39</v>
      </c>
      <c r="H38">
        <v>370.96</v>
      </c>
      <c r="I38">
        <v>360.57</v>
      </c>
      <c r="J38">
        <v>350.22</v>
      </c>
      <c r="K38">
        <v>339.91</v>
      </c>
      <c r="L38">
        <v>329.65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422.83</v>
      </c>
      <c r="C39">
        <v>420.01</v>
      </c>
      <c r="D39">
        <v>417.18</v>
      </c>
      <c r="E39">
        <v>414.01</v>
      </c>
      <c r="F39">
        <v>405.5</v>
      </c>
      <c r="G39">
        <v>395.41</v>
      </c>
      <c r="H39">
        <v>385.22</v>
      </c>
      <c r="I39">
        <v>374.82</v>
      </c>
      <c r="J39">
        <v>364.46</v>
      </c>
      <c r="K39">
        <v>354.13</v>
      </c>
      <c r="L39">
        <v>343.85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427.14</v>
      </c>
      <c r="C40">
        <v>424.31</v>
      </c>
      <c r="D40">
        <v>421.47</v>
      </c>
      <c r="E40">
        <v>418.63</v>
      </c>
      <c r="F40">
        <v>415.12</v>
      </c>
      <c r="G40">
        <v>407.44</v>
      </c>
      <c r="H40">
        <v>398.1</v>
      </c>
      <c r="I40">
        <v>388.15</v>
      </c>
      <c r="J40">
        <v>378.02</v>
      </c>
      <c r="K40">
        <v>367.89</v>
      </c>
      <c r="L40">
        <v>357.8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431.48</v>
      </c>
      <c r="C41">
        <v>428.64</v>
      </c>
      <c r="D41">
        <v>425.8</v>
      </c>
      <c r="E41">
        <v>422.95</v>
      </c>
      <c r="F41">
        <v>420.1</v>
      </c>
      <c r="G41">
        <v>416.25</v>
      </c>
      <c r="H41">
        <v>409.06</v>
      </c>
      <c r="I41">
        <v>400.15</v>
      </c>
      <c r="J41">
        <v>390.73</v>
      </c>
      <c r="K41">
        <v>380.81</v>
      </c>
      <c r="L41">
        <v>370.84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435.85</v>
      </c>
      <c r="C42">
        <v>433.01</v>
      </c>
      <c r="D42">
        <v>430.16</v>
      </c>
      <c r="E42">
        <v>427.31</v>
      </c>
      <c r="F42">
        <v>424.45</v>
      </c>
      <c r="G42">
        <v>421.59</v>
      </c>
      <c r="H42">
        <v>417.4</v>
      </c>
      <c r="I42">
        <v>410.46</v>
      </c>
      <c r="J42">
        <v>402.02</v>
      </c>
      <c r="K42">
        <v>392.89</v>
      </c>
      <c r="L42">
        <v>383.39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440.25</v>
      </c>
      <c r="C43">
        <v>437.4</v>
      </c>
      <c r="D43">
        <v>434.55</v>
      </c>
      <c r="E43">
        <v>431.69</v>
      </c>
      <c r="F43">
        <v>428.83</v>
      </c>
      <c r="G43">
        <v>425.96</v>
      </c>
      <c r="H43">
        <v>423.09</v>
      </c>
      <c r="I43">
        <v>418.56</v>
      </c>
      <c r="J43">
        <v>411.81</v>
      </c>
      <c r="K43">
        <v>403.71</v>
      </c>
      <c r="L43">
        <v>394.77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444.68</v>
      </c>
      <c r="C44">
        <v>441.83</v>
      </c>
      <c r="D44">
        <v>438.98</v>
      </c>
      <c r="E44">
        <v>436.12</v>
      </c>
      <c r="F44">
        <v>433.25</v>
      </c>
      <c r="G44">
        <v>430.38</v>
      </c>
      <c r="H44">
        <v>427.5</v>
      </c>
      <c r="I44">
        <v>424.51</v>
      </c>
      <c r="J44">
        <v>419.74</v>
      </c>
      <c r="K44">
        <v>413.14</v>
      </c>
      <c r="L44">
        <v>405.34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449.14</v>
      </c>
      <c r="C45">
        <v>446.29</v>
      </c>
      <c r="D45">
        <v>443.44</v>
      </c>
      <c r="E45">
        <v>440.57</v>
      </c>
      <c r="F45">
        <v>437.7</v>
      </c>
      <c r="G45">
        <v>434.82</v>
      </c>
      <c r="H45">
        <v>431.94</v>
      </c>
      <c r="I45">
        <v>429.05</v>
      </c>
      <c r="J45">
        <v>425.93</v>
      </c>
      <c r="K45">
        <v>420.95</v>
      </c>
      <c r="L45">
        <v>414.49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453.63</v>
      </c>
      <c r="C46">
        <v>450.79</v>
      </c>
      <c r="D46">
        <v>447.93</v>
      </c>
      <c r="E46">
        <v>445.06</v>
      </c>
      <c r="F46">
        <v>442.19</v>
      </c>
      <c r="G46">
        <v>439.31</v>
      </c>
      <c r="H46">
        <v>436.42</v>
      </c>
      <c r="I46">
        <v>433.53</v>
      </c>
      <c r="J46">
        <v>430.63</v>
      </c>
      <c r="K46">
        <v>427.37</v>
      </c>
      <c r="L46">
        <v>422.17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458.16</v>
      </c>
      <c r="C47">
        <v>455.31</v>
      </c>
      <c r="D47">
        <v>452.46</v>
      </c>
      <c r="E47">
        <v>449.59</v>
      </c>
      <c r="F47">
        <v>446.71</v>
      </c>
      <c r="G47">
        <v>443.83</v>
      </c>
      <c r="H47">
        <v>440.94</v>
      </c>
      <c r="I47">
        <v>438.04</v>
      </c>
      <c r="J47">
        <v>435.13</v>
      </c>
      <c r="K47">
        <v>432.22</v>
      </c>
      <c r="L47">
        <v>428.83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462.71</v>
      </c>
      <c r="C48">
        <v>459.87</v>
      </c>
      <c r="D48">
        <v>457.01</v>
      </c>
      <c r="E48">
        <v>454.15</v>
      </c>
      <c r="F48">
        <v>451.27</v>
      </c>
      <c r="G48">
        <v>448.39</v>
      </c>
      <c r="H48">
        <v>445.49</v>
      </c>
      <c r="I48">
        <v>442.59</v>
      </c>
      <c r="J48">
        <v>439.68</v>
      </c>
      <c r="K48">
        <v>436.77</v>
      </c>
      <c r="L48">
        <v>433.85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467.29</v>
      </c>
      <c r="C49">
        <v>464.45</v>
      </c>
      <c r="D49">
        <v>461.6</v>
      </c>
      <c r="E49">
        <v>458.73</v>
      </c>
      <c r="F49">
        <v>455.86</v>
      </c>
      <c r="G49">
        <v>452.97</v>
      </c>
      <c r="H49">
        <v>450.08</v>
      </c>
      <c r="I49">
        <v>447.18</v>
      </c>
      <c r="J49">
        <v>444.26</v>
      </c>
      <c r="K49">
        <v>441.35</v>
      </c>
      <c r="L49">
        <v>438.42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471.89</v>
      </c>
      <c r="C50">
        <v>469.06</v>
      </c>
      <c r="D50">
        <v>466.21</v>
      </c>
      <c r="E50">
        <v>463.35</v>
      </c>
      <c r="F50">
        <v>460.48</v>
      </c>
      <c r="G50">
        <v>457.6</v>
      </c>
      <c r="H50">
        <v>454.7</v>
      </c>
      <c r="I50">
        <v>451.8</v>
      </c>
      <c r="J50">
        <v>448.88</v>
      </c>
      <c r="K50">
        <v>445.96</v>
      </c>
      <c r="L50">
        <v>443.03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476.52</v>
      </c>
      <c r="C51">
        <v>473.69</v>
      </c>
      <c r="D51">
        <v>470.85</v>
      </c>
      <c r="E51">
        <v>468</v>
      </c>
      <c r="F51">
        <v>465.13</v>
      </c>
      <c r="G51">
        <v>462.25</v>
      </c>
      <c r="H51">
        <v>459.35</v>
      </c>
      <c r="I51">
        <v>456.45</v>
      </c>
      <c r="J51">
        <v>453.54</v>
      </c>
      <c r="K51">
        <v>450.61</v>
      </c>
      <c r="L51">
        <v>447.68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481.17</v>
      </c>
      <c r="C52">
        <v>478.35</v>
      </c>
      <c r="D52">
        <v>475.52</v>
      </c>
      <c r="E52">
        <v>472.67</v>
      </c>
      <c r="F52">
        <v>469.8</v>
      </c>
      <c r="G52">
        <v>466.92</v>
      </c>
      <c r="H52">
        <v>464.03</v>
      </c>
      <c r="I52">
        <v>461.13</v>
      </c>
      <c r="J52">
        <v>458.22</v>
      </c>
      <c r="K52">
        <v>455.3</v>
      </c>
      <c r="L52">
        <v>452.37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485.85</v>
      </c>
      <c r="C53">
        <v>483.03</v>
      </c>
      <c r="D53">
        <v>480.2</v>
      </c>
      <c r="E53">
        <v>477.36</v>
      </c>
      <c r="F53">
        <v>474.5</v>
      </c>
      <c r="G53">
        <v>471.63</v>
      </c>
      <c r="H53">
        <v>468.74</v>
      </c>
      <c r="I53">
        <v>465.85</v>
      </c>
      <c r="J53">
        <v>462.94</v>
      </c>
      <c r="K53">
        <v>460.02</v>
      </c>
      <c r="L53">
        <v>457.09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490.53</v>
      </c>
      <c r="C54">
        <v>487.73</v>
      </c>
      <c r="D54">
        <v>484.91</v>
      </c>
      <c r="E54">
        <v>482.07</v>
      </c>
      <c r="F54">
        <v>479.22</v>
      </c>
      <c r="G54">
        <v>476.36</v>
      </c>
      <c r="H54">
        <v>473.48</v>
      </c>
      <c r="I54">
        <v>470.58</v>
      </c>
      <c r="J54">
        <v>467.68</v>
      </c>
      <c r="K54">
        <v>464.76</v>
      </c>
      <c r="L54">
        <v>461.83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495.24</v>
      </c>
      <c r="C55">
        <v>492.44</v>
      </c>
      <c r="D55">
        <v>489.63</v>
      </c>
      <c r="E55">
        <v>486.81</v>
      </c>
      <c r="F55">
        <v>483.96</v>
      </c>
      <c r="G55">
        <v>481.11</v>
      </c>
      <c r="H55">
        <v>478.23</v>
      </c>
      <c r="I55">
        <v>475.35</v>
      </c>
      <c r="J55">
        <v>472.45</v>
      </c>
      <c r="K55">
        <v>469.54</v>
      </c>
      <c r="L55">
        <v>466.61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499.96</v>
      </c>
      <c r="C56">
        <v>497.18</v>
      </c>
      <c r="D56">
        <v>494.38</v>
      </c>
      <c r="E56">
        <v>491.56</v>
      </c>
      <c r="F56">
        <v>488.73</v>
      </c>
      <c r="G56">
        <v>485.88</v>
      </c>
      <c r="H56">
        <v>483.01</v>
      </c>
      <c r="I56">
        <v>480.13</v>
      </c>
      <c r="J56">
        <v>477.24</v>
      </c>
      <c r="K56">
        <v>474.33</v>
      </c>
      <c r="L56">
        <v>471.41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504.69</v>
      </c>
      <c r="C57">
        <v>501.92</v>
      </c>
      <c r="D57">
        <v>499.13</v>
      </c>
      <c r="E57">
        <v>496.33</v>
      </c>
      <c r="F57">
        <v>493.51</v>
      </c>
      <c r="G57">
        <v>490.67</v>
      </c>
      <c r="H57">
        <v>487.81</v>
      </c>
      <c r="I57">
        <v>484.94</v>
      </c>
      <c r="J57">
        <v>482.06</v>
      </c>
      <c r="K57">
        <v>479.16</v>
      </c>
      <c r="L57">
        <v>476.24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509.44</v>
      </c>
      <c r="C58">
        <v>506.69</v>
      </c>
      <c r="D58">
        <v>503.91</v>
      </c>
      <c r="E58">
        <v>501.12</v>
      </c>
      <c r="F58">
        <v>498.3</v>
      </c>
      <c r="G58">
        <v>495.48</v>
      </c>
      <c r="H58">
        <v>492.63</v>
      </c>
      <c r="I58">
        <v>489.77</v>
      </c>
      <c r="J58">
        <v>486.89</v>
      </c>
      <c r="K58">
        <v>484</v>
      </c>
      <c r="L58">
        <v>481.1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514.21</v>
      </c>
      <c r="C59">
        <v>511.46</v>
      </c>
      <c r="D59">
        <v>508.7</v>
      </c>
      <c r="E59">
        <v>505.92</v>
      </c>
      <c r="F59">
        <v>503.12</v>
      </c>
      <c r="G59">
        <v>500.3</v>
      </c>
      <c r="H59">
        <v>497.47</v>
      </c>
      <c r="I59">
        <v>494.62</v>
      </c>
      <c r="J59">
        <v>491.75</v>
      </c>
      <c r="K59">
        <v>488.87</v>
      </c>
      <c r="L59">
        <v>485.97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518.98</v>
      </c>
      <c r="C60">
        <v>516.26</v>
      </c>
      <c r="D60">
        <v>513.51</v>
      </c>
      <c r="E60">
        <v>510.74</v>
      </c>
      <c r="F60">
        <v>507.95</v>
      </c>
      <c r="G60">
        <v>505.15</v>
      </c>
      <c r="H60">
        <v>502.33</v>
      </c>
      <c r="I60">
        <v>499.49</v>
      </c>
      <c r="J60">
        <v>496.63</v>
      </c>
      <c r="K60">
        <v>493.76</v>
      </c>
      <c r="L60">
        <v>490.87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523.77</v>
      </c>
      <c r="C61">
        <v>521.05999999999995</v>
      </c>
      <c r="D61">
        <v>518.33000000000004</v>
      </c>
      <c r="E61">
        <v>515.57000000000005</v>
      </c>
      <c r="F61">
        <v>512.79999999999995</v>
      </c>
      <c r="G61">
        <v>510.01</v>
      </c>
      <c r="H61">
        <v>507.2</v>
      </c>
      <c r="I61">
        <v>504.37</v>
      </c>
      <c r="J61">
        <v>501.53</v>
      </c>
      <c r="K61">
        <v>498.67</v>
      </c>
      <c r="L61">
        <v>495.79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528.57000000000005</v>
      </c>
      <c r="C62">
        <v>525.88</v>
      </c>
      <c r="D62">
        <v>523.16</v>
      </c>
      <c r="E62">
        <v>520.41999999999996</v>
      </c>
      <c r="F62">
        <v>517.66999999999996</v>
      </c>
      <c r="G62">
        <v>514.89</v>
      </c>
      <c r="H62">
        <v>512.09</v>
      </c>
      <c r="I62">
        <v>509.28</v>
      </c>
      <c r="J62">
        <v>506.45</v>
      </c>
      <c r="K62">
        <v>503.6</v>
      </c>
      <c r="L62">
        <v>500.73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533.38</v>
      </c>
      <c r="C63">
        <v>530.70000000000005</v>
      </c>
      <c r="D63">
        <v>528</v>
      </c>
      <c r="E63">
        <v>525.28</v>
      </c>
      <c r="F63">
        <v>522.54</v>
      </c>
      <c r="G63">
        <v>519.78</v>
      </c>
      <c r="H63">
        <v>517</v>
      </c>
      <c r="I63">
        <v>514.20000000000005</v>
      </c>
      <c r="J63">
        <v>511.38</v>
      </c>
      <c r="K63">
        <v>508.54</v>
      </c>
      <c r="L63">
        <v>505.69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538.20000000000005</v>
      </c>
      <c r="C64">
        <v>535.53</v>
      </c>
      <c r="D64">
        <v>532.85</v>
      </c>
      <c r="E64">
        <v>530.15</v>
      </c>
      <c r="F64">
        <v>527.41999999999996</v>
      </c>
      <c r="G64">
        <v>524.67999999999995</v>
      </c>
      <c r="H64">
        <v>521.91</v>
      </c>
      <c r="I64">
        <v>519.13</v>
      </c>
      <c r="J64">
        <v>516.32000000000005</v>
      </c>
      <c r="K64">
        <v>513.5</v>
      </c>
      <c r="L64">
        <v>510.66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543.01</v>
      </c>
      <c r="C65">
        <v>540.37</v>
      </c>
      <c r="D65">
        <v>537.71</v>
      </c>
      <c r="E65">
        <v>535.02</v>
      </c>
      <c r="F65">
        <v>532.32000000000005</v>
      </c>
      <c r="G65">
        <v>529.59</v>
      </c>
      <c r="H65">
        <v>526.84</v>
      </c>
      <c r="I65">
        <v>524.07000000000005</v>
      </c>
      <c r="J65">
        <v>521.28</v>
      </c>
      <c r="K65">
        <v>518.47</v>
      </c>
      <c r="L65">
        <v>515.65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547.84</v>
      </c>
      <c r="C66">
        <v>545.22</v>
      </c>
      <c r="D66">
        <v>542.57000000000005</v>
      </c>
      <c r="E66">
        <v>539.9</v>
      </c>
      <c r="F66">
        <v>537.22</v>
      </c>
      <c r="G66">
        <v>534.51</v>
      </c>
      <c r="H66">
        <v>531.77</v>
      </c>
      <c r="I66">
        <v>529.02</v>
      </c>
      <c r="J66">
        <v>526.25</v>
      </c>
      <c r="K66">
        <v>523.46</v>
      </c>
      <c r="L66">
        <v>520.64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552.66</v>
      </c>
      <c r="C67">
        <v>550.05999999999995</v>
      </c>
      <c r="D67">
        <v>547.44000000000005</v>
      </c>
      <c r="E67">
        <v>544.79</v>
      </c>
      <c r="F67">
        <v>542.12</v>
      </c>
      <c r="G67">
        <v>539.42999999999995</v>
      </c>
      <c r="H67">
        <v>536.71</v>
      </c>
      <c r="I67">
        <v>533.98</v>
      </c>
      <c r="J67">
        <v>531.23</v>
      </c>
      <c r="K67">
        <v>528.45000000000005</v>
      </c>
      <c r="L67">
        <v>525.65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557.48</v>
      </c>
      <c r="C68">
        <v>554.9</v>
      </c>
      <c r="D68">
        <v>552.29999999999995</v>
      </c>
      <c r="E68">
        <v>549.66999999999996</v>
      </c>
      <c r="F68">
        <v>547.03</v>
      </c>
      <c r="G68">
        <v>544.35</v>
      </c>
      <c r="H68">
        <v>541.66</v>
      </c>
      <c r="I68">
        <v>538.94000000000005</v>
      </c>
      <c r="J68">
        <v>536.21</v>
      </c>
      <c r="K68">
        <v>533.45000000000005</v>
      </c>
      <c r="L68">
        <v>530.66999999999996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562.30999999999995</v>
      </c>
      <c r="C69">
        <v>559.75</v>
      </c>
      <c r="D69">
        <v>557.16999999999996</v>
      </c>
      <c r="E69">
        <v>554.55999999999995</v>
      </c>
      <c r="F69">
        <v>551.92999999999995</v>
      </c>
      <c r="G69">
        <v>549.28</v>
      </c>
      <c r="H69">
        <v>546.61</v>
      </c>
      <c r="I69">
        <v>543.91</v>
      </c>
      <c r="J69">
        <v>541.19000000000005</v>
      </c>
      <c r="K69">
        <v>538.45000000000005</v>
      </c>
      <c r="L69">
        <v>535.69000000000005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567.13</v>
      </c>
      <c r="C70">
        <v>564.59</v>
      </c>
      <c r="D70">
        <v>562.03</v>
      </c>
      <c r="E70">
        <v>559.45000000000005</v>
      </c>
      <c r="F70">
        <v>556.84</v>
      </c>
      <c r="G70">
        <v>554.21</v>
      </c>
      <c r="H70">
        <v>551.55999999999995</v>
      </c>
      <c r="I70">
        <v>548.88</v>
      </c>
      <c r="J70">
        <v>546.17999999999995</v>
      </c>
      <c r="K70">
        <v>543.46</v>
      </c>
      <c r="L70">
        <v>540.72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571.95000000000005</v>
      </c>
      <c r="C71">
        <v>569.42999999999995</v>
      </c>
      <c r="D71">
        <v>566.9</v>
      </c>
      <c r="E71">
        <v>564.34</v>
      </c>
      <c r="F71">
        <v>561.75</v>
      </c>
      <c r="G71">
        <v>559.14</v>
      </c>
      <c r="H71">
        <v>556.51</v>
      </c>
      <c r="I71">
        <v>553.86</v>
      </c>
      <c r="J71">
        <v>551.17999999999995</v>
      </c>
      <c r="K71">
        <v>548.48</v>
      </c>
      <c r="L71">
        <v>545.76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576.76</v>
      </c>
      <c r="C72">
        <v>574.27</v>
      </c>
      <c r="D72">
        <v>571.76</v>
      </c>
      <c r="E72">
        <v>569.22</v>
      </c>
      <c r="F72">
        <v>566.66</v>
      </c>
      <c r="G72">
        <v>564.08000000000004</v>
      </c>
      <c r="H72">
        <v>561.47</v>
      </c>
      <c r="I72">
        <v>558.83000000000004</v>
      </c>
      <c r="J72">
        <v>556.17999999999995</v>
      </c>
      <c r="K72">
        <v>553.5</v>
      </c>
      <c r="L72">
        <v>550.79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581.57000000000005</v>
      </c>
      <c r="C73">
        <v>579.11</v>
      </c>
      <c r="D73">
        <v>576.62</v>
      </c>
      <c r="E73">
        <v>574.11</v>
      </c>
      <c r="F73">
        <v>571.57000000000005</v>
      </c>
      <c r="G73">
        <v>569.01</v>
      </c>
      <c r="H73">
        <v>566.41999999999996</v>
      </c>
      <c r="I73">
        <v>563.80999999999995</v>
      </c>
      <c r="J73">
        <v>561.16999999999996</v>
      </c>
      <c r="K73">
        <v>558.52</v>
      </c>
      <c r="L73">
        <v>555.83000000000004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586.38</v>
      </c>
      <c r="C74">
        <v>583.94000000000005</v>
      </c>
      <c r="D74">
        <v>581.48</v>
      </c>
      <c r="E74">
        <v>578.99</v>
      </c>
      <c r="F74">
        <v>576.47</v>
      </c>
      <c r="G74">
        <v>573.92999999999995</v>
      </c>
      <c r="H74">
        <v>571.37</v>
      </c>
      <c r="I74">
        <v>568.78</v>
      </c>
      <c r="J74">
        <v>566.16999999999996</v>
      </c>
      <c r="K74">
        <v>563.53</v>
      </c>
      <c r="L74">
        <v>560.87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591.17999999999995</v>
      </c>
      <c r="C75">
        <v>588.77</v>
      </c>
      <c r="D75">
        <v>586.33000000000004</v>
      </c>
      <c r="E75">
        <v>583.86</v>
      </c>
      <c r="F75">
        <v>581.37</v>
      </c>
      <c r="G75">
        <v>578.86</v>
      </c>
      <c r="H75">
        <v>576.32000000000005</v>
      </c>
      <c r="I75">
        <v>573.75</v>
      </c>
      <c r="J75">
        <v>571.16</v>
      </c>
      <c r="K75">
        <v>568.54999999999995</v>
      </c>
      <c r="L75">
        <v>565.91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595.97</v>
      </c>
      <c r="C76">
        <v>593.58000000000004</v>
      </c>
      <c r="D76">
        <v>591.16999999999996</v>
      </c>
      <c r="E76">
        <v>588.73</v>
      </c>
      <c r="F76">
        <v>586.26</v>
      </c>
      <c r="G76">
        <v>583.77</v>
      </c>
      <c r="H76">
        <v>581.26</v>
      </c>
      <c r="I76">
        <v>578.72</v>
      </c>
      <c r="J76">
        <v>576.15</v>
      </c>
      <c r="K76">
        <v>573.55999999999995</v>
      </c>
      <c r="L76">
        <v>570.95000000000005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600.74</v>
      </c>
      <c r="C77">
        <v>598.38</v>
      </c>
      <c r="D77">
        <v>596</v>
      </c>
      <c r="E77">
        <v>593.59</v>
      </c>
      <c r="F77">
        <v>591.15</v>
      </c>
      <c r="G77">
        <v>588.67999999999995</v>
      </c>
      <c r="H77">
        <v>586.19000000000005</v>
      </c>
      <c r="I77">
        <v>583.67999999999995</v>
      </c>
      <c r="J77">
        <v>581.13</v>
      </c>
      <c r="K77">
        <v>578.57000000000005</v>
      </c>
      <c r="L77">
        <v>575.98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605.51</v>
      </c>
      <c r="C78">
        <v>603.17999999999995</v>
      </c>
      <c r="D78">
        <v>600.82000000000005</v>
      </c>
      <c r="E78">
        <v>598.42999999999995</v>
      </c>
      <c r="F78">
        <v>596.02</v>
      </c>
      <c r="G78">
        <v>593.58000000000004</v>
      </c>
      <c r="H78">
        <v>591.11</v>
      </c>
      <c r="I78">
        <v>588.62</v>
      </c>
      <c r="J78">
        <v>586.11</v>
      </c>
      <c r="K78">
        <v>583.57000000000005</v>
      </c>
      <c r="L78">
        <v>581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610.26</v>
      </c>
      <c r="C79">
        <v>607.95000000000005</v>
      </c>
      <c r="D79">
        <v>605.62</v>
      </c>
      <c r="E79">
        <v>603.26</v>
      </c>
      <c r="F79">
        <v>600.87</v>
      </c>
      <c r="G79">
        <v>598.46</v>
      </c>
      <c r="H79">
        <v>596.02</v>
      </c>
      <c r="I79">
        <v>593.55999999999995</v>
      </c>
      <c r="J79">
        <v>591.07000000000005</v>
      </c>
      <c r="K79">
        <v>588.54999999999995</v>
      </c>
      <c r="L79">
        <v>586.01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614.99</v>
      </c>
      <c r="C80">
        <v>612.71</v>
      </c>
      <c r="D80">
        <v>610.41</v>
      </c>
      <c r="E80">
        <v>608.08000000000004</v>
      </c>
      <c r="F80">
        <v>605.72</v>
      </c>
      <c r="G80">
        <v>603.33000000000004</v>
      </c>
      <c r="H80">
        <v>600.91999999999996</v>
      </c>
      <c r="I80">
        <v>598.48</v>
      </c>
      <c r="J80">
        <v>596.02</v>
      </c>
      <c r="K80">
        <v>593.53</v>
      </c>
      <c r="L80">
        <v>591.01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619.70000000000005</v>
      </c>
      <c r="C81">
        <v>617.45000000000005</v>
      </c>
      <c r="D81">
        <v>615.17999999999995</v>
      </c>
      <c r="E81">
        <v>612.87</v>
      </c>
      <c r="F81">
        <v>610.54</v>
      </c>
      <c r="G81">
        <v>608.17999999999995</v>
      </c>
      <c r="H81">
        <v>605.79999999999995</v>
      </c>
      <c r="I81">
        <v>603.39</v>
      </c>
      <c r="J81">
        <v>600.95000000000005</v>
      </c>
      <c r="K81">
        <v>598.49</v>
      </c>
      <c r="L81">
        <v>596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624.4</v>
      </c>
      <c r="C82">
        <v>622.17999999999995</v>
      </c>
      <c r="D82">
        <v>619.92999999999995</v>
      </c>
      <c r="E82">
        <v>617.65</v>
      </c>
      <c r="F82">
        <v>615.35</v>
      </c>
      <c r="G82">
        <v>613.02</v>
      </c>
      <c r="H82">
        <v>610.66</v>
      </c>
      <c r="I82">
        <v>608.28</v>
      </c>
      <c r="J82">
        <v>605.87</v>
      </c>
      <c r="K82">
        <v>603.42999999999995</v>
      </c>
      <c r="L82">
        <v>600.97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629.07000000000005</v>
      </c>
      <c r="C83">
        <v>626.88</v>
      </c>
      <c r="D83">
        <v>624.66</v>
      </c>
      <c r="E83">
        <v>622.41</v>
      </c>
      <c r="F83">
        <v>620.14</v>
      </c>
      <c r="G83">
        <v>617.84</v>
      </c>
      <c r="H83">
        <v>615.51</v>
      </c>
      <c r="I83">
        <v>613.15</v>
      </c>
      <c r="J83">
        <v>610.77</v>
      </c>
      <c r="K83">
        <v>608.36</v>
      </c>
      <c r="L83">
        <v>605.91999999999996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633.71</v>
      </c>
      <c r="C84">
        <v>631.54999999999995</v>
      </c>
      <c r="D84">
        <v>629.37</v>
      </c>
      <c r="E84">
        <v>627.15</v>
      </c>
      <c r="F84">
        <v>624.9</v>
      </c>
      <c r="G84">
        <v>622.63</v>
      </c>
      <c r="H84">
        <v>620.33000000000004</v>
      </c>
      <c r="I84">
        <v>618</v>
      </c>
      <c r="J84">
        <v>615.65</v>
      </c>
      <c r="K84">
        <v>613.26</v>
      </c>
      <c r="L84">
        <v>610.85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638.34</v>
      </c>
      <c r="C85">
        <v>636.21</v>
      </c>
      <c r="D85">
        <v>634.04999999999995</v>
      </c>
      <c r="E85">
        <v>631.86</v>
      </c>
      <c r="F85">
        <v>629.65</v>
      </c>
      <c r="G85">
        <v>627.4</v>
      </c>
      <c r="H85">
        <v>625.13</v>
      </c>
      <c r="I85">
        <v>622.83000000000004</v>
      </c>
      <c r="J85">
        <v>620.5</v>
      </c>
      <c r="K85">
        <v>618.15</v>
      </c>
      <c r="L85">
        <v>615.77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642.92999999999995</v>
      </c>
      <c r="C86">
        <v>640.83000000000004</v>
      </c>
      <c r="D86">
        <v>638.71</v>
      </c>
      <c r="E86">
        <v>636.54999999999995</v>
      </c>
      <c r="F86">
        <v>634.36</v>
      </c>
      <c r="G86">
        <v>632.15</v>
      </c>
      <c r="H86">
        <v>629.91</v>
      </c>
      <c r="I86">
        <v>627.64</v>
      </c>
      <c r="J86">
        <v>625.34</v>
      </c>
      <c r="K86">
        <v>623.01</v>
      </c>
      <c r="L86">
        <v>620.66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647.5</v>
      </c>
      <c r="C87">
        <v>645.42999999999995</v>
      </c>
      <c r="D87">
        <v>643.34</v>
      </c>
      <c r="E87">
        <v>641.21</v>
      </c>
      <c r="F87">
        <v>639.05999999999995</v>
      </c>
      <c r="G87">
        <v>636.87</v>
      </c>
      <c r="H87">
        <v>634.66</v>
      </c>
      <c r="I87">
        <v>632.41999999999996</v>
      </c>
      <c r="J87">
        <v>630.15</v>
      </c>
      <c r="K87">
        <v>627.85</v>
      </c>
      <c r="L87">
        <v>625.53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652.04</v>
      </c>
      <c r="C88">
        <v>650</v>
      </c>
      <c r="D88">
        <v>647.94000000000005</v>
      </c>
      <c r="E88">
        <v>645.84</v>
      </c>
      <c r="F88">
        <v>643.72</v>
      </c>
      <c r="G88">
        <v>641.57000000000005</v>
      </c>
      <c r="H88">
        <v>639.38</v>
      </c>
      <c r="I88">
        <v>637.16999999999996</v>
      </c>
      <c r="J88">
        <v>634.92999999999995</v>
      </c>
      <c r="K88">
        <v>632.66999999999996</v>
      </c>
      <c r="L88">
        <v>630.37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656.55</v>
      </c>
      <c r="C89">
        <v>654.54</v>
      </c>
      <c r="D89">
        <v>652.51</v>
      </c>
      <c r="E89">
        <v>650.45000000000005</v>
      </c>
      <c r="F89">
        <v>648.35</v>
      </c>
      <c r="G89">
        <v>646.23</v>
      </c>
      <c r="H89">
        <v>644.08000000000004</v>
      </c>
      <c r="I89">
        <v>641.9</v>
      </c>
      <c r="J89">
        <v>639.69000000000005</v>
      </c>
      <c r="K89">
        <v>637.45000000000005</v>
      </c>
      <c r="L89">
        <v>635.19000000000005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661.02</v>
      </c>
      <c r="C90">
        <v>659.05</v>
      </c>
      <c r="D90">
        <v>657.05</v>
      </c>
      <c r="E90">
        <v>655.02</v>
      </c>
      <c r="F90">
        <v>652.96</v>
      </c>
      <c r="G90">
        <v>650.87</v>
      </c>
      <c r="H90">
        <v>648.75</v>
      </c>
      <c r="I90">
        <v>646.6</v>
      </c>
      <c r="J90">
        <v>644.41999999999996</v>
      </c>
      <c r="K90">
        <v>642.21</v>
      </c>
      <c r="L90">
        <v>639.98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665.46</v>
      </c>
      <c r="C91">
        <v>663.53</v>
      </c>
      <c r="D91">
        <v>661.56</v>
      </c>
      <c r="E91">
        <v>659.56</v>
      </c>
      <c r="F91">
        <v>657.53</v>
      </c>
      <c r="G91">
        <v>655.47</v>
      </c>
      <c r="H91">
        <v>653.39</v>
      </c>
      <c r="I91">
        <v>651.27</v>
      </c>
      <c r="J91">
        <v>649.12</v>
      </c>
      <c r="K91">
        <v>646.94000000000005</v>
      </c>
      <c r="L91">
        <v>644.74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669.87</v>
      </c>
      <c r="C92">
        <v>667.97</v>
      </c>
      <c r="D92">
        <v>666.04</v>
      </c>
      <c r="E92">
        <v>664.07</v>
      </c>
      <c r="F92">
        <v>662.07</v>
      </c>
      <c r="G92">
        <v>660.05</v>
      </c>
      <c r="H92">
        <v>657.99</v>
      </c>
      <c r="I92">
        <v>655.91</v>
      </c>
      <c r="J92">
        <v>653.79</v>
      </c>
      <c r="K92">
        <v>651.64</v>
      </c>
      <c r="L92">
        <v>649.47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674.25</v>
      </c>
      <c r="C93">
        <v>672.38</v>
      </c>
      <c r="D93">
        <v>670.48</v>
      </c>
      <c r="E93">
        <v>668.54</v>
      </c>
      <c r="F93">
        <v>666.58</v>
      </c>
      <c r="G93">
        <v>664.59</v>
      </c>
      <c r="H93">
        <v>662.56</v>
      </c>
      <c r="I93">
        <v>660.51</v>
      </c>
      <c r="J93">
        <v>658.43</v>
      </c>
      <c r="K93">
        <v>656.31</v>
      </c>
      <c r="L93">
        <v>654.16999999999996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678.59</v>
      </c>
      <c r="C94">
        <v>676.75</v>
      </c>
      <c r="D94">
        <v>674.88</v>
      </c>
      <c r="E94">
        <v>672.98</v>
      </c>
      <c r="F94">
        <v>671.05</v>
      </c>
      <c r="G94">
        <v>669.09</v>
      </c>
      <c r="H94">
        <v>667.1</v>
      </c>
      <c r="I94">
        <v>665.08</v>
      </c>
      <c r="J94">
        <v>663.03</v>
      </c>
      <c r="K94">
        <v>660.95</v>
      </c>
      <c r="L94">
        <v>658.84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682.89</v>
      </c>
      <c r="C95">
        <v>681.08</v>
      </c>
      <c r="D95">
        <v>679.25</v>
      </c>
      <c r="E95">
        <v>677.39</v>
      </c>
      <c r="F95">
        <v>675.49</v>
      </c>
      <c r="G95">
        <v>673.56</v>
      </c>
      <c r="H95">
        <v>671.61</v>
      </c>
      <c r="I95">
        <v>669.62</v>
      </c>
      <c r="J95">
        <v>667.6</v>
      </c>
      <c r="K95">
        <v>665.55</v>
      </c>
      <c r="L95">
        <v>663.47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687.15</v>
      </c>
      <c r="C96">
        <v>685.38</v>
      </c>
      <c r="D96">
        <v>683.58</v>
      </c>
      <c r="E96">
        <v>681.75</v>
      </c>
      <c r="F96">
        <v>679.89</v>
      </c>
      <c r="G96">
        <v>678</v>
      </c>
      <c r="H96">
        <v>676.07</v>
      </c>
      <c r="I96">
        <v>674.12</v>
      </c>
      <c r="J96">
        <v>672.13</v>
      </c>
      <c r="K96">
        <v>670.12</v>
      </c>
      <c r="L96">
        <v>668.07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691.37</v>
      </c>
      <c r="C97">
        <v>689.64</v>
      </c>
      <c r="D97">
        <v>687.87</v>
      </c>
      <c r="E97">
        <v>686.08</v>
      </c>
      <c r="F97">
        <v>684.25</v>
      </c>
      <c r="G97">
        <v>682.39</v>
      </c>
      <c r="H97">
        <v>680.5</v>
      </c>
      <c r="I97">
        <v>678.58</v>
      </c>
      <c r="J97">
        <v>676.63</v>
      </c>
      <c r="K97">
        <v>674.65</v>
      </c>
      <c r="L97">
        <v>672.64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695.55</v>
      </c>
      <c r="C98">
        <v>693.86</v>
      </c>
      <c r="D98">
        <v>692.13</v>
      </c>
      <c r="E98">
        <v>690.37</v>
      </c>
      <c r="F98">
        <v>688.57</v>
      </c>
      <c r="G98">
        <v>686.75</v>
      </c>
      <c r="H98">
        <v>684.89</v>
      </c>
      <c r="I98">
        <v>683.01</v>
      </c>
      <c r="J98">
        <v>681.09</v>
      </c>
      <c r="K98">
        <v>679.14</v>
      </c>
      <c r="L98">
        <v>677.16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699.69</v>
      </c>
      <c r="C99">
        <v>698.03</v>
      </c>
      <c r="D99">
        <v>696.34</v>
      </c>
      <c r="E99">
        <v>694.61</v>
      </c>
      <c r="F99">
        <v>692.86</v>
      </c>
      <c r="G99">
        <v>691.07</v>
      </c>
      <c r="H99">
        <v>689.25</v>
      </c>
      <c r="I99">
        <v>687.39</v>
      </c>
      <c r="J99">
        <v>685.51</v>
      </c>
      <c r="K99">
        <v>683.6</v>
      </c>
      <c r="L99">
        <v>681.65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703.79</v>
      </c>
      <c r="C100">
        <v>702.17</v>
      </c>
      <c r="D100">
        <v>700.51</v>
      </c>
      <c r="E100">
        <v>698.82</v>
      </c>
      <c r="F100">
        <v>697.1</v>
      </c>
      <c r="G100">
        <v>695.34</v>
      </c>
      <c r="H100">
        <v>693.56</v>
      </c>
      <c r="I100">
        <v>691.74</v>
      </c>
      <c r="J100">
        <v>689.89</v>
      </c>
      <c r="K100">
        <v>688.01</v>
      </c>
      <c r="L100">
        <v>686.1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707.85</v>
      </c>
      <c r="C101">
        <v>706.26</v>
      </c>
      <c r="D101">
        <v>704.64</v>
      </c>
      <c r="E101">
        <v>702.98</v>
      </c>
      <c r="F101">
        <v>701.29</v>
      </c>
      <c r="G101">
        <v>699.58</v>
      </c>
      <c r="H101">
        <v>697.83</v>
      </c>
      <c r="I101">
        <v>696.04</v>
      </c>
      <c r="J101">
        <v>694.23</v>
      </c>
      <c r="K101">
        <v>692.38</v>
      </c>
      <c r="L101">
        <v>690.51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711.86</v>
      </c>
      <c r="C102">
        <v>710.3</v>
      </c>
      <c r="D102">
        <v>708.72</v>
      </c>
      <c r="E102">
        <v>707.1</v>
      </c>
      <c r="F102">
        <v>705.45</v>
      </c>
      <c r="G102">
        <v>703.76</v>
      </c>
      <c r="H102">
        <v>702.05</v>
      </c>
      <c r="I102">
        <v>700.3</v>
      </c>
      <c r="J102">
        <v>698.52</v>
      </c>
      <c r="K102">
        <v>696.71</v>
      </c>
      <c r="L102">
        <v>694.87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715.82</v>
      </c>
      <c r="C103">
        <v>714.3</v>
      </c>
      <c r="D103">
        <v>712.75</v>
      </c>
      <c r="E103">
        <v>711.17</v>
      </c>
      <c r="F103">
        <v>709.55</v>
      </c>
      <c r="G103">
        <v>707.91</v>
      </c>
      <c r="H103">
        <v>706.23</v>
      </c>
      <c r="I103">
        <v>704.52</v>
      </c>
      <c r="J103">
        <v>702.77</v>
      </c>
      <c r="K103">
        <v>701</v>
      </c>
      <c r="L103">
        <v>699.19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719.73</v>
      </c>
      <c r="C104">
        <v>718.25</v>
      </c>
      <c r="D104">
        <v>716.73</v>
      </c>
      <c r="E104">
        <v>715.19</v>
      </c>
      <c r="F104">
        <v>713.61</v>
      </c>
      <c r="G104">
        <v>712</v>
      </c>
      <c r="H104">
        <v>710.36</v>
      </c>
      <c r="I104">
        <v>708.68</v>
      </c>
      <c r="J104">
        <v>706.97</v>
      </c>
      <c r="K104">
        <v>705.24</v>
      </c>
      <c r="L104">
        <v>703.46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723.58</v>
      </c>
      <c r="C105">
        <v>722.14</v>
      </c>
      <c r="D105">
        <v>720.66</v>
      </c>
      <c r="E105">
        <v>719.16</v>
      </c>
      <c r="F105">
        <v>717.62</v>
      </c>
      <c r="G105">
        <v>716.04</v>
      </c>
      <c r="H105">
        <v>714.44</v>
      </c>
      <c r="I105">
        <v>712.8</v>
      </c>
      <c r="J105">
        <v>711.13</v>
      </c>
      <c r="K105">
        <v>709.42</v>
      </c>
      <c r="L105">
        <v>707.69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727.39</v>
      </c>
      <c r="C106">
        <v>725.98</v>
      </c>
      <c r="D106">
        <v>724.54</v>
      </c>
      <c r="E106">
        <v>723.07</v>
      </c>
      <c r="F106">
        <v>721.57</v>
      </c>
      <c r="G106">
        <v>720.03</v>
      </c>
      <c r="H106">
        <v>718.46</v>
      </c>
      <c r="I106">
        <v>716.86</v>
      </c>
      <c r="J106">
        <v>715.23</v>
      </c>
      <c r="K106">
        <v>713.56</v>
      </c>
      <c r="L106">
        <v>711.86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731.14</v>
      </c>
      <c r="C107">
        <v>729.77</v>
      </c>
      <c r="D107">
        <v>728.37</v>
      </c>
      <c r="E107">
        <v>726.94</v>
      </c>
      <c r="F107">
        <v>725.47</v>
      </c>
      <c r="G107">
        <v>723.97</v>
      </c>
      <c r="H107">
        <v>722.44</v>
      </c>
      <c r="I107">
        <v>720.87</v>
      </c>
      <c r="J107">
        <v>719.28</v>
      </c>
      <c r="K107">
        <v>717.65</v>
      </c>
      <c r="L107">
        <v>715.98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734.82</v>
      </c>
      <c r="C108">
        <v>733.49</v>
      </c>
      <c r="D108">
        <v>732.13</v>
      </c>
      <c r="E108">
        <v>730.74</v>
      </c>
      <c r="F108">
        <v>729.31</v>
      </c>
      <c r="G108">
        <v>727.85</v>
      </c>
      <c r="H108">
        <v>726.36</v>
      </c>
      <c r="I108">
        <v>724.83</v>
      </c>
      <c r="J108">
        <v>723.27</v>
      </c>
      <c r="K108">
        <v>721.68</v>
      </c>
      <c r="L108">
        <v>720.05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738.45</v>
      </c>
      <c r="C109">
        <v>737.16</v>
      </c>
      <c r="D109">
        <v>735.84</v>
      </c>
      <c r="E109">
        <v>734.48</v>
      </c>
      <c r="F109">
        <v>733.1</v>
      </c>
      <c r="G109">
        <v>731.67</v>
      </c>
      <c r="H109">
        <v>730.22</v>
      </c>
      <c r="I109">
        <v>728.73</v>
      </c>
      <c r="J109">
        <v>727.21</v>
      </c>
      <c r="K109">
        <v>725.66</v>
      </c>
      <c r="L109">
        <v>724.07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742.01</v>
      </c>
      <c r="C110">
        <v>740.76</v>
      </c>
      <c r="D110">
        <v>739.48</v>
      </c>
      <c r="E110">
        <v>738.16</v>
      </c>
      <c r="F110">
        <v>736.82</v>
      </c>
      <c r="G110">
        <v>735.43</v>
      </c>
      <c r="H110">
        <v>734.02</v>
      </c>
      <c r="I110">
        <v>732.57</v>
      </c>
      <c r="J110">
        <v>731.09</v>
      </c>
      <c r="K110">
        <v>729.58</v>
      </c>
      <c r="L110">
        <v>728.03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745.5</v>
      </c>
      <c r="C111">
        <v>744.3</v>
      </c>
      <c r="D111">
        <v>743.06</v>
      </c>
      <c r="E111">
        <v>741.78</v>
      </c>
      <c r="F111">
        <v>740.47</v>
      </c>
      <c r="G111">
        <v>739.13</v>
      </c>
      <c r="H111">
        <v>737.76</v>
      </c>
      <c r="I111">
        <v>736.35</v>
      </c>
      <c r="J111">
        <v>734.91</v>
      </c>
      <c r="K111">
        <v>733.43</v>
      </c>
      <c r="L111">
        <v>731.92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748.93</v>
      </c>
      <c r="C112">
        <v>747.77</v>
      </c>
      <c r="D112">
        <v>746.57</v>
      </c>
      <c r="E112">
        <v>745.33</v>
      </c>
      <c r="F112">
        <v>744.07</v>
      </c>
      <c r="G112">
        <v>742.77</v>
      </c>
      <c r="H112">
        <v>741.43</v>
      </c>
      <c r="I112">
        <v>740.06</v>
      </c>
      <c r="J112">
        <v>738.66</v>
      </c>
      <c r="K112">
        <v>737.22</v>
      </c>
      <c r="L112">
        <v>735.76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752.29</v>
      </c>
      <c r="C113">
        <v>751.17</v>
      </c>
      <c r="D113">
        <v>750.01</v>
      </c>
      <c r="E113">
        <v>748.82</v>
      </c>
      <c r="F113">
        <v>747.59</v>
      </c>
      <c r="G113">
        <v>746.33</v>
      </c>
      <c r="H113">
        <v>745.04</v>
      </c>
      <c r="I113">
        <v>743.71</v>
      </c>
      <c r="J113">
        <v>742.35</v>
      </c>
      <c r="K113">
        <v>740.95</v>
      </c>
      <c r="L113">
        <v>739.52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755.58</v>
      </c>
      <c r="C114">
        <v>754.5</v>
      </c>
      <c r="D114">
        <v>753.39</v>
      </c>
      <c r="E114">
        <v>752.24</v>
      </c>
      <c r="F114">
        <v>751.05</v>
      </c>
      <c r="G114">
        <v>749.83</v>
      </c>
      <c r="H114">
        <v>748.58</v>
      </c>
      <c r="I114">
        <v>747.3</v>
      </c>
      <c r="J114">
        <v>745.97</v>
      </c>
      <c r="K114">
        <v>744.62</v>
      </c>
      <c r="L114">
        <v>743.23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758.8</v>
      </c>
      <c r="C115">
        <v>757.76</v>
      </c>
      <c r="D115">
        <v>756.69</v>
      </c>
      <c r="E115">
        <v>755.58</v>
      </c>
      <c r="F115">
        <v>754.44</v>
      </c>
      <c r="G115">
        <v>753.27</v>
      </c>
      <c r="H115">
        <v>752.05</v>
      </c>
      <c r="I115">
        <v>750.81</v>
      </c>
      <c r="J115">
        <v>749.53</v>
      </c>
      <c r="K115">
        <v>748.22</v>
      </c>
      <c r="L115">
        <v>746.87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761.94</v>
      </c>
      <c r="C116">
        <v>760.95</v>
      </c>
      <c r="D116">
        <v>759.92</v>
      </c>
      <c r="E116">
        <v>758.86</v>
      </c>
      <c r="F116">
        <v>757.76</v>
      </c>
      <c r="G116">
        <v>756.63</v>
      </c>
      <c r="H116">
        <v>755.46</v>
      </c>
      <c r="I116">
        <v>754.26</v>
      </c>
      <c r="J116">
        <v>753.02</v>
      </c>
      <c r="K116">
        <v>751.75</v>
      </c>
      <c r="L116">
        <v>750.44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765</v>
      </c>
      <c r="C117">
        <v>764.06</v>
      </c>
      <c r="D117">
        <v>763.08</v>
      </c>
      <c r="E117">
        <v>762.06</v>
      </c>
      <c r="F117">
        <v>761.01</v>
      </c>
      <c r="G117">
        <v>759.92</v>
      </c>
      <c r="H117">
        <v>758.79</v>
      </c>
      <c r="I117">
        <v>757.63</v>
      </c>
      <c r="J117">
        <v>756.44</v>
      </c>
      <c r="K117">
        <v>755.21</v>
      </c>
      <c r="L117">
        <v>753.94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767.99</v>
      </c>
      <c r="C118">
        <v>767.09</v>
      </c>
      <c r="D118">
        <v>766.16</v>
      </c>
      <c r="E118">
        <v>765.19</v>
      </c>
      <c r="F118">
        <v>764.18</v>
      </c>
      <c r="G118">
        <v>763.14</v>
      </c>
      <c r="H118">
        <v>762.06</v>
      </c>
      <c r="I118">
        <v>760.94</v>
      </c>
      <c r="J118">
        <v>759.79</v>
      </c>
      <c r="K118">
        <v>758.6</v>
      </c>
      <c r="L118">
        <v>757.38</v>
      </c>
    </row>
    <row r="119" spans="1:23" x14ac:dyDescent="0.15">
      <c r="A119">
        <v>570</v>
      </c>
      <c r="B119">
        <v>770.89</v>
      </c>
      <c r="C119">
        <v>770.04</v>
      </c>
      <c r="D119">
        <v>769.16</v>
      </c>
      <c r="E119">
        <v>768.23</v>
      </c>
      <c r="F119">
        <v>767.27</v>
      </c>
      <c r="G119">
        <v>766.27</v>
      </c>
      <c r="H119">
        <v>765.24</v>
      </c>
      <c r="I119">
        <v>764.17</v>
      </c>
      <c r="J119">
        <v>763.06</v>
      </c>
      <c r="K119">
        <v>761.92</v>
      </c>
      <c r="L119">
        <v>760.74</v>
      </c>
    </row>
    <row r="120" spans="1:23" x14ac:dyDescent="0.15">
      <c r="A120">
        <v>575</v>
      </c>
      <c r="B120">
        <v>773.72</v>
      </c>
      <c r="C120">
        <v>772.92</v>
      </c>
      <c r="D120">
        <v>772.08</v>
      </c>
      <c r="E120">
        <v>771.2</v>
      </c>
      <c r="F120">
        <v>770.28</v>
      </c>
      <c r="G120">
        <v>769.33</v>
      </c>
      <c r="H120">
        <v>768.35</v>
      </c>
      <c r="I120">
        <v>767.32</v>
      </c>
      <c r="J120">
        <v>766.26</v>
      </c>
      <c r="K120">
        <v>765.16</v>
      </c>
      <c r="L120">
        <v>764.03</v>
      </c>
    </row>
    <row r="121" spans="1:23" x14ac:dyDescent="0.15">
      <c r="A121">
        <v>580</v>
      </c>
      <c r="B121">
        <v>776.46</v>
      </c>
      <c r="C121">
        <v>775.7</v>
      </c>
      <c r="D121">
        <v>774.91</v>
      </c>
      <c r="E121">
        <v>774.09</v>
      </c>
      <c r="F121">
        <v>773.22</v>
      </c>
      <c r="G121">
        <v>772.31</v>
      </c>
      <c r="H121">
        <v>771.37</v>
      </c>
      <c r="I121">
        <v>770.4</v>
      </c>
      <c r="J121">
        <v>769.38</v>
      </c>
      <c r="K121">
        <v>768.33</v>
      </c>
      <c r="L121">
        <v>767.24</v>
      </c>
    </row>
    <row r="122" spans="1:23" x14ac:dyDescent="0.15">
      <c r="A122">
        <v>585</v>
      </c>
      <c r="B122">
        <v>779.13</v>
      </c>
      <c r="C122">
        <v>778.41</v>
      </c>
      <c r="D122">
        <v>777.67</v>
      </c>
      <c r="E122">
        <v>776.89</v>
      </c>
      <c r="F122">
        <v>776.07</v>
      </c>
      <c r="G122">
        <v>775.22</v>
      </c>
      <c r="H122">
        <v>774.32</v>
      </c>
      <c r="I122">
        <v>773.39</v>
      </c>
      <c r="J122">
        <v>772.42</v>
      </c>
      <c r="K122">
        <v>771.42</v>
      </c>
      <c r="L122">
        <v>770.38</v>
      </c>
    </row>
    <row r="123" spans="1:23" x14ac:dyDescent="0.15">
      <c r="A123">
        <v>590</v>
      </c>
      <c r="B123">
        <v>781.74</v>
      </c>
      <c r="C123">
        <v>781.04</v>
      </c>
      <c r="D123">
        <v>780.34</v>
      </c>
      <c r="E123">
        <v>779.61</v>
      </c>
      <c r="F123">
        <v>778.84</v>
      </c>
      <c r="G123">
        <v>778.03</v>
      </c>
      <c r="H123">
        <v>777.19</v>
      </c>
      <c r="I123">
        <v>776.31</v>
      </c>
      <c r="J123">
        <v>775.38</v>
      </c>
      <c r="K123">
        <v>774.43</v>
      </c>
      <c r="L123">
        <v>773.43</v>
      </c>
    </row>
    <row r="124" spans="1:23" x14ac:dyDescent="0.15">
      <c r="A124">
        <v>595</v>
      </c>
      <c r="B124">
        <v>784.32</v>
      </c>
      <c r="C124">
        <v>783.62</v>
      </c>
      <c r="D124">
        <v>782.94</v>
      </c>
      <c r="E124">
        <v>782.24</v>
      </c>
      <c r="F124">
        <v>781.52</v>
      </c>
      <c r="G124">
        <v>780.77</v>
      </c>
      <c r="H124">
        <v>779.97</v>
      </c>
      <c r="I124">
        <v>779.14</v>
      </c>
      <c r="J124">
        <v>778.27</v>
      </c>
      <c r="K124">
        <v>777.35</v>
      </c>
      <c r="L124">
        <v>776.41</v>
      </c>
    </row>
    <row r="125" spans="1:23" x14ac:dyDescent="0.15">
      <c r="A125">
        <v>600</v>
      </c>
      <c r="B125">
        <v>786.84</v>
      </c>
      <c r="C125">
        <v>786.17</v>
      </c>
      <c r="D125">
        <v>785.48</v>
      </c>
      <c r="E125">
        <v>784.81</v>
      </c>
      <c r="F125">
        <v>784.12</v>
      </c>
      <c r="G125">
        <v>783.42</v>
      </c>
      <c r="H125">
        <v>782.67</v>
      </c>
      <c r="I125">
        <v>781.89</v>
      </c>
      <c r="J125">
        <v>781.06</v>
      </c>
      <c r="K125">
        <v>780.2</v>
      </c>
      <c r="L125">
        <v>779.3</v>
      </c>
    </row>
    <row r="126" spans="1:23" x14ac:dyDescent="0.15">
      <c r="A126">
        <v>605</v>
      </c>
      <c r="B126">
        <v>789.31</v>
      </c>
      <c r="C126">
        <v>788.66</v>
      </c>
      <c r="D126">
        <v>788</v>
      </c>
      <c r="E126">
        <v>787.32</v>
      </c>
      <c r="F126">
        <v>786.65</v>
      </c>
      <c r="G126">
        <v>785.81</v>
      </c>
      <c r="H126">
        <v>785.27</v>
      </c>
      <c r="I126">
        <v>784.55</v>
      </c>
      <c r="J126">
        <v>783.78</v>
      </c>
      <c r="K126">
        <v>782.97</v>
      </c>
      <c r="L126">
        <v>782.11</v>
      </c>
    </row>
    <row r="127" spans="1:23" x14ac:dyDescent="0.15">
      <c r="A127">
        <v>610</v>
      </c>
      <c r="B127">
        <v>791.68</v>
      </c>
      <c r="C127">
        <v>791.09</v>
      </c>
      <c r="D127">
        <v>790.46</v>
      </c>
      <c r="E127">
        <v>789.81</v>
      </c>
      <c r="F127">
        <v>789.14</v>
      </c>
      <c r="G127">
        <v>788.47</v>
      </c>
      <c r="H127">
        <v>787.53</v>
      </c>
      <c r="I127">
        <v>787.08</v>
      </c>
      <c r="J127">
        <v>786.41</v>
      </c>
      <c r="K127">
        <v>785.65</v>
      </c>
      <c r="L127">
        <v>784.84</v>
      </c>
    </row>
    <row r="128" spans="1:23" x14ac:dyDescent="0.15">
      <c r="A128">
        <v>615</v>
      </c>
      <c r="B128">
        <v>793.96</v>
      </c>
      <c r="C128">
        <v>793.41</v>
      </c>
      <c r="D128">
        <v>792.85</v>
      </c>
      <c r="E128">
        <v>792.23</v>
      </c>
      <c r="F128">
        <v>791.59</v>
      </c>
      <c r="G128">
        <v>790.94</v>
      </c>
      <c r="H128">
        <v>790.27</v>
      </c>
      <c r="I128">
        <v>789.38</v>
      </c>
      <c r="J128">
        <v>788.91</v>
      </c>
      <c r="K128">
        <v>788.24</v>
      </c>
      <c r="L128">
        <v>787.49</v>
      </c>
    </row>
    <row r="129" spans="1:12" x14ac:dyDescent="0.15">
      <c r="A129">
        <v>620</v>
      </c>
      <c r="B129">
        <v>796.17</v>
      </c>
      <c r="C129">
        <v>795.65</v>
      </c>
      <c r="D129">
        <v>795.12</v>
      </c>
      <c r="E129">
        <v>794.57</v>
      </c>
      <c r="F129">
        <v>793.97</v>
      </c>
      <c r="G129">
        <v>793.35</v>
      </c>
      <c r="H129">
        <v>792.71</v>
      </c>
      <c r="I129">
        <v>792.05</v>
      </c>
      <c r="J129">
        <v>791.21</v>
      </c>
      <c r="K129">
        <v>790.72</v>
      </c>
      <c r="L129">
        <v>790.04</v>
      </c>
    </row>
    <row r="130" spans="1:12" x14ac:dyDescent="0.15">
      <c r="A130">
        <v>625</v>
      </c>
      <c r="B130">
        <v>798.32</v>
      </c>
      <c r="C130">
        <v>797.82</v>
      </c>
      <c r="D130">
        <v>797.32</v>
      </c>
      <c r="E130">
        <v>796.8</v>
      </c>
      <c r="F130">
        <v>796.26</v>
      </c>
      <c r="G130">
        <v>795.7</v>
      </c>
      <c r="H130">
        <v>795.08</v>
      </c>
      <c r="I130">
        <v>794.46</v>
      </c>
      <c r="J130">
        <v>793.81</v>
      </c>
      <c r="K130">
        <v>793.01</v>
      </c>
      <c r="L130">
        <v>792.51</v>
      </c>
    </row>
    <row r="131" spans="1:12" x14ac:dyDescent="0.15">
      <c r="A131">
        <v>630</v>
      </c>
      <c r="B131">
        <v>800.45</v>
      </c>
      <c r="C131">
        <v>799.95</v>
      </c>
      <c r="D131">
        <v>799.45</v>
      </c>
      <c r="E131">
        <v>798.96</v>
      </c>
      <c r="F131">
        <v>798.45</v>
      </c>
      <c r="G131">
        <v>797.93</v>
      </c>
      <c r="H131">
        <v>797.39</v>
      </c>
      <c r="I131">
        <v>796.79</v>
      </c>
      <c r="J131">
        <v>796.18</v>
      </c>
      <c r="K131">
        <v>795.54</v>
      </c>
      <c r="L131">
        <v>794.77</v>
      </c>
    </row>
    <row r="132" spans="1:12" x14ac:dyDescent="0.15">
      <c r="A132">
        <v>635</v>
      </c>
      <c r="B132">
        <v>802.53</v>
      </c>
      <c r="C132">
        <v>802.04</v>
      </c>
      <c r="D132">
        <v>801.55</v>
      </c>
      <c r="E132">
        <v>801.05</v>
      </c>
      <c r="F132">
        <v>800.57</v>
      </c>
      <c r="G132">
        <v>800.08</v>
      </c>
      <c r="H132">
        <v>799.57</v>
      </c>
      <c r="I132">
        <v>799.05</v>
      </c>
      <c r="J132">
        <v>798.48</v>
      </c>
      <c r="K132">
        <v>797.87</v>
      </c>
      <c r="L132">
        <v>797.24</v>
      </c>
    </row>
    <row r="133" spans="1:12" x14ac:dyDescent="0.15">
      <c r="A133">
        <v>640</v>
      </c>
      <c r="B133">
        <v>804.55</v>
      </c>
      <c r="C133">
        <v>804.08</v>
      </c>
      <c r="D133">
        <v>803.61</v>
      </c>
      <c r="E133">
        <v>803.13</v>
      </c>
      <c r="F133">
        <v>802.64</v>
      </c>
      <c r="G133">
        <v>802.16</v>
      </c>
      <c r="H133">
        <v>801.68</v>
      </c>
      <c r="I133">
        <v>801.19</v>
      </c>
      <c r="J133">
        <v>800.68</v>
      </c>
      <c r="K133">
        <v>800.14</v>
      </c>
      <c r="L133">
        <v>799.55</v>
      </c>
    </row>
    <row r="134" spans="1:12" x14ac:dyDescent="0.15">
      <c r="A134">
        <v>645</v>
      </c>
      <c r="B134">
        <v>806.51</v>
      </c>
      <c r="C134">
        <v>806.07</v>
      </c>
      <c r="D134">
        <v>805.62</v>
      </c>
      <c r="E134">
        <v>805.16</v>
      </c>
      <c r="F134">
        <v>804.69</v>
      </c>
      <c r="G134">
        <v>804.21</v>
      </c>
      <c r="H134">
        <v>803.73</v>
      </c>
      <c r="I134">
        <v>803.26</v>
      </c>
      <c r="J134">
        <v>802.78</v>
      </c>
      <c r="K134">
        <v>802.28</v>
      </c>
      <c r="L134">
        <v>801.77</v>
      </c>
    </row>
    <row r="135" spans="1:12" x14ac:dyDescent="0.15">
      <c r="A135">
        <v>650</v>
      </c>
      <c r="B135">
        <v>808.43</v>
      </c>
      <c r="C135">
        <v>808</v>
      </c>
      <c r="D135">
        <v>807.57</v>
      </c>
      <c r="E135">
        <v>807.13</v>
      </c>
      <c r="F135">
        <v>806.68</v>
      </c>
      <c r="G135">
        <v>806.22</v>
      </c>
      <c r="H135">
        <v>805.75</v>
      </c>
      <c r="I135">
        <v>805.27</v>
      </c>
      <c r="J135">
        <v>804.81</v>
      </c>
      <c r="K135">
        <v>804.34</v>
      </c>
      <c r="L135">
        <v>803.86</v>
      </c>
    </row>
    <row r="136" spans="1:12" x14ac:dyDescent="0.15">
      <c r="A136">
        <v>655</v>
      </c>
      <c r="B136">
        <v>810.29</v>
      </c>
      <c r="C136">
        <v>809.88</v>
      </c>
      <c r="D136">
        <v>809.47</v>
      </c>
      <c r="E136">
        <v>809.04</v>
      </c>
      <c r="F136">
        <v>808.61</v>
      </c>
      <c r="G136">
        <v>808.17</v>
      </c>
      <c r="H136">
        <v>807.72</v>
      </c>
      <c r="I136">
        <v>807.26</v>
      </c>
      <c r="J136">
        <v>806.8</v>
      </c>
      <c r="K136">
        <v>806.33</v>
      </c>
      <c r="L136">
        <v>805.88</v>
      </c>
    </row>
    <row r="137" spans="1:12" x14ac:dyDescent="0.15">
      <c r="A137">
        <v>660</v>
      </c>
      <c r="B137">
        <v>812.09</v>
      </c>
      <c r="C137">
        <v>811.7</v>
      </c>
      <c r="D137">
        <v>811.31</v>
      </c>
      <c r="E137">
        <v>810.9</v>
      </c>
      <c r="F137">
        <v>810.49</v>
      </c>
      <c r="G137">
        <v>810.07</v>
      </c>
      <c r="H137">
        <v>809.64</v>
      </c>
      <c r="I137">
        <v>809.2</v>
      </c>
      <c r="J137">
        <v>808.75</v>
      </c>
      <c r="K137">
        <v>808.3</v>
      </c>
      <c r="L137">
        <v>807.83</v>
      </c>
    </row>
    <row r="138" spans="1:12" x14ac:dyDescent="0.15">
      <c r="A138">
        <v>665</v>
      </c>
      <c r="B138">
        <v>813.84</v>
      </c>
      <c r="C138">
        <v>813.47</v>
      </c>
      <c r="D138">
        <v>813.09</v>
      </c>
      <c r="E138">
        <v>812.71</v>
      </c>
      <c r="F138">
        <v>812.32</v>
      </c>
      <c r="G138">
        <v>811.91</v>
      </c>
      <c r="H138">
        <v>811.5</v>
      </c>
      <c r="I138">
        <v>811.08</v>
      </c>
      <c r="J138">
        <v>810.66</v>
      </c>
      <c r="K138">
        <v>810.22</v>
      </c>
      <c r="L138">
        <v>809.77</v>
      </c>
    </row>
    <row r="139" spans="1:12" x14ac:dyDescent="0.15">
      <c r="A139">
        <v>670</v>
      </c>
      <c r="B139">
        <v>815.54</v>
      </c>
      <c r="C139">
        <v>815.18</v>
      </c>
      <c r="D139">
        <v>814.83</v>
      </c>
      <c r="E139">
        <v>814.46</v>
      </c>
      <c r="F139">
        <v>814.09</v>
      </c>
      <c r="G139">
        <v>813.7</v>
      </c>
      <c r="H139">
        <v>813.31</v>
      </c>
      <c r="I139">
        <v>812.91</v>
      </c>
      <c r="J139">
        <v>812.5</v>
      </c>
      <c r="K139">
        <v>812.09</v>
      </c>
      <c r="L139">
        <v>811.66</v>
      </c>
    </row>
    <row r="140" spans="1:12" x14ac:dyDescent="0.15">
      <c r="A140">
        <v>675</v>
      </c>
      <c r="B140">
        <v>817.18</v>
      </c>
      <c r="C140">
        <v>816.85</v>
      </c>
      <c r="D140">
        <v>816.51</v>
      </c>
      <c r="E140">
        <v>816.16</v>
      </c>
      <c r="F140">
        <v>815.8</v>
      </c>
      <c r="G140">
        <v>815.44</v>
      </c>
      <c r="H140">
        <v>815.06</v>
      </c>
      <c r="I140">
        <v>814.68</v>
      </c>
      <c r="J140">
        <v>814.29</v>
      </c>
      <c r="K140">
        <v>813.9</v>
      </c>
      <c r="L140">
        <v>813.49</v>
      </c>
    </row>
    <row r="141" spans="1:12" x14ac:dyDescent="0.15">
      <c r="A141">
        <v>680</v>
      </c>
      <c r="B141">
        <v>818.75</v>
      </c>
      <c r="C141">
        <v>818.45</v>
      </c>
      <c r="D141">
        <v>818.13</v>
      </c>
      <c r="E141">
        <v>817.8</v>
      </c>
      <c r="F141">
        <v>817.46</v>
      </c>
      <c r="G141">
        <v>817.12</v>
      </c>
      <c r="H141">
        <v>816.76</v>
      </c>
      <c r="I141">
        <v>816.4</v>
      </c>
      <c r="J141">
        <v>816.03</v>
      </c>
      <c r="K141">
        <v>815.65</v>
      </c>
      <c r="L141">
        <v>815.26</v>
      </c>
    </row>
    <row r="142" spans="1:12" x14ac:dyDescent="0.15">
      <c r="A142">
        <v>685</v>
      </c>
      <c r="B142">
        <v>820.2</v>
      </c>
      <c r="C142">
        <v>819.95</v>
      </c>
      <c r="D142">
        <v>819.7</v>
      </c>
      <c r="E142">
        <v>819.39</v>
      </c>
      <c r="F142">
        <v>819.07</v>
      </c>
      <c r="G142">
        <v>818.74</v>
      </c>
      <c r="H142">
        <v>818.41</v>
      </c>
      <c r="I142">
        <v>818.06</v>
      </c>
      <c r="J142">
        <v>817.71</v>
      </c>
      <c r="K142">
        <v>817.35</v>
      </c>
      <c r="L142">
        <v>816.98</v>
      </c>
    </row>
    <row r="143" spans="1:12" x14ac:dyDescent="0.15">
      <c r="A143">
        <v>690</v>
      </c>
      <c r="B143">
        <v>821.62</v>
      </c>
      <c r="C143">
        <v>821.38</v>
      </c>
      <c r="D143">
        <v>821.13</v>
      </c>
      <c r="E143">
        <v>820.89</v>
      </c>
      <c r="F143">
        <v>820.62</v>
      </c>
      <c r="G143">
        <v>820.31</v>
      </c>
      <c r="H143">
        <v>820</v>
      </c>
      <c r="I143">
        <v>819.67</v>
      </c>
      <c r="J143">
        <v>819.34</v>
      </c>
      <c r="K143">
        <v>819</v>
      </c>
      <c r="L143">
        <v>818.65</v>
      </c>
    </row>
    <row r="144" spans="1:12" x14ac:dyDescent="0.15">
      <c r="A144">
        <v>695</v>
      </c>
      <c r="B144">
        <v>823</v>
      </c>
      <c r="C144">
        <v>822.77</v>
      </c>
      <c r="D144">
        <v>822.53</v>
      </c>
      <c r="E144">
        <v>822.29</v>
      </c>
      <c r="F144">
        <v>822.05</v>
      </c>
      <c r="G144">
        <v>821.81</v>
      </c>
      <c r="H144">
        <v>821.53</v>
      </c>
      <c r="I144">
        <v>821.22</v>
      </c>
      <c r="J144">
        <v>820.91</v>
      </c>
      <c r="K144">
        <v>820.58</v>
      </c>
      <c r="L144">
        <v>820.25</v>
      </c>
    </row>
    <row r="145" spans="1:12" x14ac:dyDescent="0.15">
      <c r="A145">
        <v>700</v>
      </c>
      <c r="B145">
        <v>824.35</v>
      </c>
      <c r="C145">
        <v>824.12</v>
      </c>
      <c r="D145">
        <v>823.89</v>
      </c>
      <c r="E145">
        <v>823.66</v>
      </c>
      <c r="F145">
        <v>823.43</v>
      </c>
      <c r="G145">
        <v>823.2</v>
      </c>
      <c r="H145">
        <v>822.96</v>
      </c>
      <c r="I145">
        <v>822.72</v>
      </c>
      <c r="J145">
        <v>822.43</v>
      </c>
      <c r="K145">
        <v>822.12</v>
      </c>
      <c r="L145">
        <v>821.81</v>
      </c>
    </row>
    <row r="146" spans="1:12" x14ac:dyDescent="0.15">
      <c r="A146">
        <v>705</v>
      </c>
      <c r="B146">
        <v>825.66</v>
      </c>
      <c r="C146">
        <v>825.44</v>
      </c>
      <c r="D146">
        <v>825.22</v>
      </c>
      <c r="E146">
        <v>825</v>
      </c>
      <c r="F146">
        <v>824.77</v>
      </c>
      <c r="G146">
        <v>824.54</v>
      </c>
      <c r="H146">
        <v>824.31</v>
      </c>
      <c r="I146">
        <v>824.08</v>
      </c>
      <c r="J146">
        <v>823.85</v>
      </c>
      <c r="K146">
        <v>823.6</v>
      </c>
      <c r="L146">
        <v>823.31</v>
      </c>
    </row>
    <row r="147" spans="1:12" x14ac:dyDescent="0.15">
      <c r="A147">
        <v>710</v>
      </c>
      <c r="B147">
        <v>826.93</v>
      </c>
      <c r="C147">
        <v>826.72</v>
      </c>
      <c r="D147">
        <v>826.5</v>
      </c>
      <c r="E147">
        <v>826.29</v>
      </c>
      <c r="F147">
        <v>826.07</v>
      </c>
      <c r="G147">
        <v>825.86</v>
      </c>
      <c r="H147">
        <v>825.63</v>
      </c>
      <c r="I147">
        <v>825.41</v>
      </c>
      <c r="J147">
        <v>825.19</v>
      </c>
      <c r="K147">
        <v>824.96</v>
      </c>
      <c r="L147">
        <v>824.73</v>
      </c>
    </row>
    <row r="148" spans="1:12" x14ac:dyDescent="0.15">
      <c r="A148">
        <v>715</v>
      </c>
      <c r="B148">
        <v>828.17</v>
      </c>
      <c r="C148">
        <v>827.96</v>
      </c>
      <c r="D148">
        <v>827.75</v>
      </c>
      <c r="E148">
        <v>827.55</v>
      </c>
      <c r="F148">
        <v>827.34</v>
      </c>
      <c r="G148">
        <v>827.13</v>
      </c>
      <c r="H148">
        <v>826.92</v>
      </c>
      <c r="I148">
        <v>826.7</v>
      </c>
      <c r="J148">
        <v>826.48</v>
      </c>
      <c r="K148">
        <v>826.26</v>
      </c>
      <c r="L148">
        <v>826.04</v>
      </c>
    </row>
    <row r="149" spans="1:12" x14ac:dyDescent="0.15">
      <c r="A149">
        <v>720</v>
      </c>
      <c r="B149">
        <v>829.45</v>
      </c>
      <c r="C149">
        <v>829.21</v>
      </c>
      <c r="D149">
        <v>828.97</v>
      </c>
      <c r="E149">
        <v>828.76</v>
      </c>
      <c r="F149">
        <v>828.56</v>
      </c>
      <c r="G149">
        <v>828.36</v>
      </c>
      <c r="H149">
        <v>828.16</v>
      </c>
      <c r="I149">
        <v>827.95</v>
      </c>
      <c r="J149">
        <v>827.74</v>
      </c>
      <c r="K149">
        <v>827.53</v>
      </c>
      <c r="L149">
        <v>827.32</v>
      </c>
    </row>
    <row r="150" spans="1:12" x14ac:dyDescent="0.15">
      <c r="A150">
        <v>725</v>
      </c>
      <c r="B150">
        <v>830.67</v>
      </c>
      <c r="C150">
        <v>830.45</v>
      </c>
      <c r="D150">
        <v>830.22</v>
      </c>
      <c r="E150">
        <v>829.99</v>
      </c>
      <c r="F150">
        <v>829.75</v>
      </c>
      <c r="G150">
        <v>829.56</v>
      </c>
      <c r="H150">
        <v>829.36</v>
      </c>
      <c r="I150">
        <v>829.17</v>
      </c>
      <c r="J150">
        <v>828.97</v>
      </c>
      <c r="K150">
        <v>828.76</v>
      </c>
      <c r="L150">
        <v>828.56</v>
      </c>
    </row>
    <row r="151" spans="1:12" x14ac:dyDescent="0.15">
      <c r="A151">
        <v>730</v>
      </c>
      <c r="B151">
        <v>831.86</v>
      </c>
      <c r="C151">
        <v>831.65</v>
      </c>
      <c r="D151">
        <v>831.43</v>
      </c>
      <c r="E151">
        <v>831.21</v>
      </c>
      <c r="F151">
        <v>830.99</v>
      </c>
      <c r="G151">
        <v>830.76</v>
      </c>
      <c r="H151">
        <v>830.53</v>
      </c>
      <c r="I151">
        <v>830.34</v>
      </c>
      <c r="J151">
        <v>830.15</v>
      </c>
      <c r="K151">
        <v>829.96</v>
      </c>
      <c r="L151">
        <v>829.76</v>
      </c>
    </row>
    <row r="152" spans="1:12" x14ac:dyDescent="0.15">
      <c r="A152">
        <v>735</v>
      </c>
      <c r="B152">
        <v>832.99</v>
      </c>
      <c r="C152">
        <v>832.79</v>
      </c>
      <c r="D152">
        <v>832.59</v>
      </c>
      <c r="E152">
        <v>832.39</v>
      </c>
      <c r="F152">
        <v>832.18</v>
      </c>
      <c r="G152">
        <v>831.96</v>
      </c>
      <c r="H152">
        <v>831.74</v>
      </c>
      <c r="I152">
        <v>831.51</v>
      </c>
      <c r="J152">
        <v>831.29</v>
      </c>
      <c r="K152">
        <v>831.11</v>
      </c>
      <c r="L152">
        <v>830.92</v>
      </c>
    </row>
    <row r="153" spans="1:12" x14ac:dyDescent="0.15">
      <c r="A153">
        <v>740</v>
      </c>
      <c r="B153">
        <v>834.08</v>
      </c>
      <c r="C153">
        <v>833.9</v>
      </c>
      <c r="D153">
        <v>833.71</v>
      </c>
      <c r="E153">
        <v>833.51</v>
      </c>
      <c r="F153">
        <v>833.32</v>
      </c>
      <c r="G153">
        <v>833.11</v>
      </c>
      <c r="H153">
        <v>832.91</v>
      </c>
      <c r="I153">
        <v>832.69</v>
      </c>
      <c r="J153">
        <v>832.48</v>
      </c>
      <c r="K153">
        <v>832.25</v>
      </c>
      <c r="L153">
        <v>832.04</v>
      </c>
    </row>
    <row r="154" spans="1:12" x14ac:dyDescent="0.15">
      <c r="A154">
        <v>745</v>
      </c>
      <c r="B154">
        <v>835.13</v>
      </c>
      <c r="C154">
        <v>834.96</v>
      </c>
      <c r="D154">
        <v>834.78</v>
      </c>
      <c r="E154">
        <v>834.6</v>
      </c>
      <c r="F154">
        <v>834.41</v>
      </c>
      <c r="G154">
        <v>834.22</v>
      </c>
      <c r="H154">
        <v>834.03</v>
      </c>
      <c r="I154">
        <v>833.83</v>
      </c>
      <c r="J154">
        <v>833.62</v>
      </c>
      <c r="K154">
        <v>833.41</v>
      </c>
      <c r="L154">
        <v>833.2</v>
      </c>
    </row>
    <row r="155" spans="1:12" x14ac:dyDescent="0.15">
      <c r="A155">
        <v>750</v>
      </c>
      <c r="B155">
        <v>836.14</v>
      </c>
      <c r="C155">
        <v>835.97</v>
      </c>
      <c r="D155">
        <v>835.81</v>
      </c>
      <c r="E155">
        <v>835.63</v>
      </c>
      <c r="F155">
        <v>835.46</v>
      </c>
      <c r="G155">
        <v>835.28</v>
      </c>
      <c r="H155">
        <v>835.1</v>
      </c>
      <c r="I155">
        <v>834.91</v>
      </c>
      <c r="J155">
        <v>834.72</v>
      </c>
      <c r="K155">
        <v>834.53</v>
      </c>
      <c r="L155">
        <v>834.33</v>
      </c>
    </row>
    <row r="156" spans="1:12" x14ac:dyDescent="0.15">
      <c r="A156">
        <v>755</v>
      </c>
      <c r="B156">
        <v>837.07</v>
      </c>
      <c r="C156">
        <v>836.93</v>
      </c>
      <c r="D156">
        <v>836.79</v>
      </c>
      <c r="E156">
        <v>836.63</v>
      </c>
      <c r="F156">
        <v>836.47</v>
      </c>
      <c r="G156">
        <v>836.3</v>
      </c>
      <c r="H156">
        <v>836.13</v>
      </c>
      <c r="I156">
        <v>835.95</v>
      </c>
      <c r="J156">
        <v>835.77</v>
      </c>
      <c r="K156">
        <v>835.59</v>
      </c>
      <c r="L156">
        <v>835.4</v>
      </c>
    </row>
    <row r="157" spans="1:12" x14ac:dyDescent="0.15">
      <c r="A157">
        <v>760</v>
      </c>
      <c r="B157">
        <v>837.96</v>
      </c>
      <c r="C157">
        <v>837.83</v>
      </c>
      <c r="D157">
        <v>837.7</v>
      </c>
      <c r="E157">
        <v>837.56</v>
      </c>
      <c r="F157">
        <v>837.42</v>
      </c>
      <c r="G157">
        <v>837.27</v>
      </c>
      <c r="H157">
        <v>837.11</v>
      </c>
      <c r="I157">
        <v>836.95</v>
      </c>
      <c r="J157">
        <v>836.78</v>
      </c>
      <c r="K157">
        <v>836.61</v>
      </c>
      <c r="L157">
        <v>836.43</v>
      </c>
    </row>
    <row r="158" spans="1:12" x14ac:dyDescent="0.15">
      <c r="A158">
        <v>765</v>
      </c>
      <c r="B158">
        <v>838.81</v>
      </c>
      <c r="C158">
        <v>838.69</v>
      </c>
      <c r="D158">
        <v>838.57</v>
      </c>
      <c r="E158">
        <v>838.44</v>
      </c>
      <c r="F158">
        <v>838.31</v>
      </c>
      <c r="G158">
        <v>838.18</v>
      </c>
      <c r="H158">
        <v>838.05</v>
      </c>
      <c r="I158">
        <v>837.9</v>
      </c>
      <c r="J158">
        <v>837.74</v>
      </c>
      <c r="K158">
        <v>837.58</v>
      </c>
      <c r="L158">
        <v>837.42</v>
      </c>
    </row>
    <row r="159" spans="1:12" x14ac:dyDescent="0.15">
      <c r="A159">
        <v>770</v>
      </c>
      <c r="B159">
        <v>839.61</v>
      </c>
      <c r="C159">
        <v>839.51</v>
      </c>
      <c r="D159">
        <v>839.39</v>
      </c>
      <c r="E159">
        <v>839.28</v>
      </c>
      <c r="F159">
        <v>839.16</v>
      </c>
      <c r="G159">
        <v>839.04</v>
      </c>
      <c r="H159">
        <v>838.92</v>
      </c>
      <c r="I159">
        <v>838.79</v>
      </c>
      <c r="J159">
        <v>838.66</v>
      </c>
      <c r="K159">
        <v>838.52</v>
      </c>
      <c r="L159">
        <v>838.36</v>
      </c>
    </row>
    <row r="160" spans="1:12" x14ac:dyDescent="0.15">
      <c r="A160">
        <v>775</v>
      </c>
      <c r="B160">
        <v>840.38</v>
      </c>
      <c r="C160">
        <v>840.28</v>
      </c>
      <c r="D160">
        <v>840.18</v>
      </c>
      <c r="E160">
        <v>840.07</v>
      </c>
      <c r="F160">
        <v>839.97</v>
      </c>
      <c r="G160">
        <v>839.85</v>
      </c>
      <c r="H160">
        <v>839.74</v>
      </c>
      <c r="I160">
        <v>839.62</v>
      </c>
      <c r="J160">
        <v>839.5</v>
      </c>
      <c r="K160">
        <v>839.38</v>
      </c>
      <c r="L160">
        <v>839.25</v>
      </c>
    </row>
    <row r="161" spans="1:12" x14ac:dyDescent="0.15">
      <c r="A161">
        <v>780</v>
      </c>
      <c r="B161">
        <v>841.12</v>
      </c>
      <c r="C161">
        <v>841.02</v>
      </c>
      <c r="D161">
        <v>840.93</v>
      </c>
      <c r="E161">
        <v>840.83</v>
      </c>
      <c r="F161">
        <v>840.73</v>
      </c>
      <c r="G161">
        <v>840.63</v>
      </c>
      <c r="H161">
        <v>840.52</v>
      </c>
      <c r="I161">
        <v>840.42</v>
      </c>
      <c r="J161">
        <v>840.3</v>
      </c>
      <c r="K161">
        <v>840.19</v>
      </c>
      <c r="L161">
        <v>840.07</v>
      </c>
    </row>
    <row r="162" spans="1:12" x14ac:dyDescent="0.15">
      <c r="A162">
        <v>785</v>
      </c>
      <c r="B162">
        <v>841.81</v>
      </c>
      <c r="C162">
        <v>841.73</v>
      </c>
      <c r="D162">
        <v>841.64</v>
      </c>
      <c r="E162">
        <v>841.55</v>
      </c>
      <c r="F162">
        <v>841.46</v>
      </c>
      <c r="G162">
        <v>841.36</v>
      </c>
      <c r="H162">
        <v>841.27</v>
      </c>
      <c r="I162">
        <v>841.17</v>
      </c>
      <c r="J162">
        <v>841.07</v>
      </c>
      <c r="K162">
        <v>840.96</v>
      </c>
      <c r="L162">
        <v>840.85</v>
      </c>
    </row>
    <row r="163" spans="1:12" x14ac:dyDescent="0.15">
      <c r="A163">
        <v>790</v>
      </c>
      <c r="B163">
        <v>842.48</v>
      </c>
      <c r="C163">
        <v>842.4</v>
      </c>
      <c r="D163">
        <v>842.31</v>
      </c>
      <c r="E163">
        <v>842.23</v>
      </c>
      <c r="F163">
        <v>842.15</v>
      </c>
      <c r="G163">
        <v>842.06</v>
      </c>
      <c r="H163">
        <v>841.97</v>
      </c>
      <c r="I163">
        <v>841.88</v>
      </c>
      <c r="J163">
        <v>841.79</v>
      </c>
      <c r="K163">
        <v>841.69</v>
      </c>
      <c r="L163">
        <v>841.59</v>
      </c>
    </row>
    <row r="164" spans="1:12" x14ac:dyDescent="0.15">
      <c r="A164">
        <v>795</v>
      </c>
      <c r="B164">
        <v>843.11</v>
      </c>
      <c r="C164">
        <v>843.03</v>
      </c>
      <c r="D164">
        <v>842.96</v>
      </c>
      <c r="E164">
        <v>842.88</v>
      </c>
      <c r="F164">
        <v>842.8</v>
      </c>
      <c r="G164">
        <v>842.72</v>
      </c>
      <c r="H164">
        <v>842.64</v>
      </c>
      <c r="I164">
        <v>842.56</v>
      </c>
      <c r="J164">
        <v>842.47</v>
      </c>
      <c r="K164">
        <v>842.38</v>
      </c>
      <c r="L164">
        <v>842.29</v>
      </c>
    </row>
    <row r="165" spans="1:12" x14ac:dyDescent="0.15">
      <c r="A165">
        <v>800</v>
      </c>
      <c r="B165">
        <v>843.7</v>
      </c>
      <c r="C165">
        <v>843.63</v>
      </c>
      <c r="D165">
        <v>843.57</v>
      </c>
      <c r="E165">
        <v>843.5</v>
      </c>
      <c r="F165">
        <v>843.42</v>
      </c>
      <c r="G165">
        <v>843.35</v>
      </c>
      <c r="H165">
        <v>843.27</v>
      </c>
      <c r="I165">
        <v>843.2</v>
      </c>
      <c r="J165">
        <v>843.12</v>
      </c>
      <c r="K165">
        <v>843.04</v>
      </c>
      <c r="L165">
        <v>842.96</v>
      </c>
    </row>
    <row r="166" spans="1:12" x14ac:dyDescent="0.15">
      <c r="A166">
        <v>805</v>
      </c>
      <c r="B166">
        <v>844.26</v>
      </c>
      <c r="C166">
        <v>844.2</v>
      </c>
      <c r="D166">
        <v>844.14</v>
      </c>
      <c r="E166">
        <v>844.08</v>
      </c>
      <c r="F166">
        <v>844.01</v>
      </c>
      <c r="G166">
        <v>843.94</v>
      </c>
      <c r="H166">
        <v>843.88</v>
      </c>
      <c r="I166">
        <v>843.8</v>
      </c>
      <c r="J166">
        <v>843.73</v>
      </c>
      <c r="K166">
        <v>843.66</v>
      </c>
      <c r="L166">
        <v>843.58</v>
      </c>
    </row>
    <row r="167" spans="1:12" x14ac:dyDescent="0.15">
      <c r="A167">
        <v>810</v>
      </c>
      <c r="B167">
        <v>844.79</v>
      </c>
      <c r="C167">
        <v>844.74</v>
      </c>
      <c r="D167">
        <v>844.68</v>
      </c>
      <c r="E167">
        <v>844.62</v>
      </c>
      <c r="F167">
        <v>844.56</v>
      </c>
      <c r="G167">
        <v>844.5</v>
      </c>
      <c r="H167">
        <v>844.44</v>
      </c>
      <c r="I167">
        <v>844.38</v>
      </c>
      <c r="J167">
        <v>844.31</v>
      </c>
      <c r="K167">
        <v>844.25</v>
      </c>
      <c r="L167">
        <v>844.18</v>
      </c>
    </row>
    <row r="168" spans="1:12" x14ac:dyDescent="0.15">
      <c r="A168">
        <v>815</v>
      </c>
      <c r="B168">
        <v>845.29</v>
      </c>
      <c r="C168">
        <v>845.24</v>
      </c>
      <c r="D168">
        <v>845.19</v>
      </c>
      <c r="E168">
        <v>845.14</v>
      </c>
      <c r="F168">
        <v>845.08</v>
      </c>
      <c r="G168">
        <v>845.03</v>
      </c>
      <c r="H168">
        <v>844.97</v>
      </c>
      <c r="I168">
        <v>844.92</v>
      </c>
      <c r="J168">
        <v>844.86</v>
      </c>
      <c r="K168">
        <v>844.8</v>
      </c>
      <c r="L168">
        <v>844.73</v>
      </c>
    </row>
    <row r="169" spans="1:12" x14ac:dyDescent="0.15">
      <c r="A169">
        <v>820</v>
      </c>
      <c r="B169">
        <v>845.74</v>
      </c>
      <c r="C169">
        <v>845.71</v>
      </c>
      <c r="D169">
        <v>845.67</v>
      </c>
      <c r="E169">
        <v>845.62</v>
      </c>
      <c r="F169">
        <v>845.57</v>
      </c>
      <c r="G169">
        <v>845.52</v>
      </c>
      <c r="H169">
        <v>845.47</v>
      </c>
      <c r="I169">
        <v>845.42</v>
      </c>
      <c r="J169">
        <v>845.37</v>
      </c>
      <c r="K169">
        <v>845.32</v>
      </c>
      <c r="L169">
        <v>845.26</v>
      </c>
    </row>
    <row r="170" spans="1:12" x14ac:dyDescent="0.15">
      <c r="A170">
        <v>825</v>
      </c>
      <c r="B170">
        <v>846.08</v>
      </c>
      <c r="C170">
        <v>846.07</v>
      </c>
      <c r="D170">
        <v>846.06</v>
      </c>
      <c r="E170">
        <v>846.06</v>
      </c>
      <c r="F170">
        <v>846.03</v>
      </c>
      <c r="G170">
        <v>845.99</v>
      </c>
      <c r="H170">
        <v>845.94</v>
      </c>
      <c r="I170">
        <v>845.9</v>
      </c>
      <c r="J170">
        <v>845.85</v>
      </c>
      <c r="K170">
        <v>845.8</v>
      </c>
      <c r="L170">
        <v>845.75</v>
      </c>
    </row>
    <row r="171" spans="1:12" x14ac:dyDescent="0.15">
      <c r="A171">
        <v>830</v>
      </c>
      <c r="B171">
        <v>846.4</v>
      </c>
      <c r="C171">
        <v>846.39</v>
      </c>
      <c r="D171">
        <v>846.38</v>
      </c>
      <c r="E171">
        <v>846.37</v>
      </c>
      <c r="F171">
        <v>846.37</v>
      </c>
      <c r="G171">
        <v>846.36</v>
      </c>
      <c r="H171">
        <v>846.36</v>
      </c>
      <c r="I171">
        <v>846.34</v>
      </c>
      <c r="J171">
        <v>846.29</v>
      </c>
      <c r="K171">
        <v>846.25</v>
      </c>
      <c r="L171">
        <v>846.21</v>
      </c>
    </row>
    <row r="172" spans="1:12" x14ac:dyDescent="0.15">
      <c r="A172">
        <v>835</v>
      </c>
      <c r="B172">
        <v>846.71</v>
      </c>
      <c r="C172">
        <v>846.7</v>
      </c>
      <c r="D172">
        <v>846.69</v>
      </c>
      <c r="E172">
        <v>846.68</v>
      </c>
      <c r="F172">
        <v>846.67</v>
      </c>
      <c r="G172">
        <v>846.67</v>
      </c>
      <c r="H172">
        <v>846.66</v>
      </c>
      <c r="I172">
        <v>846.66</v>
      </c>
      <c r="J172">
        <v>846.65</v>
      </c>
      <c r="K172">
        <v>846.65</v>
      </c>
      <c r="L172">
        <v>846.63</v>
      </c>
    </row>
    <row r="173" spans="1:12" x14ac:dyDescent="0.15">
      <c r="A173">
        <v>840</v>
      </c>
      <c r="B173">
        <v>847</v>
      </c>
      <c r="C173">
        <v>846.99</v>
      </c>
      <c r="D173">
        <v>846.99</v>
      </c>
      <c r="E173">
        <v>846.98</v>
      </c>
      <c r="F173">
        <v>846.97</v>
      </c>
      <c r="G173">
        <v>846.96</v>
      </c>
      <c r="H173">
        <v>846.96</v>
      </c>
      <c r="I173">
        <v>846.95</v>
      </c>
      <c r="J173">
        <v>846.94</v>
      </c>
      <c r="K173">
        <v>846.94</v>
      </c>
      <c r="L173">
        <v>846.93</v>
      </c>
    </row>
    <row r="174" spans="1:12" x14ac:dyDescent="0.15">
      <c r="A174">
        <v>845</v>
      </c>
      <c r="B174">
        <v>847.28</v>
      </c>
      <c r="C174">
        <v>847.27</v>
      </c>
      <c r="D174">
        <v>847.27</v>
      </c>
      <c r="E174">
        <v>847.26</v>
      </c>
      <c r="F174">
        <v>847.25</v>
      </c>
      <c r="G174">
        <v>847.24</v>
      </c>
      <c r="H174">
        <v>847.24</v>
      </c>
      <c r="I174">
        <v>847.23</v>
      </c>
      <c r="J174">
        <v>847.22</v>
      </c>
      <c r="K174">
        <v>847.22</v>
      </c>
      <c r="L174">
        <v>847.21</v>
      </c>
    </row>
    <row r="175" spans="1:12" x14ac:dyDescent="0.15">
      <c r="A175">
        <v>850</v>
      </c>
      <c r="B175">
        <v>847.54</v>
      </c>
      <c r="C175">
        <v>847.54</v>
      </c>
      <c r="D175">
        <v>847.53</v>
      </c>
      <c r="E175">
        <v>847.52</v>
      </c>
      <c r="F175">
        <v>847.52</v>
      </c>
      <c r="G175">
        <v>847.51</v>
      </c>
      <c r="H175">
        <v>847.5</v>
      </c>
      <c r="I175">
        <v>847.5</v>
      </c>
      <c r="J175">
        <v>847.49</v>
      </c>
      <c r="K175">
        <v>847.49</v>
      </c>
      <c r="L175">
        <v>847.48</v>
      </c>
    </row>
    <row r="176" spans="1:12" x14ac:dyDescent="0.15">
      <c r="A176">
        <v>855</v>
      </c>
      <c r="B176">
        <v>847.81</v>
      </c>
      <c r="C176">
        <v>847.79</v>
      </c>
      <c r="D176">
        <v>847.78</v>
      </c>
      <c r="E176">
        <v>847.77</v>
      </c>
      <c r="F176">
        <v>847.77</v>
      </c>
      <c r="G176">
        <v>847.76</v>
      </c>
      <c r="H176">
        <v>847.76</v>
      </c>
      <c r="I176">
        <v>847.75</v>
      </c>
      <c r="J176">
        <v>847.75</v>
      </c>
      <c r="K176">
        <v>847.74</v>
      </c>
      <c r="L176">
        <v>847.74</v>
      </c>
    </row>
    <row r="177" spans="1:12" x14ac:dyDescent="0.15">
      <c r="A177">
        <v>860</v>
      </c>
      <c r="B177">
        <v>848.15</v>
      </c>
      <c r="C177">
        <v>848.12</v>
      </c>
      <c r="D177">
        <v>848.09</v>
      </c>
      <c r="E177">
        <v>848.05</v>
      </c>
      <c r="F177">
        <v>848.02</v>
      </c>
      <c r="G177">
        <v>848</v>
      </c>
      <c r="H177">
        <v>847.99</v>
      </c>
      <c r="I177">
        <v>847.99</v>
      </c>
      <c r="J177">
        <v>847.98</v>
      </c>
      <c r="K177">
        <v>847.98</v>
      </c>
      <c r="L177">
        <v>847.97</v>
      </c>
    </row>
    <row r="178" spans="1:12" x14ac:dyDescent="0.15">
      <c r="A178">
        <v>865</v>
      </c>
      <c r="B178">
        <v>848.47</v>
      </c>
      <c r="C178">
        <v>848.44</v>
      </c>
      <c r="D178">
        <v>848.41</v>
      </c>
      <c r="E178">
        <v>848.38</v>
      </c>
      <c r="F178">
        <v>848.35</v>
      </c>
      <c r="G178">
        <v>848.32</v>
      </c>
      <c r="H178">
        <v>848.29</v>
      </c>
      <c r="I178">
        <v>848.25</v>
      </c>
      <c r="J178">
        <v>848.22</v>
      </c>
      <c r="K178">
        <v>848.2</v>
      </c>
      <c r="L178">
        <v>848.2</v>
      </c>
    </row>
    <row r="179" spans="1:12" x14ac:dyDescent="0.15">
      <c r="A179">
        <v>870</v>
      </c>
      <c r="B179">
        <v>848.77</v>
      </c>
      <c r="C179">
        <v>848.74</v>
      </c>
      <c r="D179">
        <v>848.71</v>
      </c>
      <c r="E179">
        <v>848.69</v>
      </c>
      <c r="F179">
        <v>848.66</v>
      </c>
      <c r="G179">
        <v>848.63</v>
      </c>
      <c r="H179">
        <v>848.6</v>
      </c>
      <c r="I179">
        <v>848.57</v>
      </c>
      <c r="J179">
        <v>848.54</v>
      </c>
      <c r="K179">
        <v>848.51</v>
      </c>
      <c r="L179">
        <v>848.48</v>
      </c>
    </row>
    <row r="180" spans="1:12" x14ac:dyDescent="0.15">
      <c r="A180">
        <v>875</v>
      </c>
      <c r="B180">
        <v>849.04</v>
      </c>
      <c r="C180">
        <v>849.02</v>
      </c>
      <c r="D180">
        <v>848.99</v>
      </c>
      <c r="E180">
        <v>848.97</v>
      </c>
      <c r="F180">
        <v>848.94</v>
      </c>
      <c r="G180">
        <v>848.92</v>
      </c>
      <c r="H180">
        <v>848.89</v>
      </c>
      <c r="I180">
        <v>848.87</v>
      </c>
      <c r="J180">
        <v>848.84</v>
      </c>
      <c r="K180">
        <v>848.81</v>
      </c>
      <c r="L180">
        <v>848.78</v>
      </c>
    </row>
    <row r="181" spans="1:12" x14ac:dyDescent="0.15">
      <c r="A181">
        <v>880</v>
      </c>
      <c r="B181">
        <v>849.29</v>
      </c>
      <c r="C181">
        <v>849.27</v>
      </c>
      <c r="D181">
        <v>849.25</v>
      </c>
      <c r="E181">
        <v>849.23</v>
      </c>
      <c r="F181">
        <v>849.21</v>
      </c>
      <c r="G181">
        <v>849.18</v>
      </c>
      <c r="H181">
        <v>849.16</v>
      </c>
      <c r="I181">
        <v>849.14</v>
      </c>
      <c r="J181">
        <v>849.11</v>
      </c>
      <c r="K181">
        <v>849.09</v>
      </c>
      <c r="L181">
        <v>849.06</v>
      </c>
    </row>
    <row r="182" spans="1:12" x14ac:dyDescent="0.15">
      <c r="A182">
        <v>885</v>
      </c>
      <c r="B182">
        <v>849.53</v>
      </c>
      <c r="C182">
        <v>849.51</v>
      </c>
      <c r="D182">
        <v>849.49</v>
      </c>
      <c r="E182">
        <v>849.47</v>
      </c>
      <c r="F182">
        <v>849.45</v>
      </c>
      <c r="G182">
        <v>849.43</v>
      </c>
      <c r="H182">
        <v>849.41</v>
      </c>
      <c r="I182">
        <v>849.39</v>
      </c>
      <c r="J182">
        <v>849.36</v>
      </c>
      <c r="K182">
        <v>849.34</v>
      </c>
      <c r="L182">
        <v>849.32</v>
      </c>
    </row>
    <row r="183" spans="1:12" x14ac:dyDescent="0.15">
      <c r="A183">
        <v>890</v>
      </c>
      <c r="B183">
        <v>849.74</v>
      </c>
      <c r="C183">
        <v>849.74</v>
      </c>
      <c r="D183">
        <v>849.72</v>
      </c>
      <c r="E183">
        <v>849.7</v>
      </c>
      <c r="F183">
        <v>849.68</v>
      </c>
      <c r="G183">
        <v>849.66</v>
      </c>
      <c r="H183">
        <v>849.64</v>
      </c>
      <c r="I183">
        <v>849.62</v>
      </c>
      <c r="J183">
        <v>849.6</v>
      </c>
      <c r="K183">
        <v>849.58</v>
      </c>
      <c r="L183">
        <v>849.56</v>
      </c>
    </row>
    <row r="184" spans="1:12" x14ac:dyDescent="0.15">
      <c r="A184">
        <v>895</v>
      </c>
      <c r="B184">
        <v>849.9</v>
      </c>
      <c r="C184">
        <v>849.89</v>
      </c>
      <c r="D184">
        <v>849.88</v>
      </c>
      <c r="E184">
        <v>849.88</v>
      </c>
      <c r="F184">
        <v>849.87</v>
      </c>
      <c r="G184">
        <v>849.86</v>
      </c>
      <c r="H184">
        <v>849.85</v>
      </c>
      <c r="I184">
        <v>849.84</v>
      </c>
      <c r="J184">
        <v>849.82</v>
      </c>
      <c r="K184">
        <v>849.8</v>
      </c>
      <c r="L184">
        <v>849.78</v>
      </c>
    </row>
    <row r="185" spans="1:12" x14ac:dyDescent="0.15">
      <c r="A185">
        <v>900</v>
      </c>
      <c r="B185">
        <v>850.03</v>
      </c>
      <c r="C185">
        <v>850.02</v>
      </c>
      <c r="D185">
        <v>850.02</v>
      </c>
      <c r="E185">
        <v>850.01</v>
      </c>
      <c r="F185">
        <v>850.01</v>
      </c>
      <c r="G185">
        <v>850</v>
      </c>
      <c r="H185">
        <v>850</v>
      </c>
      <c r="I185">
        <v>849.99</v>
      </c>
      <c r="J185">
        <v>849.98</v>
      </c>
      <c r="K185">
        <v>849.98</v>
      </c>
      <c r="L185">
        <v>849.97</v>
      </c>
    </row>
    <row r="186" spans="1:12" x14ac:dyDescent="0.15">
      <c r="A186">
        <v>905</v>
      </c>
      <c r="B186">
        <v>850.14</v>
      </c>
      <c r="C186">
        <v>850.14</v>
      </c>
      <c r="D186">
        <v>850.14</v>
      </c>
      <c r="E186">
        <v>850.13</v>
      </c>
      <c r="F186">
        <v>850.13</v>
      </c>
      <c r="G186">
        <v>850.13</v>
      </c>
      <c r="H186">
        <v>850.12</v>
      </c>
      <c r="I186">
        <v>850.12</v>
      </c>
      <c r="J186">
        <v>850.11</v>
      </c>
      <c r="K186">
        <v>850.11</v>
      </c>
      <c r="L186">
        <v>850.1</v>
      </c>
    </row>
    <row r="187" spans="1:12" x14ac:dyDescent="0.15">
      <c r="A187">
        <v>910</v>
      </c>
      <c r="B187">
        <v>850.24</v>
      </c>
      <c r="C187">
        <v>850.24</v>
      </c>
      <c r="D187">
        <v>850.24</v>
      </c>
      <c r="E187">
        <v>850.23</v>
      </c>
      <c r="F187">
        <v>850.23</v>
      </c>
      <c r="G187">
        <v>850.23</v>
      </c>
      <c r="H187">
        <v>850.23</v>
      </c>
      <c r="I187">
        <v>850.22</v>
      </c>
      <c r="J187">
        <v>850.22</v>
      </c>
      <c r="K187">
        <v>850.22</v>
      </c>
      <c r="L187">
        <v>850.21</v>
      </c>
    </row>
    <row r="188" spans="1:12" x14ac:dyDescent="0.15">
      <c r="A188">
        <v>915</v>
      </c>
      <c r="B188">
        <v>850.32</v>
      </c>
      <c r="C188">
        <v>850.32</v>
      </c>
      <c r="D188">
        <v>850.32</v>
      </c>
      <c r="E188">
        <v>850.32</v>
      </c>
      <c r="F188">
        <v>850.32</v>
      </c>
      <c r="G188">
        <v>850.32</v>
      </c>
      <c r="H188">
        <v>850.32</v>
      </c>
      <c r="I188">
        <v>850.31</v>
      </c>
      <c r="J188">
        <v>850.31</v>
      </c>
      <c r="K188">
        <v>850.31</v>
      </c>
      <c r="L188">
        <v>850.31</v>
      </c>
    </row>
    <row r="189" spans="1:12" x14ac:dyDescent="0.15">
      <c r="A189">
        <v>920</v>
      </c>
      <c r="B189">
        <v>850.39</v>
      </c>
      <c r="C189">
        <v>850.39</v>
      </c>
      <c r="D189">
        <v>850.39</v>
      </c>
      <c r="E189">
        <v>850.39</v>
      </c>
      <c r="F189">
        <v>850.39</v>
      </c>
      <c r="G189">
        <v>850.39</v>
      </c>
      <c r="H189">
        <v>850.39</v>
      </c>
      <c r="I189">
        <v>850.39</v>
      </c>
      <c r="J189">
        <v>850.39</v>
      </c>
      <c r="K189">
        <v>850.39</v>
      </c>
      <c r="L189">
        <v>850.39</v>
      </c>
    </row>
    <row r="190" spans="1:12" x14ac:dyDescent="0.15">
      <c r="A190">
        <v>925</v>
      </c>
      <c r="B190">
        <v>850.45</v>
      </c>
      <c r="C190">
        <v>850.45</v>
      </c>
      <c r="D190">
        <v>850.45</v>
      </c>
      <c r="E190">
        <v>850.45</v>
      </c>
      <c r="F190">
        <v>850.45</v>
      </c>
      <c r="G190">
        <v>850.45</v>
      </c>
      <c r="H190">
        <v>850.45</v>
      </c>
      <c r="I190">
        <v>850.45</v>
      </c>
      <c r="J190">
        <v>850.45</v>
      </c>
      <c r="K190">
        <v>850.45</v>
      </c>
      <c r="L190">
        <v>850.45</v>
      </c>
    </row>
    <row r="191" spans="1:12" x14ac:dyDescent="0.15">
      <c r="A191">
        <v>930</v>
      </c>
      <c r="B191">
        <v>850.5</v>
      </c>
      <c r="C191">
        <v>850.5</v>
      </c>
      <c r="D191">
        <v>850.5</v>
      </c>
      <c r="E191">
        <v>850.5</v>
      </c>
      <c r="F191">
        <v>850.5</v>
      </c>
      <c r="G191">
        <v>850.5</v>
      </c>
      <c r="H191">
        <v>850.5</v>
      </c>
      <c r="I191">
        <v>850.5</v>
      </c>
      <c r="J191">
        <v>850.5</v>
      </c>
      <c r="K191">
        <v>850.5</v>
      </c>
      <c r="L191">
        <v>850.5</v>
      </c>
    </row>
    <row r="192" spans="1:12" x14ac:dyDescent="0.15">
      <c r="A192">
        <v>935</v>
      </c>
      <c r="B192">
        <v>850.55</v>
      </c>
      <c r="C192">
        <v>850.55</v>
      </c>
      <c r="D192">
        <v>850.55</v>
      </c>
      <c r="E192">
        <v>850.55</v>
      </c>
      <c r="F192">
        <v>850.55</v>
      </c>
      <c r="G192">
        <v>850.55</v>
      </c>
      <c r="H192">
        <v>850.55</v>
      </c>
      <c r="I192">
        <v>850.55</v>
      </c>
      <c r="J192">
        <v>850.55</v>
      </c>
      <c r="K192">
        <v>850.55</v>
      </c>
      <c r="L192">
        <v>850.55</v>
      </c>
    </row>
    <row r="193" spans="1:12" x14ac:dyDescent="0.15">
      <c r="A193">
        <v>940</v>
      </c>
      <c r="B193">
        <v>850.59</v>
      </c>
      <c r="C193">
        <v>850.59</v>
      </c>
      <c r="D193">
        <v>850.59</v>
      </c>
      <c r="E193">
        <v>850.59</v>
      </c>
      <c r="F193">
        <v>850.59</v>
      </c>
      <c r="G193">
        <v>850.59</v>
      </c>
      <c r="H193">
        <v>850.59</v>
      </c>
      <c r="I193">
        <v>850.59</v>
      </c>
      <c r="J193">
        <v>850.59</v>
      </c>
      <c r="K193">
        <v>850.59</v>
      </c>
      <c r="L193">
        <v>850.59</v>
      </c>
    </row>
    <row r="194" spans="1:12" x14ac:dyDescent="0.15">
      <c r="A194">
        <v>945</v>
      </c>
      <c r="B194">
        <v>850.63</v>
      </c>
      <c r="C194">
        <v>850.63</v>
      </c>
      <c r="D194">
        <v>850.63</v>
      </c>
      <c r="E194">
        <v>850.63</v>
      </c>
      <c r="F194">
        <v>850.63</v>
      </c>
      <c r="G194">
        <v>850.63</v>
      </c>
      <c r="H194">
        <v>850.63</v>
      </c>
      <c r="I194">
        <v>850.63</v>
      </c>
      <c r="J194">
        <v>850.63</v>
      </c>
      <c r="K194">
        <v>850.63</v>
      </c>
      <c r="L194">
        <v>850.63</v>
      </c>
    </row>
    <row r="195" spans="1:12" x14ac:dyDescent="0.15">
      <c r="A195">
        <v>950</v>
      </c>
      <c r="B195">
        <v>850.66</v>
      </c>
      <c r="C195">
        <v>850.66</v>
      </c>
      <c r="D195">
        <v>850.66</v>
      </c>
      <c r="E195">
        <v>850.66</v>
      </c>
      <c r="F195">
        <v>850.66</v>
      </c>
      <c r="G195">
        <v>850.66</v>
      </c>
      <c r="H195">
        <v>850.66</v>
      </c>
      <c r="I195">
        <v>850.66</v>
      </c>
      <c r="J195">
        <v>850.66</v>
      </c>
      <c r="K195">
        <v>850.66</v>
      </c>
      <c r="L195">
        <v>850.66</v>
      </c>
    </row>
    <row r="196" spans="1:12" x14ac:dyDescent="0.15">
      <c r="A196">
        <v>955</v>
      </c>
      <c r="B196">
        <v>850.69</v>
      </c>
      <c r="C196">
        <v>850.69</v>
      </c>
      <c r="D196">
        <v>850.69</v>
      </c>
      <c r="E196">
        <v>850.69</v>
      </c>
      <c r="F196">
        <v>850.69</v>
      </c>
      <c r="G196">
        <v>850.69</v>
      </c>
      <c r="H196">
        <v>850.69</v>
      </c>
      <c r="I196">
        <v>850.69</v>
      </c>
      <c r="J196">
        <v>850.69</v>
      </c>
      <c r="K196">
        <v>850.69</v>
      </c>
      <c r="L196">
        <v>850.69</v>
      </c>
    </row>
    <row r="197" spans="1:12" x14ac:dyDescent="0.15">
      <c r="A197">
        <v>960</v>
      </c>
      <c r="B197">
        <v>850.71</v>
      </c>
      <c r="C197">
        <v>850.71</v>
      </c>
      <c r="D197">
        <v>850.71</v>
      </c>
      <c r="E197">
        <v>850.71</v>
      </c>
      <c r="F197">
        <v>850.71</v>
      </c>
      <c r="G197">
        <v>850.71</v>
      </c>
      <c r="H197">
        <v>850.71</v>
      </c>
      <c r="I197">
        <v>850.71</v>
      </c>
      <c r="J197">
        <v>850.71</v>
      </c>
      <c r="K197">
        <v>850.71</v>
      </c>
      <c r="L197">
        <v>850.71</v>
      </c>
    </row>
    <row r="198" spans="1:12" x14ac:dyDescent="0.15">
      <c r="A198">
        <v>965</v>
      </c>
      <c r="B198">
        <v>850.73</v>
      </c>
      <c r="C198">
        <v>850.73</v>
      </c>
      <c r="D198">
        <v>850.73</v>
      </c>
      <c r="E198">
        <v>850.73</v>
      </c>
      <c r="F198">
        <v>850.73</v>
      </c>
      <c r="G198">
        <v>850.73</v>
      </c>
      <c r="H198">
        <v>850.73</v>
      </c>
      <c r="I198">
        <v>850.73</v>
      </c>
      <c r="J198">
        <v>850.73</v>
      </c>
      <c r="K198">
        <v>850.73</v>
      </c>
      <c r="L198">
        <v>850.73</v>
      </c>
    </row>
    <row r="199" spans="1:12" x14ac:dyDescent="0.15">
      <c r="A199">
        <v>970</v>
      </c>
      <c r="B199">
        <v>850.74</v>
      </c>
      <c r="C199">
        <v>850.74</v>
      </c>
      <c r="D199">
        <v>850.74</v>
      </c>
      <c r="E199">
        <v>850.74</v>
      </c>
      <c r="F199">
        <v>850.74</v>
      </c>
      <c r="G199">
        <v>850.74</v>
      </c>
      <c r="H199">
        <v>850.74</v>
      </c>
      <c r="I199">
        <v>850.74</v>
      </c>
      <c r="J199">
        <v>850.74</v>
      </c>
      <c r="K199">
        <v>850.74</v>
      </c>
      <c r="L199">
        <v>850.74</v>
      </c>
    </row>
    <row r="200" spans="1:12" x14ac:dyDescent="0.15">
      <c r="A200">
        <v>975</v>
      </c>
      <c r="B200">
        <v>850.75</v>
      </c>
      <c r="C200">
        <v>850.75</v>
      </c>
      <c r="D200">
        <v>850.75</v>
      </c>
      <c r="E200">
        <v>850.75</v>
      </c>
      <c r="F200">
        <v>850.75</v>
      </c>
      <c r="G200">
        <v>850.75</v>
      </c>
      <c r="H200">
        <v>850.75</v>
      </c>
      <c r="I200">
        <v>850.75</v>
      </c>
      <c r="J200">
        <v>850.75</v>
      </c>
      <c r="K200">
        <v>850.75</v>
      </c>
      <c r="L200">
        <v>850.75</v>
      </c>
    </row>
    <row r="201" spans="1:12" x14ac:dyDescent="0.15">
      <c r="A201">
        <v>980</v>
      </c>
      <c r="B201">
        <v>850.75</v>
      </c>
      <c r="C201">
        <v>850.75</v>
      </c>
      <c r="D201">
        <v>850.75</v>
      </c>
      <c r="E201">
        <v>850.75</v>
      </c>
      <c r="F201">
        <v>850.75</v>
      </c>
      <c r="G201">
        <v>850.75</v>
      </c>
      <c r="H201">
        <v>850.75</v>
      </c>
      <c r="I201">
        <v>850.75</v>
      </c>
      <c r="J201">
        <v>850.75</v>
      </c>
      <c r="K201">
        <v>850.75</v>
      </c>
      <c r="L201">
        <v>850.75</v>
      </c>
    </row>
    <row r="202" spans="1:12" x14ac:dyDescent="0.15">
      <c r="A202">
        <v>985</v>
      </c>
      <c r="B202">
        <v>850.75</v>
      </c>
      <c r="C202">
        <v>850.75</v>
      </c>
      <c r="D202">
        <v>850.75</v>
      </c>
      <c r="E202">
        <v>850.75</v>
      </c>
      <c r="F202">
        <v>850.75</v>
      </c>
      <c r="G202">
        <v>850.75</v>
      </c>
      <c r="H202">
        <v>850.75</v>
      </c>
      <c r="I202">
        <v>850.75</v>
      </c>
      <c r="J202">
        <v>850.75</v>
      </c>
      <c r="K202">
        <v>850.75</v>
      </c>
      <c r="L202">
        <v>850.75</v>
      </c>
    </row>
    <row r="203" spans="1:12" x14ac:dyDescent="0.15">
      <c r="A203">
        <v>990</v>
      </c>
      <c r="B203">
        <v>850.75</v>
      </c>
      <c r="C203">
        <v>850.75</v>
      </c>
      <c r="D203">
        <v>850.75</v>
      </c>
      <c r="E203">
        <v>850.75</v>
      </c>
      <c r="F203">
        <v>850.75</v>
      </c>
      <c r="G203">
        <v>850.75</v>
      </c>
      <c r="H203">
        <v>850.75</v>
      </c>
      <c r="I203">
        <v>850.75</v>
      </c>
      <c r="J203">
        <v>850.75</v>
      </c>
      <c r="K203">
        <v>850.75</v>
      </c>
      <c r="L203">
        <v>850.75</v>
      </c>
    </row>
    <row r="204" spans="1:12" x14ac:dyDescent="0.15">
      <c r="A204">
        <v>995</v>
      </c>
      <c r="B204">
        <v>850.75</v>
      </c>
      <c r="C204">
        <v>850.75</v>
      </c>
      <c r="D204">
        <v>850.75</v>
      </c>
      <c r="E204">
        <v>850.75</v>
      </c>
      <c r="F204">
        <v>850.75</v>
      </c>
      <c r="G204">
        <v>850.75</v>
      </c>
      <c r="H204">
        <v>850.75</v>
      </c>
      <c r="I204">
        <v>850.75</v>
      </c>
      <c r="J204">
        <v>850.75</v>
      </c>
      <c r="K204">
        <v>850.75</v>
      </c>
      <c r="L204">
        <v>850.75</v>
      </c>
    </row>
    <row r="205" spans="1:12" x14ac:dyDescent="0.15">
      <c r="A205">
        <v>1000</v>
      </c>
      <c r="B205">
        <v>850.75</v>
      </c>
      <c r="C205">
        <v>850.75</v>
      </c>
      <c r="D205">
        <v>850.75</v>
      </c>
      <c r="E205">
        <v>850.75</v>
      </c>
      <c r="F205">
        <v>850.75</v>
      </c>
      <c r="G205">
        <v>850.75</v>
      </c>
      <c r="H205">
        <v>850.75</v>
      </c>
      <c r="I205">
        <v>850.75</v>
      </c>
      <c r="J205">
        <v>850.75</v>
      </c>
      <c r="K205">
        <v>850.75</v>
      </c>
      <c r="L205">
        <v>850.75</v>
      </c>
    </row>
    <row r="206" spans="1:12" x14ac:dyDescent="0.15">
      <c r="A206">
        <v>1005</v>
      </c>
      <c r="B206">
        <v>850.75</v>
      </c>
      <c r="C206">
        <v>850.75</v>
      </c>
      <c r="D206">
        <v>850.75</v>
      </c>
      <c r="E206">
        <v>850.75</v>
      </c>
      <c r="F206">
        <v>850.75</v>
      </c>
      <c r="G206">
        <v>850.75</v>
      </c>
      <c r="H206">
        <v>850.75</v>
      </c>
      <c r="I206">
        <v>850.75</v>
      </c>
      <c r="J206">
        <v>850.75</v>
      </c>
      <c r="K206">
        <v>850.75</v>
      </c>
      <c r="L206">
        <v>850.75</v>
      </c>
    </row>
    <row r="207" spans="1:12" x14ac:dyDescent="0.15">
      <c r="A207">
        <v>1010</v>
      </c>
      <c r="B207">
        <v>850.75</v>
      </c>
      <c r="C207">
        <v>850.75</v>
      </c>
      <c r="D207">
        <v>850.75</v>
      </c>
      <c r="E207">
        <v>850.75</v>
      </c>
      <c r="F207">
        <v>850.75</v>
      </c>
      <c r="G207">
        <v>850.75</v>
      </c>
      <c r="H207">
        <v>850.75</v>
      </c>
      <c r="I207">
        <v>850.75</v>
      </c>
      <c r="J207">
        <v>850.75</v>
      </c>
      <c r="K207">
        <v>850.75</v>
      </c>
      <c r="L207">
        <v>850.75</v>
      </c>
    </row>
    <row r="208" spans="1:12" x14ac:dyDescent="0.15">
      <c r="A208">
        <v>1015</v>
      </c>
      <c r="B208">
        <v>850.75</v>
      </c>
      <c r="C208">
        <v>850.75</v>
      </c>
      <c r="D208">
        <v>850.75</v>
      </c>
      <c r="E208">
        <v>850.75</v>
      </c>
      <c r="F208">
        <v>850.75</v>
      </c>
      <c r="G208">
        <v>850.75</v>
      </c>
      <c r="H208">
        <v>850.75</v>
      </c>
      <c r="I208">
        <v>850.75</v>
      </c>
      <c r="J208">
        <v>850.75</v>
      </c>
      <c r="K208">
        <v>850.75</v>
      </c>
      <c r="L208">
        <v>850.75</v>
      </c>
    </row>
    <row r="209" spans="1:12" x14ac:dyDescent="0.15">
      <c r="A209">
        <v>1020</v>
      </c>
      <c r="B209">
        <v>850.75</v>
      </c>
      <c r="C209">
        <v>850.75</v>
      </c>
      <c r="D209">
        <v>850.75</v>
      </c>
      <c r="E209">
        <v>850.75</v>
      </c>
      <c r="F209">
        <v>850.75</v>
      </c>
      <c r="G209">
        <v>850.75</v>
      </c>
      <c r="H209">
        <v>850.75</v>
      </c>
      <c r="I209">
        <v>850.75</v>
      </c>
      <c r="J209">
        <v>850.75</v>
      </c>
      <c r="K209">
        <v>850.75</v>
      </c>
      <c r="L209">
        <v>850.75</v>
      </c>
    </row>
    <row r="210" spans="1:12" x14ac:dyDescent="0.15">
      <c r="A210">
        <v>1025</v>
      </c>
      <c r="B210">
        <v>850.75</v>
      </c>
      <c r="C210">
        <v>850.75</v>
      </c>
      <c r="D210">
        <v>850.75</v>
      </c>
      <c r="E210">
        <v>850.75</v>
      </c>
      <c r="F210">
        <v>850.75</v>
      </c>
      <c r="G210">
        <v>850.75</v>
      </c>
      <c r="H210">
        <v>850.75</v>
      </c>
      <c r="I210">
        <v>850.75</v>
      </c>
      <c r="J210">
        <v>850.75</v>
      </c>
      <c r="K210">
        <v>850.75</v>
      </c>
      <c r="L210">
        <v>850.75</v>
      </c>
    </row>
    <row r="211" spans="1:12" x14ac:dyDescent="0.15">
      <c r="A211">
        <v>1030</v>
      </c>
      <c r="B211">
        <v>850.75</v>
      </c>
      <c r="C211">
        <v>850.75</v>
      </c>
      <c r="D211">
        <v>850.75</v>
      </c>
      <c r="E211">
        <v>850.75</v>
      </c>
      <c r="F211">
        <v>850.75</v>
      </c>
      <c r="G211">
        <v>850.75</v>
      </c>
      <c r="H211">
        <v>850.75</v>
      </c>
      <c r="I211">
        <v>850.75</v>
      </c>
      <c r="J211">
        <v>850.75</v>
      </c>
      <c r="K211">
        <v>850.75</v>
      </c>
      <c r="L211">
        <v>850.75</v>
      </c>
    </row>
    <row r="212" spans="1:12" x14ac:dyDescent="0.15">
      <c r="A212">
        <v>1035</v>
      </c>
      <c r="B212">
        <v>850.75</v>
      </c>
      <c r="C212">
        <v>850.75</v>
      </c>
      <c r="D212">
        <v>850.75</v>
      </c>
      <c r="E212">
        <v>850.75</v>
      </c>
      <c r="F212">
        <v>850.75</v>
      </c>
      <c r="G212">
        <v>850.75</v>
      </c>
      <c r="H212">
        <v>850.75</v>
      </c>
      <c r="I212">
        <v>850.75</v>
      </c>
      <c r="J212">
        <v>850.75</v>
      </c>
      <c r="K212">
        <v>850.75</v>
      </c>
      <c r="L212">
        <v>850.75</v>
      </c>
    </row>
    <row r="213" spans="1:12" x14ac:dyDescent="0.15">
      <c r="A213">
        <v>1040</v>
      </c>
      <c r="B213">
        <v>850.75</v>
      </c>
      <c r="C213">
        <v>850.75</v>
      </c>
      <c r="D213">
        <v>850.75</v>
      </c>
      <c r="E213">
        <v>850.75</v>
      </c>
      <c r="F213">
        <v>850.75</v>
      </c>
      <c r="G213">
        <v>850.75</v>
      </c>
      <c r="H213">
        <v>850.75</v>
      </c>
      <c r="I213">
        <v>850.75</v>
      </c>
      <c r="J213">
        <v>850.75</v>
      </c>
      <c r="K213">
        <v>850.75</v>
      </c>
      <c r="L213">
        <v>850.75</v>
      </c>
    </row>
    <row r="214" spans="1:12" x14ac:dyDescent="0.15">
      <c r="A214">
        <v>2098</v>
      </c>
      <c r="B214">
        <v>850.75</v>
      </c>
      <c r="C214">
        <v>850.75</v>
      </c>
      <c r="D214">
        <v>850.75</v>
      </c>
      <c r="E214">
        <v>850.75</v>
      </c>
      <c r="F214">
        <v>850.75</v>
      </c>
      <c r="G214">
        <v>850.75</v>
      </c>
      <c r="H214">
        <v>850.75</v>
      </c>
      <c r="I214">
        <v>850.75</v>
      </c>
      <c r="J214">
        <v>850.75</v>
      </c>
      <c r="K214">
        <v>850.75</v>
      </c>
      <c r="L214">
        <v>850.75</v>
      </c>
    </row>
  </sheetData>
  <mergeCells count="1">
    <mergeCell ref="R1:V1"/>
  </mergeCells>
  <phoneticPr fontId="1" type="noConversion"/>
  <hyperlinks>
    <hyperlink ref="R4" location="SOUNDING!A1" display="Back" xr:uid="{273076C8-7750-4255-A192-2D931B50F0DB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1" tint="0.34998626667073579"/>
  </sheetPr>
  <dimension ref="A1:W274"/>
  <sheetViews>
    <sheetView showRowColHeaders="0" workbookViewId="0">
      <pane xSplit="17" ySplit="4" topLeftCell="R247" activePane="bottomRight" state="frozenSplit"/>
      <selection pane="topRight" activeCell="P6" sqref="P6:P7"/>
      <selection pane="bottomLeft" activeCell="P6" sqref="P6:P7"/>
      <selection pane="bottomRight" activeCell="R4" sqref="R4"/>
    </sheetView>
  </sheetViews>
  <sheetFormatPr defaultColWidth="9" defaultRowHeight="14.25" x14ac:dyDescent="0.15"/>
  <cols>
    <col min="1" max="13" width="9" style="10"/>
    <col min="14" max="17" width="9" style="10" hidden="1" customWidth="1"/>
    <col min="18" max="16384" width="9" style="10"/>
  </cols>
  <sheetData>
    <row r="1" spans="1:23" x14ac:dyDescent="0.15">
      <c r="A1" s="6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Q1" s="8"/>
      <c r="R1" s="214" t="s">
        <v>85</v>
      </c>
      <c r="S1" s="216"/>
      <c r="T1" s="216"/>
      <c r="U1" s="216"/>
      <c r="V1" s="216"/>
      <c r="W1" s="9"/>
    </row>
    <row r="2" spans="1:23" x14ac:dyDescent="0.15">
      <c r="A2" s="6" t="s">
        <v>86</v>
      </c>
      <c r="B2" s="18">
        <v>1</v>
      </c>
      <c r="C2" s="6">
        <v>0.5</v>
      </c>
      <c r="D2" s="6">
        <v>0</v>
      </c>
      <c r="E2" s="6">
        <v>-0.5</v>
      </c>
      <c r="F2" s="6">
        <v>-1</v>
      </c>
      <c r="G2" s="6">
        <v>-1.5</v>
      </c>
      <c r="H2" s="6">
        <v>-2</v>
      </c>
      <c r="I2" s="6">
        <v>-2.5</v>
      </c>
      <c r="J2" s="6">
        <v>-3</v>
      </c>
      <c r="K2" s="6">
        <v>-3.5</v>
      </c>
      <c r="L2" s="6">
        <v>-4</v>
      </c>
      <c r="M2" s="7"/>
      <c r="N2" s="7"/>
      <c r="O2" s="7"/>
      <c r="P2" s="7"/>
      <c r="Q2" s="7"/>
      <c r="R2" s="7"/>
      <c r="S2" s="7"/>
      <c r="T2" s="7"/>
      <c r="U2" s="7"/>
      <c r="V2" s="7"/>
      <c r="W2" s="7"/>
    </row>
    <row r="3" spans="1:23" x14ac:dyDescent="0.15">
      <c r="A3" s="6" t="s">
        <v>87</v>
      </c>
      <c r="B3" s="7" t="s">
        <v>88</v>
      </c>
      <c r="C3" s="6" t="s">
        <v>88</v>
      </c>
      <c r="D3" s="6" t="s">
        <v>88</v>
      </c>
      <c r="E3" s="6" t="s">
        <v>88</v>
      </c>
      <c r="F3" s="6" t="s">
        <v>88</v>
      </c>
      <c r="G3" s="6" t="s">
        <v>88</v>
      </c>
      <c r="H3" s="6" t="s">
        <v>88</v>
      </c>
      <c r="I3" s="6" t="s">
        <v>88</v>
      </c>
      <c r="J3" s="6" t="s">
        <v>88</v>
      </c>
      <c r="K3" s="6" t="s">
        <v>88</v>
      </c>
      <c r="L3" s="6" t="s">
        <v>88</v>
      </c>
      <c r="M3" s="7"/>
      <c r="N3" s="7"/>
      <c r="O3" s="7"/>
      <c r="P3" s="7"/>
      <c r="Q3" s="7"/>
      <c r="R3" s="7"/>
      <c r="S3" s="7"/>
      <c r="T3" s="7"/>
      <c r="U3" s="7"/>
      <c r="V3" s="7"/>
      <c r="W3" s="7"/>
    </row>
    <row r="4" spans="1:23" x14ac:dyDescent="0.1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7"/>
      <c r="N4" s="7"/>
      <c r="O4" s="7"/>
      <c r="P4" s="7"/>
      <c r="Q4" s="7"/>
      <c r="R4" s="20" t="s">
        <v>90</v>
      </c>
      <c r="S4" s="7"/>
      <c r="T4" s="7"/>
      <c r="U4" s="7"/>
      <c r="V4" s="7"/>
      <c r="W4" s="7"/>
    </row>
    <row r="5" spans="1:23" x14ac:dyDescent="0.15">
      <c r="A5">
        <v>0</v>
      </c>
      <c r="B5">
        <v>0.01</v>
      </c>
      <c r="C5">
        <v>0.01</v>
      </c>
      <c r="D5">
        <v>0.01</v>
      </c>
      <c r="E5">
        <v>0.01</v>
      </c>
      <c r="F5">
        <v>0.01</v>
      </c>
      <c r="G5">
        <v>0.01</v>
      </c>
      <c r="H5">
        <v>0.01</v>
      </c>
      <c r="I5">
        <v>0.01</v>
      </c>
      <c r="J5">
        <v>0.01</v>
      </c>
      <c r="K5">
        <v>0.01</v>
      </c>
      <c r="L5">
        <v>0.01</v>
      </c>
      <c r="M5" s="7"/>
      <c r="N5" s="7"/>
      <c r="O5" s="7"/>
      <c r="P5" s="7"/>
      <c r="Q5" s="7"/>
      <c r="R5" s="7"/>
      <c r="S5" s="7"/>
      <c r="T5" s="7"/>
      <c r="U5" s="7"/>
      <c r="V5" s="7"/>
      <c r="W5" s="7"/>
    </row>
    <row r="6" spans="1:23" x14ac:dyDescent="0.15">
      <c r="A6">
        <v>5</v>
      </c>
      <c r="B6">
        <v>0.02</v>
      </c>
      <c r="C6">
        <v>0.02</v>
      </c>
      <c r="D6">
        <v>0.02</v>
      </c>
      <c r="E6">
        <v>0.02</v>
      </c>
      <c r="F6">
        <v>0.02</v>
      </c>
      <c r="G6">
        <v>0.02</v>
      </c>
      <c r="H6">
        <v>0.02</v>
      </c>
      <c r="I6">
        <v>0.02</v>
      </c>
      <c r="J6">
        <v>0.02</v>
      </c>
      <c r="K6">
        <v>0.02</v>
      </c>
      <c r="L6">
        <v>0.02</v>
      </c>
      <c r="M6" s="7"/>
      <c r="N6" s="7"/>
      <c r="O6" s="7"/>
      <c r="P6" s="7"/>
      <c r="Q6" s="7"/>
      <c r="R6" s="7"/>
      <c r="S6" s="7"/>
      <c r="T6" s="7"/>
      <c r="U6" s="7"/>
      <c r="V6" s="7"/>
      <c r="W6" s="7"/>
    </row>
    <row r="7" spans="1:23" x14ac:dyDescent="0.15">
      <c r="A7">
        <v>10</v>
      </c>
      <c r="B7">
        <v>0.05</v>
      </c>
      <c r="C7">
        <v>0.05</v>
      </c>
      <c r="D7">
        <v>0.05</v>
      </c>
      <c r="E7">
        <v>0.05</v>
      </c>
      <c r="F7">
        <v>0.05</v>
      </c>
      <c r="G7">
        <v>0.05</v>
      </c>
      <c r="H7">
        <v>0.05</v>
      </c>
      <c r="I7">
        <v>0.05</v>
      </c>
      <c r="J7">
        <v>0.05</v>
      </c>
      <c r="K7">
        <v>0.05</v>
      </c>
      <c r="L7">
        <v>0.05</v>
      </c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3" x14ac:dyDescent="0.15">
      <c r="A8">
        <v>15</v>
      </c>
      <c r="B8">
        <v>0.09</v>
      </c>
      <c r="C8">
        <v>0.09</v>
      </c>
      <c r="D8">
        <v>0.09</v>
      </c>
      <c r="E8">
        <v>0.09</v>
      </c>
      <c r="F8">
        <v>0.09</v>
      </c>
      <c r="G8">
        <v>0.09</v>
      </c>
      <c r="H8">
        <v>0.09</v>
      </c>
      <c r="I8">
        <v>0.09</v>
      </c>
      <c r="J8">
        <v>0.09</v>
      </c>
      <c r="K8">
        <v>0.09</v>
      </c>
      <c r="L8">
        <v>0.09</v>
      </c>
      <c r="M8" s="7"/>
      <c r="N8" s="7"/>
      <c r="O8" s="7"/>
      <c r="P8" s="7"/>
      <c r="Q8" s="7"/>
      <c r="R8" s="7"/>
      <c r="S8" s="7"/>
      <c r="T8" s="7"/>
      <c r="U8" s="7"/>
      <c r="V8" s="7"/>
      <c r="W8" s="7"/>
    </row>
    <row r="9" spans="1:23" x14ac:dyDescent="0.15">
      <c r="A9">
        <v>20</v>
      </c>
      <c r="B9">
        <v>0.14000000000000001</v>
      </c>
      <c r="C9">
        <v>0.14000000000000001</v>
      </c>
      <c r="D9">
        <v>0.14000000000000001</v>
      </c>
      <c r="E9">
        <v>0.15</v>
      </c>
      <c r="F9">
        <v>0.15</v>
      </c>
      <c r="G9">
        <v>0.15</v>
      </c>
      <c r="H9">
        <v>0.15</v>
      </c>
      <c r="I9">
        <v>0.15</v>
      </c>
      <c r="J9">
        <v>0.15</v>
      </c>
      <c r="K9">
        <v>0.15</v>
      </c>
      <c r="L9">
        <v>0.15</v>
      </c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x14ac:dyDescent="0.15">
      <c r="A10">
        <v>25</v>
      </c>
      <c r="B10">
        <v>0.21</v>
      </c>
      <c r="C10">
        <v>0.21</v>
      </c>
      <c r="D10">
        <v>0.21</v>
      </c>
      <c r="E10">
        <v>0.21</v>
      </c>
      <c r="F10">
        <v>0.21</v>
      </c>
      <c r="G10">
        <v>0.21</v>
      </c>
      <c r="H10">
        <v>0.22</v>
      </c>
      <c r="I10">
        <v>0.22</v>
      </c>
      <c r="J10">
        <v>0.22</v>
      </c>
      <c r="K10">
        <v>0.22</v>
      </c>
      <c r="L10">
        <v>0.22</v>
      </c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</row>
    <row r="11" spans="1:23" x14ac:dyDescent="0.15">
      <c r="A11">
        <v>30</v>
      </c>
      <c r="B11">
        <v>0.28999999999999998</v>
      </c>
      <c r="C11">
        <v>0.28999999999999998</v>
      </c>
      <c r="D11">
        <v>0.28999999999999998</v>
      </c>
      <c r="E11">
        <v>0.3</v>
      </c>
      <c r="F11">
        <v>0.3</v>
      </c>
      <c r="G11">
        <v>0.3</v>
      </c>
      <c r="H11">
        <v>0.3</v>
      </c>
      <c r="I11">
        <v>0.3</v>
      </c>
      <c r="J11">
        <v>0.3</v>
      </c>
      <c r="K11">
        <v>0.3</v>
      </c>
      <c r="L11">
        <v>0.3</v>
      </c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</row>
    <row r="12" spans="1:23" x14ac:dyDescent="0.15">
      <c r="A12">
        <v>35</v>
      </c>
      <c r="B12">
        <v>0.39</v>
      </c>
      <c r="C12">
        <v>0.39</v>
      </c>
      <c r="D12">
        <v>0.39</v>
      </c>
      <c r="E12">
        <v>0.39</v>
      </c>
      <c r="F12">
        <v>0.4</v>
      </c>
      <c r="G12">
        <v>0.4</v>
      </c>
      <c r="H12">
        <v>0.4</v>
      </c>
      <c r="I12">
        <v>0.4</v>
      </c>
      <c r="J12">
        <v>0.4</v>
      </c>
      <c r="K12">
        <v>0.4</v>
      </c>
      <c r="L12">
        <v>0.41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</row>
    <row r="13" spans="1:23" x14ac:dyDescent="0.15">
      <c r="A13">
        <v>40</v>
      </c>
      <c r="B13">
        <v>0.5</v>
      </c>
      <c r="C13">
        <v>0.51</v>
      </c>
      <c r="D13">
        <v>0.51</v>
      </c>
      <c r="E13">
        <v>0.51</v>
      </c>
      <c r="F13">
        <v>0.51</v>
      </c>
      <c r="G13">
        <v>0.51</v>
      </c>
      <c r="H13">
        <v>0.52</v>
      </c>
      <c r="I13">
        <v>0.52</v>
      </c>
      <c r="J13">
        <v>0.52</v>
      </c>
      <c r="K13">
        <v>0.52</v>
      </c>
      <c r="L13">
        <v>0.53</v>
      </c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</row>
    <row r="14" spans="1:23" x14ac:dyDescent="0.15">
      <c r="A14">
        <v>45</v>
      </c>
      <c r="B14">
        <v>0.64</v>
      </c>
      <c r="C14">
        <v>0.64</v>
      </c>
      <c r="D14">
        <v>0.64</v>
      </c>
      <c r="E14">
        <v>0.64</v>
      </c>
      <c r="F14">
        <v>0.65</v>
      </c>
      <c r="G14">
        <v>0.65</v>
      </c>
      <c r="H14">
        <v>0.65</v>
      </c>
      <c r="I14">
        <v>0.66</v>
      </c>
      <c r="J14">
        <v>0.66</v>
      </c>
      <c r="K14">
        <v>0.66</v>
      </c>
      <c r="L14">
        <v>0.66</v>
      </c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</row>
    <row r="15" spans="1:23" x14ac:dyDescent="0.15">
      <c r="A15">
        <v>50</v>
      </c>
      <c r="B15">
        <v>0.79</v>
      </c>
      <c r="C15">
        <v>0.79</v>
      </c>
      <c r="D15">
        <v>0.8</v>
      </c>
      <c r="E15">
        <v>0.8</v>
      </c>
      <c r="F15">
        <v>0.8</v>
      </c>
      <c r="G15">
        <v>0.81</v>
      </c>
      <c r="H15">
        <v>0.81</v>
      </c>
      <c r="I15">
        <v>0.81</v>
      </c>
      <c r="J15">
        <v>0.82</v>
      </c>
      <c r="K15">
        <v>0.82</v>
      </c>
      <c r="L15">
        <v>0.82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</row>
    <row r="16" spans="1:23" x14ac:dyDescent="0.15">
      <c r="A16">
        <v>55</v>
      </c>
      <c r="B16">
        <v>0.96</v>
      </c>
      <c r="C16">
        <v>0.97</v>
      </c>
      <c r="D16">
        <v>0.97</v>
      </c>
      <c r="E16">
        <v>0.97</v>
      </c>
      <c r="F16">
        <v>0.98</v>
      </c>
      <c r="G16">
        <v>0.98</v>
      </c>
      <c r="H16">
        <v>0.99</v>
      </c>
      <c r="I16">
        <v>0.99</v>
      </c>
      <c r="J16">
        <v>1</v>
      </c>
      <c r="K16">
        <v>1</v>
      </c>
      <c r="L16">
        <v>1</v>
      </c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7" spans="1:23" x14ac:dyDescent="0.15">
      <c r="A17">
        <v>60</v>
      </c>
      <c r="B17">
        <v>1.1599999999999999</v>
      </c>
      <c r="C17">
        <v>1.1599999999999999</v>
      </c>
      <c r="D17">
        <v>1.17</v>
      </c>
      <c r="E17">
        <v>1.17</v>
      </c>
      <c r="F17">
        <v>1.18</v>
      </c>
      <c r="G17">
        <v>1.18</v>
      </c>
      <c r="H17">
        <v>1.19</v>
      </c>
      <c r="I17">
        <v>1.19</v>
      </c>
      <c r="J17">
        <v>1.2</v>
      </c>
      <c r="K17">
        <v>1.2</v>
      </c>
      <c r="L17">
        <v>1.21</v>
      </c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1:23" x14ac:dyDescent="0.15">
      <c r="A18">
        <v>65</v>
      </c>
      <c r="B18">
        <v>1.38</v>
      </c>
      <c r="C18">
        <v>1.39</v>
      </c>
      <c r="D18">
        <v>1.4</v>
      </c>
      <c r="E18">
        <v>1.4</v>
      </c>
      <c r="F18">
        <v>1.41</v>
      </c>
      <c r="G18">
        <v>1.41</v>
      </c>
      <c r="H18">
        <v>1.42</v>
      </c>
      <c r="I18">
        <v>1.43</v>
      </c>
      <c r="J18">
        <v>1.43</v>
      </c>
      <c r="K18">
        <v>1.44</v>
      </c>
      <c r="L18">
        <v>1.44</v>
      </c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</row>
    <row r="19" spans="1:23" x14ac:dyDescent="0.15">
      <c r="A19">
        <v>70</v>
      </c>
      <c r="B19">
        <v>1.64</v>
      </c>
      <c r="C19">
        <v>1.65</v>
      </c>
      <c r="D19">
        <v>1.65</v>
      </c>
      <c r="E19">
        <v>1.66</v>
      </c>
      <c r="F19">
        <v>1.67</v>
      </c>
      <c r="G19">
        <v>1.67</v>
      </c>
      <c r="H19">
        <v>1.68</v>
      </c>
      <c r="I19">
        <v>1.69</v>
      </c>
      <c r="J19">
        <v>1.68</v>
      </c>
      <c r="K19">
        <v>1.68</v>
      </c>
      <c r="L19">
        <v>1.68</v>
      </c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</row>
    <row r="20" spans="1:23" x14ac:dyDescent="0.15">
      <c r="A20">
        <v>75</v>
      </c>
      <c r="B20">
        <v>1.88</v>
      </c>
      <c r="C20">
        <v>1.88</v>
      </c>
      <c r="D20">
        <v>1.87</v>
      </c>
      <c r="E20">
        <v>1.87</v>
      </c>
      <c r="F20">
        <v>1.87</v>
      </c>
      <c r="G20">
        <v>1.87</v>
      </c>
      <c r="H20">
        <v>1.87</v>
      </c>
      <c r="I20">
        <v>1.86</v>
      </c>
      <c r="J20">
        <v>1.86</v>
      </c>
      <c r="K20">
        <v>1.86</v>
      </c>
      <c r="L20">
        <v>1.86</v>
      </c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</row>
    <row r="21" spans="1:23" x14ac:dyDescent="0.15">
      <c r="A21">
        <v>80</v>
      </c>
      <c r="B21">
        <v>2.08</v>
      </c>
      <c r="C21">
        <v>2.0699999999999998</v>
      </c>
      <c r="D21">
        <v>2.0699999999999998</v>
      </c>
      <c r="E21">
        <v>2.0699999999999998</v>
      </c>
      <c r="F21">
        <v>2.0699999999999998</v>
      </c>
      <c r="G21">
        <v>2.06</v>
      </c>
      <c r="H21">
        <v>2.06</v>
      </c>
      <c r="I21">
        <v>2.06</v>
      </c>
      <c r="J21">
        <v>2.0499999999999998</v>
      </c>
      <c r="K21">
        <v>2.0499999999999998</v>
      </c>
      <c r="L21">
        <v>2.0499999999999998</v>
      </c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</row>
    <row r="22" spans="1:23" x14ac:dyDescent="0.15">
      <c r="A22">
        <v>85</v>
      </c>
      <c r="B22">
        <v>2.2999999999999998</v>
      </c>
      <c r="C22">
        <v>2.29</v>
      </c>
      <c r="D22">
        <v>2.29</v>
      </c>
      <c r="E22">
        <v>2.29</v>
      </c>
      <c r="F22">
        <v>2.2799999999999998</v>
      </c>
      <c r="G22">
        <v>2.2799999999999998</v>
      </c>
      <c r="H22">
        <v>2.2799999999999998</v>
      </c>
      <c r="I22">
        <v>2.27</v>
      </c>
      <c r="J22">
        <v>2.27</v>
      </c>
      <c r="K22">
        <v>2.27</v>
      </c>
      <c r="L22">
        <v>2.2599999999999998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</row>
    <row r="23" spans="1:23" x14ac:dyDescent="0.15">
      <c r="A23">
        <v>90</v>
      </c>
      <c r="B23">
        <v>2.56</v>
      </c>
      <c r="C23">
        <v>2.5499999999999998</v>
      </c>
      <c r="D23">
        <v>2.5499999999999998</v>
      </c>
      <c r="E23">
        <v>2.54</v>
      </c>
      <c r="F23">
        <v>2.54</v>
      </c>
      <c r="G23">
        <v>2.54</v>
      </c>
      <c r="H23">
        <v>2.5299999999999998</v>
      </c>
      <c r="I23">
        <v>2.5299999999999998</v>
      </c>
      <c r="J23">
        <v>2.52</v>
      </c>
      <c r="K23">
        <v>2.52</v>
      </c>
      <c r="L23">
        <v>2.52</v>
      </c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</row>
    <row r="24" spans="1:23" x14ac:dyDescent="0.15">
      <c r="A24">
        <v>95</v>
      </c>
      <c r="B24">
        <v>2.89</v>
      </c>
      <c r="C24">
        <v>2.88</v>
      </c>
      <c r="D24">
        <v>2.88</v>
      </c>
      <c r="E24">
        <v>2.87</v>
      </c>
      <c r="F24">
        <v>2.87</v>
      </c>
      <c r="G24">
        <v>2.86</v>
      </c>
      <c r="H24">
        <v>2.86</v>
      </c>
      <c r="I24">
        <v>2.85</v>
      </c>
      <c r="J24">
        <v>2.85</v>
      </c>
      <c r="K24">
        <v>2.84</v>
      </c>
      <c r="L24">
        <v>2.84</v>
      </c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</row>
    <row r="25" spans="1:23" x14ac:dyDescent="0.15">
      <c r="A25">
        <v>100</v>
      </c>
      <c r="B25">
        <v>3.32</v>
      </c>
      <c r="C25">
        <v>3.31</v>
      </c>
      <c r="D25">
        <v>3.3</v>
      </c>
      <c r="E25">
        <v>3.3</v>
      </c>
      <c r="F25">
        <v>3.29</v>
      </c>
      <c r="G25">
        <v>3.28</v>
      </c>
      <c r="H25">
        <v>3.28</v>
      </c>
      <c r="I25">
        <v>3.27</v>
      </c>
      <c r="J25">
        <v>3.26</v>
      </c>
      <c r="K25">
        <v>3.26</v>
      </c>
      <c r="L25">
        <v>3.25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1:23" x14ac:dyDescent="0.15">
      <c r="A26">
        <v>105</v>
      </c>
      <c r="B26">
        <v>3.79</v>
      </c>
      <c r="C26">
        <v>3.78</v>
      </c>
      <c r="D26">
        <v>3.77</v>
      </c>
      <c r="E26">
        <v>3.77</v>
      </c>
      <c r="F26">
        <v>3.76</v>
      </c>
      <c r="G26">
        <v>3.75</v>
      </c>
      <c r="H26">
        <v>3.74</v>
      </c>
      <c r="I26">
        <v>3.73</v>
      </c>
      <c r="J26">
        <v>3.73</v>
      </c>
      <c r="K26">
        <v>3.72</v>
      </c>
      <c r="L26">
        <v>3.71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</row>
    <row r="27" spans="1:23" x14ac:dyDescent="0.15">
      <c r="A27">
        <v>110</v>
      </c>
      <c r="B27">
        <v>4.3</v>
      </c>
      <c r="C27">
        <v>4.29</v>
      </c>
      <c r="D27">
        <v>4.28</v>
      </c>
      <c r="E27">
        <v>4.2699999999999996</v>
      </c>
      <c r="F27">
        <v>4.26</v>
      </c>
      <c r="G27">
        <v>4.25</v>
      </c>
      <c r="H27">
        <v>4.25</v>
      </c>
      <c r="I27">
        <v>4.24</v>
      </c>
      <c r="J27">
        <v>4.2300000000000004</v>
      </c>
      <c r="K27">
        <v>4.22</v>
      </c>
      <c r="L27">
        <v>4.21</v>
      </c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</row>
    <row r="28" spans="1:23" x14ac:dyDescent="0.15">
      <c r="A28">
        <v>115</v>
      </c>
      <c r="B28">
        <v>4.84</v>
      </c>
      <c r="C28">
        <v>4.83</v>
      </c>
      <c r="D28">
        <v>4.82</v>
      </c>
      <c r="E28">
        <v>4.8099999999999996</v>
      </c>
      <c r="F28">
        <v>4.8</v>
      </c>
      <c r="G28">
        <v>4.8600000000000003</v>
      </c>
      <c r="H28">
        <v>4.88</v>
      </c>
      <c r="I28">
        <v>4.9000000000000004</v>
      </c>
      <c r="J28">
        <v>4.92</v>
      </c>
      <c r="K28">
        <v>4.9400000000000004</v>
      </c>
      <c r="L28">
        <v>4.96</v>
      </c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</row>
    <row r="29" spans="1:23" x14ac:dyDescent="0.15">
      <c r="A29">
        <v>120</v>
      </c>
      <c r="B29">
        <v>5.58</v>
      </c>
      <c r="C29">
        <v>5.6</v>
      </c>
      <c r="D29">
        <v>5.62</v>
      </c>
      <c r="E29">
        <v>5.65</v>
      </c>
      <c r="F29">
        <v>5.67</v>
      </c>
      <c r="G29">
        <v>5.69</v>
      </c>
      <c r="H29">
        <v>5.72</v>
      </c>
      <c r="I29">
        <v>5.74</v>
      </c>
      <c r="J29">
        <v>5.77</v>
      </c>
      <c r="K29">
        <v>5.8</v>
      </c>
      <c r="L29">
        <v>5.82</v>
      </c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</row>
    <row r="30" spans="1:23" x14ac:dyDescent="0.15">
      <c r="A30">
        <v>125</v>
      </c>
      <c r="B30">
        <v>6.49</v>
      </c>
      <c r="C30">
        <v>6.52</v>
      </c>
      <c r="D30">
        <v>6.55</v>
      </c>
      <c r="E30">
        <v>6.58</v>
      </c>
      <c r="F30">
        <v>6.61</v>
      </c>
      <c r="G30">
        <v>6.64</v>
      </c>
      <c r="H30">
        <v>6.67</v>
      </c>
      <c r="I30">
        <v>6.7</v>
      </c>
      <c r="J30">
        <v>6.73</v>
      </c>
      <c r="K30">
        <v>6.77</v>
      </c>
      <c r="L30">
        <v>6.8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</row>
    <row r="31" spans="1:23" x14ac:dyDescent="0.15">
      <c r="A31">
        <v>130</v>
      </c>
      <c r="B31">
        <v>7.52</v>
      </c>
      <c r="C31">
        <v>7.55</v>
      </c>
      <c r="D31">
        <v>7.59</v>
      </c>
      <c r="E31">
        <v>7.63</v>
      </c>
      <c r="F31">
        <v>7.67</v>
      </c>
      <c r="G31">
        <v>7.72</v>
      </c>
      <c r="H31">
        <v>7.76</v>
      </c>
      <c r="I31">
        <v>7.81</v>
      </c>
      <c r="J31">
        <v>7.86</v>
      </c>
      <c r="K31">
        <v>7.91</v>
      </c>
      <c r="L31">
        <v>7.96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</row>
    <row r="32" spans="1:23" x14ac:dyDescent="0.15">
      <c r="A32">
        <v>135</v>
      </c>
      <c r="B32">
        <v>8.76</v>
      </c>
      <c r="C32">
        <v>8.82</v>
      </c>
      <c r="D32">
        <v>8.8800000000000008</v>
      </c>
      <c r="E32">
        <v>8.94</v>
      </c>
      <c r="F32">
        <v>9.01</v>
      </c>
      <c r="G32">
        <v>9.08</v>
      </c>
      <c r="H32">
        <v>9.15</v>
      </c>
      <c r="I32">
        <v>9.2200000000000006</v>
      </c>
      <c r="J32">
        <v>9.2899999999999991</v>
      </c>
      <c r="K32">
        <v>9.36</v>
      </c>
      <c r="L32">
        <v>9.44</v>
      </c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</row>
    <row r="33" spans="1:23" x14ac:dyDescent="0.15">
      <c r="A33">
        <v>140</v>
      </c>
      <c r="B33">
        <v>10.36</v>
      </c>
      <c r="C33">
        <v>10.44</v>
      </c>
      <c r="D33">
        <v>10.52</v>
      </c>
      <c r="E33">
        <v>10.6</v>
      </c>
      <c r="F33">
        <v>10.7</v>
      </c>
      <c r="G33">
        <v>10.79</v>
      </c>
      <c r="H33">
        <v>10.89</v>
      </c>
      <c r="I33">
        <v>10.99</v>
      </c>
      <c r="J33">
        <v>11.09</v>
      </c>
      <c r="K33">
        <v>11.19</v>
      </c>
      <c r="L33">
        <v>11.29</v>
      </c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</row>
    <row r="34" spans="1:23" x14ac:dyDescent="0.15">
      <c r="A34">
        <v>145</v>
      </c>
      <c r="B34">
        <v>12.26</v>
      </c>
      <c r="C34">
        <v>12.37</v>
      </c>
      <c r="D34">
        <v>12.48</v>
      </c>
      <c r="E34">
        <v>12.59</v>
      </c>
      <c r="F34">
        <v>12.7</v>
      </c>
      <c r="G34">
        <v>12.81</v>
      </c>
      <c r="H34">
        <v>12.93</v>
      </c>
      <c r="I34">
        <v>13.04</v>
      </c>
      <c r="J34">
        <v>13.16</v>
      </c>
      <c r="K34">
        <v>13.28</v>
      </c>
      <c r="L34">
        <v>13.4</v>
      </c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</row>
    <row r="35" spans="1:23" x14ac:dyDescent="0.15">
      <c r="A35">
        <v>150</v>
      </c>
      <c r="B35">
        <v>14.4</v>
      </c>
      <c r="C35">
        <v>14.53</v>
      </c>
      <c r="D35">
        <v>14.65</v>
      </c>
      <c r="E35">
        <v>14.78</v>
      </c>
      <c r="F35">
        <v>14.91</v>
      </c>
      <c r="G35">
        <v>15.04</v>
      </c>
      <c r="H35">
        <v>15.17</v>
      </c>
      <c r="I35">
        <v>15.3</v>
      </c>
      <c r="J35">
        <v>15.43</v>
      </c>
      <c r="K35">
        <v>15.57</v>
      </c>
      <c r="L35">
        <v>15.71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1:23" x14ac:dyDescent="0.15">
      <c r="A36">
        <v>155</v>
      </c>
      <c r="B36">
        <v>16.73</v>
      </c>
      <c r="C36">
        <v>16.87</v>
      </c>
      <c r="D36">
        <v>17.010000000000002</v>
      </c>
      <c r="E36">
        <v>17.149999999999999</v>
      </c>
      <c r="F36">
        <v>17.29</v>
      </c>
      <c r="G36">
        <v>17.440000000000001</v>
      </c>
      <c r="H36">
        <v>17.59</v>
      </c>
      <c r="I36">
        <v>17.739999999999998</v>
      </c>
      <c r="J36">
        <v>17.89</v>
      </c>
      <c r="K36">
        <v>18.04</v>
      </c>
      <c r="L36">
        <v>18.190000000000001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</row>
    <row r="37" spans="1:23" x14ac:dyDescent="0.15">
      <c r="A37">
        <v>160</v>
      </c>
      <c r="B37">
        <v>19.22</v>
      </c>
      <c r="C37">
        <v>19.38</v>
      </c>
      <c r="D37">
        <v>19.53</v>
      </c>
      <c r="E37">
        <v>19.690000000000001</v>
      </c>
      <c r="F37">
        <v>19.850000000000001</v>
      </c>
      <c r="G37">
        <v>20.010000000000002</v>
      </c>
      <c r="H37">
        <v>20.170000000000002</v>
      </c>
      <c r="I37">
        <v>20.34</v>
      </c>
      <c r="J37">
        <v>20.5</v>
      </c>
      <c r="K37">
        <v>20.66</v>
      </c>
      <c r="L37">
        <v>20.84</v>
      </c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</row>
    <row r="38" spans="1:23" x14ac:dyDescent="0.15">
      <c r="A38">
        <v>165</v>
      </c>
      <c r="B38">
        <v>21.88</v>
      </c>
      <c r="C38">
        <v>22.05</v>
      </c>
      <c r="D38">
        <v>22.21</v>
      </c>
      <c r="E38">
        <v>22.38</v>
      </c>
      <c r="F38">
        <v>22.56</v>
      </c>
      <c r="G38">
        <v>22.75</v>
      </c>
      <c r="H38">
        <v>22.94</v>
      </c>
      <c r="I38">
        <v>23.15</v>
      </c>
      <c r="J38">
        <v>23.36</v>
      </c>
      <c r="K38">
        <v>23.58</v>
      </c>
      <c r="L38">
        <v>23.81</v>
      </c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39" spans="1:23" x14ac:dyDescent="0.15">
      <c r="A39">
        <v>170</v>
      </c>
      <c r="B39">
        <v>24.7</v>
      </c>
      <c r="C39">
        <v>24.9</v>
      </c>
      <c r="D39">
        <v>25.12</v>
      </c>
      <c r="E39">
        <v>25.34</v>
      </c>
      <c r="F39">
        <v>25.56</v>
      </c>
      <c r="G39">
        <v>25.8</v>
      </c>
      <c r="H39">
        <v>26.04</v>
      </c>
      <c r="I39">
        <v>26.29</v>
      </c>
      <c r="J39">
        <v>26.55</v>
      </c>
      <c r="K39">
        <v>26.82</v>
      </c>
      <c r="L39">
        <v>27.1</v>
      </c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</row>
    <row r="40" spans="1:23" x14ac:dyDescent="0.15">
      <c r="A40">
        <v>175</v>
      </c>
      <c r="B40">
        <v>27.83</v>
      </c>
      <c r="C40">
        <v>28.08</v>
      </c>
      <c r="D40">
        <v>28.34</v>
      </c>
      <c r="E40">
        <v>28.6</v>
      </c>
      <c r="F40">
        <v>28.88</v>
      </c>
      <c r="G40">
        <v>29.16</v>
      </c>
      <c r="H40">
        <v>29.45</v>
      </c>
      <c r="I40">
        <v>29.75</v>
      </c>
      <c r="J40">
        <v>30.06</v>
      </c>
      <c r="K40">
        <v>30.38</v>
      </c>
      <c r="L40">
        <v>30.71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1:23" x14ac:dyDescent="0.15">
      <c r="A41">
        <v>180</v>
      </c>
      <c r="B41">
        <v>31.26</v>
      </c>
      <c r="C41">
        <v>31.55</v>
      </c>
      <c r="D41">
        <v>31.86</v>
      </c>
      <c r="E41">
        <v>32.17</v>
      </c>
      <c r="F41">
        <v>32.49</v>
      </c>
      <c r="G41">
        <v>32.83</v>
      </c>
      <c r="H41">
        <v>33.17</v>
      </c>
      <c r="I41">
        <v>33.520000000000003</v>
      </c>
      <c r="J41">
        <v>33.89</v>
      </c>
      <c r="K41">
        <v>34.270000000000003</v>
      </c>
      <c r="L41">
        <v>34.659999999999997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</row>
    <row r="42" spans="1:23" x14ac:dyDescent="0.15">
      <c r="A42">
        <v>185</v>
      </c>
      <c r="B42">
        <v>34.97</v>
      </c>
      <c r="C42">
        <v>35.32</v>
      </c>
      <c r="D42">
        <v>35.67</v>
      </c>
      <c r="E42">
        <v>36.04</v>
      </c>
      <c r="F42">
        <v>36.42</v>
      </c>
      <c r="G42">
        <v>36.81</v>
      </c>
      <c r="H42">
        <v>37.21</v>
      </c>
      <c r="I42">
        <v>37.619999999999997</v>
      </c>
      <c r="J42">
        <v>38.049999999999997</v>
      </c>
      <c r="K42">
        <v>38.49</v>
      </c>
      <c r="L42">
        <v>38.950000000000003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</row>
    <row r="43" spans="1:23" x14ac:dyDescent="0.15">
      <c r="A43">
        <v>190</v>
      </c>
      <c r="B43">
        <v>38.99</v>
      </c>
      <c r="C43">
        <v>39.39</v>
      </c>
      <c r="D43">
        <v>39.799999999999997</v>
      </c>
      <c r="E43">
        <v>40.22</v>
      </c>
      <c r="F43">
        <v>40.659999999999997</v>
      </c>
      <c r="G43">
        <v>41.11</v>
      </c>
      <c r="H43">
        <v>41.58</v>
      </c>
      <c r="I43">
        <v>41.99</v>
      </c>
      <c r="J43">
        <v>42.34</v>
      </c>
      <c r="K43">
        <v>42.7</v>
      </c>
      <c r="L43">
        <v>43.06</v>
      </c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</row>
    <row r="44" spans="1:23" x14ac:dyDescent="0.15">
      <c r="A44">
        <v>195</v>
      </c>
      <c r="B44">
        <v>43.31</v>
      </c>
      <c r="C44">
        <v>43.77</v>
      </c>
      <c r="D44">
        <v>44.24</v>
      </c>
      <c r="E44">
        <v>44.66</v>
      </c>
      <c r="F44">
        <v>45.02</v>
      </c>
      <c r="G44">
        <v>45.38</v>
      </c>
      <c r="H44">
        <v>45.75</v>
      </c>
      <c r="I44">
        <v>46.14</v>
      </c>
      <c r="J44">
        <v>46.56</v>
      </c>
      <c r="K44">
        <v>46.99</v>
      </c>
      <c r="L44">
        <v>47.42</v>
      </c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</row>
    <row r="45" spans="1:23" x14ac:dyDescent="0.15">
      <c r="A45">
        <v>200</v>
      </c>
      <c r="B45">
        <v>47.74</v>
      </c>
      <c r="C45">
        <v>48.1</v>
      </c>
      <c r="D45">
        <v>48.48</v>
      </c>
      <c r="E45">
        <v>48.87</v>
      </c>
      <c r="F45">
        <v>49.29</v>
      </c>
      <c r="G45">
        <v>49.73</v>
      </c>
      <c r="H45">
        <v>50.18</v>
      </c>
      <c r="I45">
        <v>50.63</v>
      </c>
      <c r="J45">
        <v>51.09</v>
      </c>
      <c r="K45">
        <v>51.55</v>
      </c>
      <c r="L45">
        <v>52.16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</row>
    <row r="46" spans="1:23" x14ac:dyDescent="0.15">
      <c r="A46">
        <v>205</v>
      </c>
      <c r="B46">
        <v>52.06</v>
      </c>
      <c r="C46">
        <v>52.5</v>
      </c>
      <c r="D46">
        <v>52.96</v>
      </c>
      <c r="E46">
        <v>53.41</v>
      </c>
      <c r="F46">
        <v>53.88</v>
      </c>
      <c r="G46">
        <v>54.35</v>
      </c>
      <c r="H46">
        <v>54.89</v>
      </c>
      <c r="I46">
        <v>55.5</v>
      </c>
      <c r="J46">
        <v>56.14</v>
      </c>
      <c r="K46">
        <v>56.79</v>
      </c>
      <c r="L46">
        <v>57.45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</row>
    <row r="47" spans="1:23" x14ac:dyDescent="0.15">
      <c r="A47">
        <v>210</v>
      </c>
      <c r="B47">
        <v>56.7</v>
      </c>
      <c r="C47">
        <v>57.18</v>
      </c>
      <c r="D47">
        <v>57.66</v>
      </c>
      <c r="E47">
        <v>58.26</v>
      </c>
      <c r="F47">
        <v>58.9</v>
      </c>
      <c r="G47">
        <v>59.55</v>
      </c>
      <c r="H47">
        <v>60.21</v>
      </c>
      <c r="I47">
        <v>60.89</v>
      </c>
      <c r="J47">
        <v>61.59</v>
      </c>
      <c r="K47">
        <v>62.31</v>
      </c>
      <c r="L47">
        <v>63.05</v>
      </c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</row>
    <row r="48" spans="1:23" x14ac:dyDescent="0.15">
      <c r="A48">
        <v>215</v>
      </c>
      <c r="B48">
        <v>61.69</v>
      </c>
      <c r="C48">
        <v>62.34</v>
      </c>
      <c r="D48">
        <v>63</v>
      </c>
      <c r="E48">
        <v>63.68</v>
      </c>
      <c r="F48">
        <v>64.37</v>
      </c>
      <c r="G48">
        <v>65.09</v>
      </c>
      <c r="H48">
        <v>65.819999999999993</v>
      </c>
      <c r="I48">
        <v>66.569999999999993</v>
      </c>
      <c r="J48">
        <v>67.319999999999993</v>
      </c>
      <c r="K48">
        <v>68.069999999999993</v>
      </c>
      <c r="L48">
        <v>68.84</v>
      </c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</row>
    <row r="49" spans="1:23" x14ac:dyDescent="0.15">
      <c r="A49">
        <v>220</v>
      </c>
      <c r="B49">
        <v>67.19</v>
      </c>
      <c r="C49">
        <v>67.89</v>
      </c>
      <c r="D49">
        <v>68.62</v>
      </c>
      <c r="E49">
        <v>69.37</v>
      </c>
      <c r="F49">
        <v>70.13</v>
      </c>
      <c r="G49">
        <v>70.89</v>
      </c>
      <c r="H49">
        <v>71.650000000000006</v>
      </c>
      <c r="I49">
        <v>72.430000000000007</v>
      </c>
      <c r="J49">
        <v>73.23</v>
      </c>
      <c r="K49">
        <v>74.06</v>
      </c>
      <c r="L49">
        <v>74.930000000000007</v>
      </c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</row>
    <row r="50" spans="1:23" x14ac:dyDescent="0.15">
      <c r="A50">
        <v>225</v>
      </c>
      <c r="B50">
        <v>72.95</v>
      </c>
      <c r="C50">
        <v>73.73</v>
      </c>
      <c r="D50">
        <v>74.5</v>
      </c>
      <c r="E50">
        <v>75.27</v>
      </c>
      <c r="F50">
        <v>76.06</v>
      </c>
      <c r="G50">
        <v>76.86</v>
      </c>
      <c r="H50">
        <v>77.7</v>
      </c>
      <c r="I50">
        <v>78.58</v>
      </c>
      <c r="J50">
        <v>79.5</v>
      </c>
      <c r="K50">
        <v>80.44</v>
      </c>
      <c r="L50">
        <v>81.42</v>
      </c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</row>
    <row r="51" spans="1:23" x14ac:dyDescent="0.15">
      <c r="A51">
        <v>230</v>
      </c>
      <c r="B51">
        <v>78.92</v>
      </c>
      <c r="C51">
        <v>79.72</v>
      </c>
      <c r="D51">
        <v>80.53</v>
      </c>
      <c r="E51">
        <v>81.38</v>
      </c>
      <c r="F51">
        <v>82.27</v>
      </c>
      <c r="G51">
        <v>83.19</v>
      </c>
      <c r="H51">
        <v>84.14</v>
      </c>
      <c r="I51">
        <v>85.12</v>
      </c>
      <c r="J51">
        <v>86.14</v>
      </c>
      <c r="K51">
        <v>87.19</v>
      </c>
      <c r="L51">
        <v>88.27</v>
      </c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</row>
    <row r="52" spans="1:23" x14ac:dyDescent="0.15">
      <c r="A52">
        <v>235</v>
      </c>
      <c r="B52">
        <v>85.09</v>
      </c>
      <c r="C52">
        <v>85.98</v>
      </c>
      <c r="D52">
        <v>86.91</v>
      </c>
      <c r="E52">
        <v>87.86</v>
      </c>
      <c r="F52">
        <v>88.85</v>
      </c>
      <c r="G52">
        <v>89.87</v>
      </c>
      <c r="H52">
        <v>90.92</v>
      </c>
      <c r="I52">
        <v>92</v>
      </c>
      <c r="J52">
        <v>93.12</v>
      </c>
      <c r="K52">
        <v>94.28</v>
      </c>
      <c r="L52">
        <v>95.47</v>
      </c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</row>
    <row r="53" spans="1:23" x14ac:dyDescent="0.15">
      <c r="A53">
        <v>240</v>
      </c>
      <c r="B53">
        <v>91.62</v>
      </c>
      <c r="C53">
        <v>92.61</v>
      </c>
      <c r="D53">
        <v>93.63</v>
      </c>
      <c r="E53">
        <v>94.68</v>
      </c>
      <c r="F53">
        <v>95.77</v>
      </c>
      <c r="G53">
        <v>96.88</v>
      </c>
      <c r="H53">
        <v>98.04</v>
      </c>
      <c r="I53">
        <v>99.22</v>
      </c>
      <c r="J53">
        <v>100.45</v>
      </c>
      <c r="K53">
        <v>101.6</v>
      </c>
      <c r="L53">
        <v>102.72</v>
      </c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</row>
    <row r="54" spans="1:23" x14ac:dyDescent="0.15">
      <c r="A54">
        <v>245</v>
      </c>
      <c r="B54">
        <v>98.48</v>
      </c>
      <c r="C54">
        <v>99.56</v>
      </c>
      <c r="D54">
        <v>100.68</v>
      </c>
      <c r="E54">
        <v>101.83</v>
      </c>
      <c r="F54">
        <v>103.01</v>
      </c>
      <c r="G54">
        <v>104.23</v>
      </c>
      <c r="H54">
        <v>105.46</v>
      </c>
      <c r="I54">
        <v>106.6</v>
      </c>
      <c r="J54">
        <v>107.73</v>
      </c>
      <c r="K54">
        <v>108.88</v>
      </c>
      <c r="L54">
        <v>110.09</v>
      </c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</row>
    <row r="55" spans="1:23" x14ac:dyDescent="0.15">
      <c r="A55">
        <v>250</v>
      </c>
      <c r="B55">
        <v>105.65</v>
      </c>
      <c r="C55">
        <v>106.83</v>
      </c>
      <c r="D55">
        <v>108.05</v>
      </c>
      <c r="E55">
        <v>109.3</v>
      </c>
      <c r="F55">
        <v>110.49</v>
      </c>
      <c r="G55">
        <v>111.64</v>
      </c>
      <c r="H55">
        <v>112.79</v>
      </c>
      <c r="I55">
        <v>113.97</v>
      </c>
      <c r="J55">
        <v>115.22</v>
      </c>
      <c r="K55">
        <v>116.51</v>
      </c>
      <c r="L55">
        <v>117.91</v>
      </c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</row>
    <row r="56" spans="1:23" x14ac:dyDescent="0.15">
      <c r="A56">
        <v>255</v>
      </c>
      <c r="B56">
        <v>113.14</v>
      </c>
      <c r="C56">
        <v>114.41</v>
      </c>
      <c r="D56">
        <v>115.57</v>
      </c>
      <c r="E56">
        <v>116.73</v>
      </c>
      <c r="F56">
        <v>117.9</v>
      </c>
      <c r="G56">
        <v>119.12</v>
      </c>
      <c r="H56">
        <v>120.4</v>
      </c>
      <c r="I56">
        <v>121.72</v>
      </c>
      <c r="J56">
        <v>123.17</v>
      </c>
      <c r="K56">
        <v>124.7</v>
      </c>
      <c r="L56">
        <v>126.27</v>
      </c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</row>
    <row r="57" spans="1:23" x14ac:dyDescent="0.15">
      <c r="A57">
        <v>260</v>
      </c>
      <c r="B57">
        <v>120.7</v>
      </c>
      <c r="C57">
        <v>121.87</v>
      </c>
      <c r="D57">
        <v>123.06</v>
      </c>
      <c r="E57">
        <v>124.32</v>
      </c>
      <c r="F57">
        <v>125.63</v>
      </c>
      <c r="G57">
        <v>126.97</v>
      </c>
      <c r="H57">
        <v>128.47</v>
      </c>
      <c r="I57">
        <v>130.02000000000001</v>
      </c>
      <c r="J57">
        <v>131.62</v>
      </c>
      <c r="K57">
        <v>133.26</v>
      </c>
      <c r="L57">
        <v>134.94</v>
      </c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</row>
    <row r="58" spans="1:23" x14ac:dyDescent="0.15">
      <c r="A58">
        <v>265</v>
      </c>
      <c r="B58">
        <v>128.28</v>
      </c>
      <c r="C58">
        <v>129.58000000000001</v>
      </c>
      <c r="D58">
        <v>130.91</v>
      </c>
      <c r="E58">
        <v>132.28</v>
      </c>
      <c r="F58">
        <v>133.81</v>
      </c>
      <c r="G58">
        <v>135.38999999999999</v>
      </c>
      <c r="H58">
        <v>137.01</v>
      </c>
      <c r="I58">
        <v>138.66999999999999</v>
      </c>
      <c r="J58">
        <v>140.37</v>
      </c>
      <c r="K58">
        <v>142.11000000000001</v>
      </c>
      <c r="L58">
        <v>143.88</v>
      </c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</row>
    <row r="59" spans="1:23" x14ac:dyDescent="0.15">
      <c r="A59">
        <v>270</v>
      </c>
      <c r="B59">
        <v>136.22999999999999</v>
      </c>
      <c r="C59">
        <v>137.63999999999999</v>
      </c>
      <c r="D59">
        <v>139.19999999999999</v>
      </c>
      <c r="E59">
        <v>140.80000000000001</v>
      </c>
      <c r="F59">
        <v>142.44</v>
      </c>
      <c r="G59">
        <v>144.12</v>
      </c>
      <c r="H59">
        <v>145.84</v>
      </c>
      <c r="I59">
        <v>147.59</v>
      </c>
      <c r="J59">
        <v>149.38</v>
      </c>
      <c r="K59">
        <v>151.22</v>
      </c>
      <c r="L59">
        <v>153.09</v>
      </c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</row>
    <row r="60" spans="1:23" x14ac:dyDescent="0.15">
      <c r="A60">
        <v>275</v>
      </c>
      <c r="B60">
        <v>144.63</v>
      </c>
      <c r="C60">
        <v>146.25</v>
      </c>
      <c r="D60">
        <v>147.91</v>
      </c>
      <c r="E60">
        <v>149.61000000000001</v>
      </c>
      <c r="F60">
        <v>151.35</v>
      </c>
      <c r="G60">
        <v>153.12</v>
      </c>
      <c r="H60">
        <v>154.93</v>
      </c>
      <c r="I60">
        <v>156.78</v>
      </c>
      <c r="J60">
        <v>158.66999999999999</v>
      </c>
      <c r="K60">
        <v>160.59</v>
      </c>
      <c r="L60">
        <v>162.53</v>
      </c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</row>
    <row r="61" spans="1:23" x14ac:dyDescent="0.15">
      <c r="A61">
        <v>280</v>
      </c>
      <c r="B61">
        <v>153.41999999999999</v>
      </c>
      <c r="C61">
        <v>155.13999999999999</v>
      </c>
      <c r="D61">
        <v>156.9</v>
      </c>
      <c r="E61">
        <v>158.69</v>
      </c>
      <c r="F61">
        <v>160.51</v>
      </c>
      <c r="G61">
        <v>162.38</v>
      </c>
      <c r="H61">
        <v>164.28</v>
      </c>
      <c r="I61">
        <v>166.21</v>
      </c>
      <c r="J61">
        <v>168.17</v>
      </c>
      <c r="K61">
        <v>170.15</v>
      </c>
      <c r="L61">
        <v>172.16</v>
      </c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</row>
    <row r="62" spans="1:23" x14ac:dyDescent="0.15">
      <c r="A62">
        <v>285</v>
      </c>
      <c r="B62">
        <v>162.49</v>
      </c>
      <c r="C62">
        <v>164.29</v>
      </c>
      <c r="D62">
        <v>166.12</v>
      </c>
      <c r="E62">
        <v>168.01</v>
      </c>
      <c r="F62">
        <v>169.92</v>
      </c>
      <c r="G62">
        <v>171.87</v>
      </c>
      <c r="H62">
        <v>173.84</v>
      </c>
      <c r="I62">
        <v>175.84</v>
      </c>
      <c r="J62">
        <v>177.86</v>
      </c>
      <c r="K62">
        <v>179.9</v>
      </c>
      <c r="L62">
        <v>181.96</v>
      </c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</row>
    <row r="63" spans="1:23" x14ac:dyDescent="0.15">
      <c r="A63">
        <v>290</v>
      </c>
      <c r="B63">
        <v>171.78</v>
      </c>
      <c r="C63">
        <v>173.67</v>
      </c>
      <c r="D63">
        <v>175.6</v>
      </c>
      <c r="E63">
        <v>177.56</v>
      </c>
      <c r="F63">
        <v>179.55</v>
      </c>
      <c r="G63">
        <v>181.56</v>
      </c>
      <c r="H63">
        <v>183.59</v>
      </c>
      <c r="I63">
        <v>185.64</v>
      </c>
      <c r="J63">
        <v>187.71</v>
      </c>
      <c r="K63">
        <v>189.81</v>
      </c>
      <c r="L63">
        <v>191.92</v>
      </c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</row>
    <row r="64" spans="1:23" x14ac:dyDescent="0.15">
      <c r="A64">
        <v>295</v>
      </c>
      <c r="B64">
        <v>181.32</v>
      </c>
      <c r="C64">
        <v>183.29</v>
      </c>
      <c r="D64">
        <v>185.29</v>
      </c>
      <c r="E64">
        <v>187.31</v>
      </c>
      <c r="F64">
        <v>189.35</v>
      </c>
      <c r="G64">
        <v>191.42</v>
      </c>
      <c r="H64">
        <v>193.5</v>
      </c>
      <c r="I64">
        <v>195.61</v>
      </c>
      <c r="J64">
        <v>197.73</v>
      </c>
      <c r="K64">
        <v>199.87</v>
      </c>
      <c r="L64">
        <v>202.02</v>
      </c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</row>
    <row r="65" spans="1:23" x14ac:dyDescent="0.15">
      <c r="A65">
        <v>300</v>
      </c>
      <c r="B65">
        <v>191.06</v>
      </c>
      <c r="C65">
        <v>193.1</v>
      </c>
      <c r="D65">
        <v>195.15</v>
      </c>
      <c r="E65">
        <v>197.23</v>
      </c>
      <c r="F65">
        <v>199.32</v>
      </c>
      <c r="G65">
        <v>201.44</v>
      </c>
      <c r="H65">
        <v>203.57</v>
      </c>
      <c r="I65">
        <v>205.72</v>
      </c>
      <c r="J65">
        <v>207.89</v>
      </c>
      <c r="K65">
        <v>210.07</v>
      </c>
      <c r="L65">
        <v>212.26</v>
      </c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</row>
    <row r="66" spans="1:23" x14ac:dyDescent="0.15">
      <c r="A66">
        <v>305</v>
      </c>
      <c r="B66">
        <v>200.98</v>
      </c>
      <c r="C66">
        <v>203.07</v>
      </c>
      <c r="D66">
        <v>205.18</v>
      </c>
      <c r="E66">
        <v>207.3</v>
      </c>
      <c r="F66">
        <v>209.44</v>
      </c>
      <c r="G66">
        <v>211.6</v>
      </c>
      <c r="H66">
        <v>213.78</v>
      </c>
      <c r="I66">
        <v>215.97</v>
      </c>
      <c r="J66">
        <v>218.18</v>
      </c>
      <c r="K66">
        <v>220.4</v>
      </c>
      <c r="L66">
        <v>222.64</v>
      </c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</row>
    <row r="67" spans="1:23" x14ac:dyDescent="0.15">
      <c r="A67">
        <v>310</v>
      </c>
      <c r="B67">
        <v>211.06</v>
      </c>
      <c r="C67">
        <v>213.19</v>
      </c>
      <c r="D67">
        <v>215.35</v>
      </c>
      <c r="E67">
        <v>217.52</v>
      </c>
      <c r="F67">
        <v>219.7</v>
      </c>
      <c r="G67">
        <v>221.91</v>
      </c>
      <c r="H67">
        <v>224.12</v>
      </c>
      <c r="I67">
        <v>226.35</v>
      </c>
      <c r="J67">
        <v>228.6</v>
      </c>
      <c r="K67">
        <v>230.86</v>
      </c>
      <c r="L67">
        <v>233.13</v>
      </c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</row>
    <row r="68" spans="1:23" x14ac:dyDescent="0.15">
      <c r="A68">
        <v>315</v>
      </c>
      <c r="B68">
        <v>221.28</v>
      </c>
      <c r="C68">
        <v>223.46</v>
      </c>
      <c r="D68">
        <v>225.66</v>
      </c>
      <c r="E68">
        <v>227.87</v>
      </c>
      <c r="F68">
        <v>230.09</v>
      </c>
      <c r="G68">
        <v>232.34</v>
      </c>
      <c r="H68">
        <v>234.59</v>
      </c>
      <c r="I68">
        <v>236.86</v>
      </c>
      <c r="J68">
        <v>239.14</v>
      </c>
      <c r="K68">
        <v>241.44</v>
      </c>
      <c r="L68">
        <v>243.74</v>
      </c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</row>
    <row r="69" spans="1:23" x14ac:dyDescent="0.15">
      <c r="A69">
        <v>320</v>
      </c>
      <c r="B69">
        <v>231.64</v>
      </c>
      <c r="C69">
        <v>233.86</v>
      </c>
      <c r="D69">
        <v>236.09</v>
      </c>
      <c r="E69">
        <v>238.34</v>
      </c>
      <c r="F69">
        <v>240.61</v>
      </c>
      <c r="G69">
        <v>242.89</v>
      </c>
      <c r="H69">
        <v>245.18</v>
      </c>
      <c r="I69">
        <v>247.48</v>
      </c>
      <c r="J69">
        <v>249.8</v>
      </c>
      <c r="K69">
        <v>252.13</v>
      </c>
      <c r="L69">
        <v>254.47</v>
      </c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</row>
    <row r="70" spans="1:23" x14ac:dyDescent="0.15">
      <c r="A70">
        <v>325</v>
      </c>
      <c r="B70">
        <v>242.12</v>
      </c>
      <c r="C70">
        <v>244.38</v>
      </c>
      <c r="D70">
        <v>246.65</v>
      </c>
      <c r="E70">
        <v>248.94</v>
      </c>
      <c r="F70">
        <v>251.24</v>
      </c>
      <c r="G70">
        <v>253.55</v>
      </c>
      <c r="H70">
        <v>255.88</v>
      </c>
      <c r="I70">
        <v>258.22000000000003</v>
      </c>
      <c r="J70">
        <v>260.57</v>
      </c>
      <c r="K70">
        <v>262.93</v>
      </c>
      <c r="L70">
        <v>265.3</v>
      </c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</row>
    <row r="71" spans="1:23" x14ac:dyDescent="0.15">
      <c r="A71">
        <v>330</v>
      </c>
      <c r="B71">
        <v>252.73</v>
      </c>
      <c r="C71">
        <v>255.02</v>
      </c>
      <c r="D71">
        <v>257.33</v>
      </c>
      <c r="E71">
        <v>259.64999999999998</v>
      </c>
      <c r="F71">
        <v>261.99</v>
      </c>
      <c r="G71">
        <v>264.33</v>
      </c>
      <c r="H71">
        <v>266.69</v>
      </c>
      <c r="I71">
        <v>269.06</v>
      </c>
      <c r="J71">
        <v>271.44</v>
      </c>
      <c r="K71">
        <v>273.83</v>
      </c>
      <c r="L71">
        <v>276.23</v>
      </c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</row>
    <row r="72" spans="1:23" x14ac:dyDescent="0.15">
      <c r="A72">
        <v>335</v>
      </c>
      <c r="B72">
        <v>263.44</v>
      </c>
      <c r="C72">
        <v>265.77</v>
      </c>
      <c r="D72">
        <v>268.12</v>
      </c>
      <c r="E72">
        <v>270.47000000000003</v>
      </c>
      <c r="F72">
        <v>272.83999999999997</v>
      </c>
      <c r="G72">
        <v>275.20999999999998</v>
      </c>
      <c r="H72">
        <v>277.60000000000002</v>
      </c>
      <c r="I72">
        <v>280</v>
      </c>
      <c r="J72">
        <v>282.41000000000003</v>
      </c>
      <c r="K72">
        <v>284.83</v>
      </c>
      <c r="L72">
        <v>287.26</v>
      </c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</row>
    <row r="73" spans="1:23" x14ac:dyDescent="0.15">
      <c r="A73">
        <v>340</v>
      </c>
      <c r="B73">
        <v>274.27</v>
      </c>
      <c r="C73">
        <v>276.64</v>
      </c>
      <c r="D73">
        <v>279.01</v>
      </c>
      <c r="E73">
        <v>281.39</v>
      </c>
      <c r="F73">
        <v>283.79000000000002</v>
      </c>
      <c r="G73">
        <v>286.2</v>
      </c>
      <c r="H73">
        <v>288.62</v>
      </c>
      <c r="I73">
        <v>291.05</v>
      </c>
      <c r="J73">
        <v>293.48</v>
      </c>
      <c r="K73">
        <v>295.93</v>
      </c>
      <c r="L73">
        <v>298.39</v>
      </c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</row>
    <row r="74" spans="1:23" x14ac:dyDescent="0.15">
      <c r="A74">
        <v>345</v>
      </c>
      <c r="B74">
        <v>285.20999999999998</v>
      </c>
      <c r="C74">
        <v>287.60000000000002</v>
      </c>
      <c r="D74">
        <v>290</v>
      </c>
      <c r="E74">
        <v>292.42</v>
      </c>
      <c r="F74">
        <v>294.83999999999997</v>
      </c>
      <c r="G74">
        <v>297.27999999999997</v>
      </c>
      <c r="H74">
        <v>299.73</v>
      </c>
      <c r="I74">
        <v>302.18</v>
      </c>
      <c r="J74">
        <v>304.64999999999998</v>
      </c>
      <c r="K74">
        <v>307.13</v>
      </c>
      <c r="L74">
        <v>309.61</v>
      </c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</row>
    <row r="75" spans="1:23" x14ac:dyDescent="0.15">
      <c r="A75">
        <v>350</v>
      </c>
      <c r="B75">
        <v>296.24</v>
      </c>
      <c r="C75">
        <v>298.66000000000003</v>
      </c>
      <c r="D75">
        <v>301.10000000000002</v>
      </c>
      <c r="E75">
        <v>303.54000000000002</v>
      </c>
      <c r="F75">
        <v>305.99</v>
      </c>
      <c r="G75">
        <v>308.45999999999998</v>
      </c>
      <c r="H75">
        <v>310.93</v>
      </c>
      <c r="I75">
        <v>313.41000000000003</v>
      </c>
      <c r="J75">
        <v>315.91000000000003</v>
      </c>
      <c r="K75">
        <v>318.41000000000003</v>
      </c>
      <c r="L75">
        <v>320.92</v>
      </c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</row>
    <row r="76" spans="1:23" x14ac:dyDescent="0.15">
      <c r="A76">
        <v>355</v>
      </c>
      <c r="B76">
        <v>307.37</v>
      </c>
      <c r="C76">
        <v>309.82</v>
      </c>
      <c r="D76">
        <v>312.27999999999997</v>
      </c>
      <c r="E76">
        <v>314.75</v>
      </c>
      <c r="F76">
        <v>317.23</v>
      </c>
      <c r="G76">
        <v>319.72000000000003</v>
      </c>
      <c r="H76">
        <v>322.22000000000003</v>
      </c>
      <c r="I76">
        <v>324.73</v>
      </c>
      <c r="J76">
        <v>327.25</v>
      </c>
      <c r="K76">
        <v>329.78</v>
      </c>
      <c r="L76">
        <v>332.32</v>
      </c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</row>
    <row r="77" spans="1:23" x14ac:dyDescent="0.15">
      <c r="A77">
        <v>360</v>
      </c>
      <c r="B77">
        <v>318.58999999999997</v>
      </c>
      <c r="C77">
        <v>321.07</v>
      </c>
      <c r="D77">
        <v>323.56</v>
      </c>
      <c r="E77">
        <v>326.06</v>
      </c>
      <c r="F77">
        <v>328.56</v>
      </c>
      <c r="G77">
        <v>331.08</v>
      </c>
      <c r="H77">
        <v>333.6</v>
      </c>
      <c r="I77">
        <v>336.14</v>
      </c>
      <c r="J77">
        <v>338.68</v>
      </c>
      <c r="K77">
        <v>341.23</v>
      </c>
      <c r="L77">
        <v>343.79</v>
      </c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</row>
    <row r="78" spans="1:23" x14ac:dyDescent="0.15">
      <c r="A78">
        <v>365</v>
      </c>
      <c r="B78">
        <v>329.9</v>
      </c>
      <c r="C78">
        <v>332.41</v>
      </c>
      <c r="D78">
        <v>334.92</v>
      </c>
      <c r="E78">
        <v>337.45</v>
      </c>
      <c r="F78">
        <v>339.98</v>
      </c>
      <c r="G78">
        <v>342.52</v>
      </c>
      <c r="H78">
        <v>345.07</v>
      </c>
      <c r="I78">
        <v>347.63</v>
      </c>
      <c r="J78">
        <v>350.19</v>
      </c>
      <c r="K78">
        <v>352.77</v>
      </c>
      <c r="L78">
        <v>355.35</v>
      </c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</row>
    <row r="79" spans="1:23" x14ac:dyDescent="0.15">
      <c r="A79">
        <v>370</v>
      </c>
      <c r="B79">
        <v>341.3</v>
      </c>
      <c r="C79">
        <v>343.83</v>
      </c>
      <c r="D79">
        <v>346.37</v>
      </c>
      <c r="E79">
        <v>348.92</v>
      </c>
      <c r="F79">
        <v>351.48</v>
      </c>
      <c r="G79">
        <v>354.04</v>
      </c>
      <c r="H79">
        <v>356.61</v>
      </c>
      <c r="I79">
        <v>359.2</v>
      </c>
      <c r="J79">
        <v>361.79</v>
      </c>
      <c r="K79">
        <v>364.39</v>
      </c>
      <c r="L79">
        <v>366.99</v>
      </c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</row>
    <row r="80" spans="1:23" x14ac:dyDescent="0.15">
      <c r="A80">
        <v>375</v>
      </c>
      <c r="B80">
        <v>352.79</v>
      </c>
      <c r="C80">
        <v>355.34</v>
      </c>
      <c r="D80">
        <v>357.9</v>
      </c>
      <c r="E80">
        <v>360.48</v>
      </c>
      <c r="F80">
        <v>363.06</v>
      </c>
      <c r="G80">
        <v>365.64</v>
      </c>
      <c r="H80">
        <v>368.24</v>
      </c>
      <c r="I80">
        <v>370.85</v>
      </c>
      <c r="J80">
        <v>373.46</v>
      </c>
      <c r="K80">
        <v>376.08</v>
      </c>
      <c r="L80">
        <v>378.71</v>
      </c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</row>
    <row r="81" spans="1:23" x14ac:dyDescent="0.15">
      <c r="A81">
        <v>380</v>
      </c>
      <c r="B81">
        <v>364.35</v>
      </c>
      <c r="C81">
        <v>366.93</v>
      </c>
      <c r="D81">
        <v>369.52</v>
      </c>
      <c r="E81">
        <v>372.11</v>
      </c>
      <c r="F81">
        <v>374.71</v>
      </c>
      <c r="G81">
        <v>377.33</v>
      </c>
      <c r="H81">
        <v>379.94</v>
      </c>
      <c r="I81">
        <v>382.57</v>
      </c>
      <c r="J81">
        <v>385.21</v>
      </c>
      <c r="K81">
        <v>387.85</v>
      </c>
      <c r="L81">
        <v>390.5</v>
      </c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</row>
    <row r="82" spans="1:23" x14ac:dyDescent="0.15">
      <c r="A82">
        <v>385</v>
      </c>
      <c r="B82">
        <v>376</v>
      </c>
      <c r="C82">
        <v>378.6</v>
      </c>
      <c r="D82">
        <v>381.21</v>
      </c>
      <c r="E82">
        <v>383.82</v>
      </c>
      <c r="F82">
        <v>386.45</v>
      </c>
      <c r="G82">
        <v>389.08</v>
      </c>
      <c r="H82">
        <v>391.72</v>
      </c>
      <c r="I82">
        <v>394.37</v>
      </c>
      <c r="J82">
        <v>397.03</v>
      </c>
      <c r="K82">
        <v>399.69</v>
      </c>
      <c r="L82">
        <v>402.36</v>
      </c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</row>
    <row r="83" spans="1:23" x14ac:dyDescent="0.15">
      <c r="A83">
        <v>390</v>
      </c>
      <c r="B83">
        <v>387.72</v>
      </c>
      <c r="C83">
        <v>390.34</v>
      </c>
      <c r="D83">
        <v>392.97</v>
      </c>
      <c r="E83">
        <v>395.61</v>
      </c>
      <c r="F83">
        <v>398.26</v>
      </c>
      <c r="G83">
        <v>400.91</v>
      </c>
      <c r="H83">
        <v>403.58</v>
      </c>
      <c r="I83">
        <v>406.24</v>
      </c>
      <c r="J83">
        <v>408.92</v>
      </c>
      <c r="K83">
        <v>411.61</v>
      </c>
      <c r="L83">
        <v>414.3</v>
      </c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</row>
    <row r="84" spans="1:23" x14ac:dyDescent="0.15">
      <c r="A84">
        <v>395</v>
      </c>
      <c r="B84">
        <v>399.52</v>
      </c>
      <c r="C84">
        <v>402.16</v>
      </c>
      <c r="D84">
        <v>404.81</v>
      </c>
      <c r="E84">
        <v>407.47</v>
      </c>
      <c r="F84">
        <v>410.14</v>
      </c>
      <c r="G84">
        <v>412.82</v>
      </c>
      <c r="H84">
        <v>415.5</v>
      </c>
      <c r="I84">
        <v>418.19</v>
      </c>
      <c r="J84">
        <v>420.89</v>
      </c>
      <c r="K84">
        <v>423.59</v>
      </c>
      <c r="L84">
        <v>426.3</v>
      </c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</row>
    <row r="85" spans="1:23" x14ac:dyDescent="0.15">
      <c r="A85">
        <v>400</v>
      </c>
      <c r="B85">
        <v>411.39</v>
      </c>
      <c r="C85">
        <v>414.05</v>
      </c>
      <c r="D85">
        <v>416.73</v>
      </c>
      <c r="E85">
        <v>419.41</v>
      </c>
      <c r="F85">
        <v>422.1</v>
      </c>
      <c r="G85">
        <v>424.79</v>
      </c>
      <c r="H85">
        <v>427.49</v>
      </c>
      <c r="I85">
        <v>430.2</v>
      </c>
      <c r="J85">
        <v>432.92</v>
      </c>
      <c r="K85">
        <v>435.64</v>
      </c>
      <c r="L85">
        <v>438.37</v>
      </c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</row>
    <row r="86" spans="1:23" x14ac:dyDescent="0.15">
      <c r="A86">
        <v>405</v>
      </c>
      <c r="B86">
        <v>423.33</v>
      </c>
      <c r="C86">
        <v>426.02</v>
      </c>
      <c r="D86">
        <v>428.71</v>
      </c>
      <c r="E86">
        <v>431.41</v>
      </c>
      <c r="F86">
        <v>434.12</v>
      </c>
      <c r="G86">
        <v>436.83</v>
      </c>
      <c r="H86">
        <v>439.55</v>
      </c>
      <c r="I86">
        <v>442.28</v>
      </c>
      <c r="J86">
        <v>445.02</v>
      </c>
      <c r="K86">
        <v>447.76</v>
      </c>
      <c r="L86">
        <v>450.51</v>
      </c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</row>
    <row r="87" spans="1:23" x14ac:dyDescent="0.15">
      <c r="A87">
        <v>410</v>
      </c>
      <c r="B87">
        <v>435.34</v>
      </c>
      <c r="C87">
        <v>438.05</v>
      </c>
      <c r="D87">
        <v>440.76</v>
      </c>
      <c r="E87">
        <v>443.48</v>
      </c>
      <c r="F87">
        <v>446.21</v>
      </c>
      <c r="G87">
        <v>448.94</v>
      </c>
      <c r="H87">
        <v>451.68</v>
      </c>
      <c r="I87">
        <v>454.43</v>
      </c>
      <c r="J87">
        <v>457.18</v>
      </c>
      <c r="K87">
        <v>459.94</v>
      </c>
      <c r="L87">
        <v>462.71</v>
      </c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</row>
    <row r="88" spans="1:23" x14ac:dyDescent="0.15">
      <c r="A88">
        <v>415</v>
      </c>
      <c r="B88">
        <v>447.42</v>
      </c>
      <c r="C88">
        <v>450.15</v>
      </c>
      <c r="D88">
        <v>452.88</v>
      </c>
      <c r="E88">
        <v>455.62</v>
      </c>
      <c r="F88">
        <v>458.36</v>
      </c>
      <c r="G88">
        <v>461.12</v>
      </c>
      <c r="H88">
        <v>463.87</v>
      </c>
      <c r="I88">
        <v>466.64</v>
      </c>
      <c r="J88">
        <v>469.41</v>
      </c>
      <c r="K88">
        <v>472.19</v>
      </c>
      <c r="L88">
        <v>474.98</v>
      </c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</row>
    <row r="89" spans="1:23" x14ac:dyDescent="0.15">
      <c r="A89">
        <v>420</v>
      </c>
      <c r="B89">
        <v>459.56</v>
      </c>
      <c r="C89">
        <v>462.31</v>
      </c>
      <c r="D89">
        <v>465.06</v>
      </c>
      <c r="E89">
        <v>467.82</v>
      </c>
      <c r="F89">
        <v>470.58</v>
      </c>
      <c r="G89">
        <v>473.35</v>
      </c>
      <c r="H89">
        <v>476.13</v>
      </c>
      <c r="I89">
        <v>478.91</v>
      </c>
      <c r="J89">
        <v>481.7</v>
      </c>
      <c r="K89">
        <v>484.5</v>
      </c>
      <c r="L89">
        <v>487.3</v>
      </c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</row>
    <row r="90" spans="1:23" x14ac:dyDescent="0.15">
      <c r="A90">
        <v>425</v>
      </c>
      <c r="B90">
        <v>471.77</v>
      </c>
      <c r="C90">
        <v>474.54</v>
      </c>
      <c r="D90">
        <v>477.31</v>
      </c>
      <c r="E90">
        <v>480.08</v>
      </c>
      <c r="F90">
        <v>482.86</v>
      </c>
      <c r="G90">
        <v>485.65</v>
      </c>
      <c r="H90">
        <v>488.45</v>
      </c>
      <c r="I90">
        <v>491.25</v>
      </c>
      <c r="J90">
        <v>494.06</v>
      </c>
      <c r="K90">
        <v>496.87</v>
      </c>
      <c r="L90">
        <v>499.69</v>
      </c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</row>
    <row r="91" spans="1:23" x14ac:dyDescent="0.15">
      <c r="A91">
        <v>430</v>
      </c>
      <c r="B91">
        <v>484.05</v>
      </c>
      <c r="C91">
        <v>486.83</v>
      </c>
      <c r="D91">
        <v>489.62</v>
      </c>
      <c r="E91">
        <v>492.41</v>
      </c>
      <c r="F91">
        <v>495.21</v>
      </c>
      <c r="G91">
        <v>498.01</v>
      </c>
      <c r="H91">
        <v>500.83</v>
      </c>
      <c r="I91">
        <v>503.65</v>
      </c>
      <c r="J91">
        <v>506.47</v>
      </c>
      <c r="K91">
        <v>509.3</v>
      </c>
      <c r="L91">
        <v>512.14</v>
      </c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</row>
    <row r="92" spans="1:23" x14ac:dyDescent="0.15">
      <c r="A92">
        <v>435</v>
      </c>
      <c r="B92">
        <v>496.38</v>
      </c>
      <c r="C92">
        <v>499.18</v>
      </c>
      <c r="D92">
        <v>501.99</v>
      </c>
      <c r="E92">
        <v>504.8</v>
      </c>
      <c r="F92">
        <v>507.61</v>
      </c>
      <c r="G92">
        <v>510.44</v>
      </c>
      <c r="H92">
        <v>513.27</v>
      </c>
      <c r="I92">
        <v>516.1</v>
      </c>
      <c r="J92">
        <v>518.94000000000005</v>
      </c>
      <c r="K92">
        <v>521.79</v>
      </c>
      <c r="L92">
        <v>524.64</v>
      </c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</row>
    <row r="93" spans="1:23" x14ac:dyDescent="0.15">
      <c r="A93">
        <v>440</v>
      </c>
      <c r="B93">
        <v>508.78</v>
      </c>
      <c r="C93">
        <v>511.59</v>
      </c>
      <c r="D93">
        <v>514.41</v>
      </c>
      <c r="E93">
        <v>517.24</v>
      </c>
      <c r="F93">
        <v>520.08000000000004</v>
      </c>
      <c r="G93">
        <v>522.91999999999996</v>
      </c>
      <c r="H93">
        <v>525.76</v>
      </c>
      <c r="I93">
        <v>528.61</v>
      </c>
      <c r="J93">
        <v>531.47</v>
      </c>
      <c r="K93">
        <v>534.33000000000004</v>
      </c>
      <c r="L93">
        <v>537.20000000000005</v>
      </c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</row>
    <row r="94" spans="1:23" x14ac:dyDescent="0.15">
      <c r="A94">
        <v>445</v>
      </c>
      <c r="B94">
        <v>521.23</v>
      </c>
      <c r="C94">
        <v>524.05999999999995</v>
      </c>
      <c r="D94">
        <v>526.9</v>
      </c>
      <c r="E94">
        <v>529.75</v>
      </c>
      <c r="F94">
        <v>532.6</v>
      </c>
      <c r="G94">
        <v>535.45000000000005</v>
      </c>
      <c r="H94">
        <v>538.30999999999995</v>
      </c>
      <c r="I94">
        <v>541.17999999999995</v>
      </c>
      <c r="J94">
        <v>544.04999999999995</v>
      </c>
      <c r="K94">
        <v>546.92999999999995</v>
      </c>
      <c r="L94">
        <v>549.82000000000005</v>
      </c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</row>
    <row r="95" spans="1:23" x14ac:dyDescent="0.15">
      <c r="A95">
        <v>450</v>
      </c>
      <c r="B95">
        <v>533.74</v>
      </c>
      <c r="C95">
        <v>536.59</v>
      </c>
      <c r="D95">
        <v>539.45000000000005</v>
      </c>
      <c r="E95">
        <v>542.30999999999995</v>
      </c>
      <c r="F95">
        <v>545.16999999999996</v>
      </c>
      <c r="G95">
        <v>548.04</v>
      </c>
      <c r="H95">
        <v>550.91999999999996</v>
      </c>
      <c r="I95">
        <v>553.79999999999995</v>
      </c>
      <c r="J95">
        <v>556.69000000000005</v>
      </c>
      <c r="K95">
        <v>559.59</v>
      </c>
      <c r="L95">
        <v>562.49</v>
      </c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</row>
    <row r="96" spans="1:23" x14ac:dyDescent="0.15">
      <c r="A96">
        <v>455</v>
      </c>
      <c r="B96">
        <v>546.30999999999995</v>
      </c>
      <c r="C96">
        <v>549.17999999999995</v>
      </c>
      <c r="D96">
        <v>552.04999999999995</v>
      </c>
      <c r="E96">
        <v>554.91999999999996</v>
      </c>
      <c r="F96">
        <v>557.79999999999995</v>
      </c>
      <c r="G96">
        <v>560.69000000000005</v>
      </c>
      <c r="H96">
        <v>563.58000000000004</v>
      </c>
      <c r="I96">
        <v>566.48</v>
      </c>
      <c r="J96">
        <v>569.39</v>
      </c>
      <c r="K96">
        <v>572.29999999999995</v>
      </c>
      <c r="L96">
        <v>575.21</v>
      </c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</row>
    <row r="97" spans="1:23" x14ac:dyDescent="0.15">
      <c r="A97">
        <v>460</v>
      </c>
      <c r="B97">
        <v>558.92999999999995</v>
      </c>
      <c r="C97">
        <v>561.80999999999995</v>
      </c>
      <c r="D97">
        <v>564.70000000000005</v>
      </c>
      <c r="E97">
        <v>567.59</v>
      </c>
      <c r="F97">
        <v>570.49</v>
      </c>
      <c r="G97">
        <v>573.39</v>
      </c>
      <c r="H97">
        <v>576.29999999999995</v>
      </c>
      <c r="I97">
        <v>579.21</v>
      </c>
      <c r="J97">
        <v>582.13</v>
      </c>
      <c r="K97">
        <v>585.05999999999995</v>
      </c>
      <c r="L97">
        <v>587.99</v>
      </c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</row>
    <row r="98" spans="1:23" x14ac:dyDescent="0.15">
      <c r="A98">
        <v>465</v>
      </c>
      <c r="B98">
        <v>571.61</v>
      </c>
      <c r="C98">
        <v>574.51</v>
      </c>
      <c r="D98">
        <v>577.41</v>
      </c>
      <c r="E98">
        <v>580.32000000000005</v>
      </c>
      <c r="F98">
        <v>583.23</v>
      </c>
      <c r="G98">
        <v>586.15</v>
      </c>
      <c r="H98">
        <v>589.07000000000005</v>
      </c>
      <c r="I98">
        <v>592</v>
      </c>
      <c r="J98">
        <v>594.92999999999995</v>
      </c>
      <c r="K98">
        <v>597.87</v>
      </c>
      <c r="L98">
        <v>600.80999999999995</v>
      </c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</row>
    <row r="99" spans="1:23" x14ac:dyDescent="0.15">
      <c r="A99">
        <v>470</v>
      </c>
      <c r="B99">
        <v>584.34</v>
      </c>
      <c r="C99">
        <v>587.25</v>
      </c>
      <c r="D99">
        <v>590.16999999999996</v>
      </c>
      <c r="E99">
        <v>593.09</v>
      </c>
      <c r="F99">
        <v>596.02</v>
      </c>
      <c r="G99">
        <v>598.95000000000005</v>
      </c>
      <c r="H99">
        <v>601.89</v>
      </c>
      <c r="I99">
        <v>604.83000000000004</v>
      </c>
      <c r="J99">
        <v>607.78</v>
      </c>
      <c r="K99">
        <v>610.73</v>
      </c>
      <c r="L99">
        <v>613.69000000000005</v>
      </c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23" x14ac:dyDescent="0.15">
      <c r="A100">
        <v>475</v>
      </c>
      <c r="B100">
        <v>597.13</v>
      </c>
      <c r="C100">
        <v>600.04999999999995</v>
      </c>
      <c r="D100">
        <v>602.98</v>
      </c>
      <c r="E100">
        <v>605.91999999999996</v>
      </c>
      <c r="F100">
        <v>608.86</v>
      </c>
      <c r="G100">
        <v>611.80999999999995</v>
      </c>
      <c r="H100">
        <v>614.76</v>
      </c>
      <c r="I100">
        <v>617.71</v>
      </c>
      <c r="J100">
        <v>620.67999999999995</v>
      </c>
      <c r="K100">
        <v>623.64</v>
      </c>
      <c r="L100">
        <v>626.61</v>
      </c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</row>
    <row r="101" spans="1:23" x14ac:dyDescent="0.15">
      <c r="A101">
        <v>480</v>
      </c>
      <c r="B101">
        <v>609.96</v>
      </c>
      <c r="C101">
        <v>612.9</v>
      </c>
      <c r="D101">
        <v>615.85</v>
      </c>
      <c r="E101">
        <v>618.79999999999995</v>
      </c>
      <c r="F101">
        <v>621.75</v>
      </c>
      <c r="G101">
        <v>624.71</v>
      </c>
      <c r="H101">
        <v>627.67999999999995</v>
      </c>
      <c r="I101">
        <v>630.65</v>
      </c>
      <c r="J101">
        <v>633.62</v>
      </c>
      <c r="K101">
        <v>636.6</v>
      </c>
      <c r="L101">
        <v>639.59</v>
      </c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</row>
    <row r="102" spans="1:23" x14ac:dyDescent="0.15">
      <c r="A102">
        <v>485</v>
      </c>
      <c r="B102">
        <v>622.84</v>
      </c>
      <c r="C102">
        <v>625.79999999999995</v>
      </c>
      <c r="D102">
        <v>628.76</v>
      </c>
      <c r="E102">
        <v>631.72</v>
      </c>
      <c r="F102">
        <v>634.69000000000005</v>
      </c>
      <c r="G102">
        <v>637.66999999999996</v>
      </c>
      <c r="H102">
        <v>640.64</v>
      </c>
      <c r="I102">
        <v>643.63</v>
      </c>
      <c r="J102">
        <v>646.62</v>
      </c>
      <c r="K102">
        <v>649.61</v>
      </c>
      <c r="L102">
        <v>652.61</v>
      </c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</row>
    <row r="103" spans="1:23" x14ac:dyDescent="0.15">
      <c r="A103">
        <v>490</v>
      </c>
      <c r="B103">
        <v>635.78</v>
      </c>
      <c r="C103">
        <v>638.74</v>
      </c>
      <c r="D103">
        <v>641.72</v>
      </c>
      <c r="E103">
        <v>644.70000000000005</v>
      </c>
      <c r="F103">
        <v>647.67999999999995</v>
      </c>
      <c r="G103">
        <v>650.66999999999996</v>
      </c>
      <c r="H103">
        <v>653.66</v>
      </c>
      <c r="I103">
        <v>656.66</v>
      </c>
      <c r="J103">
        <v>659.66</v>
      </c>
      <c r="K103">
        <v>662.66</v>
      </c>
      <c r="L103">
        <v>665.68</v>
      </c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</row>
    <row r="104" spans="1:23" x14ac:dyDescent="0.15">
      <c r="A104">
        <v>495</v>
      </c>
      <c r="B104">
        <v>648.76</v>
      </c>
      <c r="C104">
        <v>651.74</v>
      </c>
      <c r="D104">
        <v>654.73</v>
      </c>
      <c r="E104">
        <v>657.72</v>
      </c>
      <c r="F104">
        <v>660.71</v>
      </c>
      <c r="G104">
        <v>663.71</v>
      </c>
      <c r="H104">
        <v>666.72</v>
      </c>
      <c r="I104">
        <v>669.73</v>
      </c>
      <c r="J104">
        <v>672.75</v>
      </c>
      <c r="K104">
        <v>675.76</v>
      </c>
      <c r="L104">
        <v>678.79</v>
      </c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</row>
    <row r="105" spans="1:23" x14ac:dyDescent="0.15">
      <c r="A105">
        <v>500</v>
      </c>
      <c r="B105">
        <v>661.78</v>
      </c>
      <c r="C105">
        <v>664.78</v>
      </c>
      <c r="D105">
        <v>667.78</v>
      </c>
      <c r="E105">
        <v>670.78</v>
      </c>
      <c r="F105">
        <v>673.79</v>
      </c>
      <c r="G105">
        <v>676.81</v>
      </c>
      <c r="H105">
        <v>679.83</v>
      </c>
      <c r="I105">
        <v>682.85</v>
      </c>
      <c r="J105">
        <v>685.88</v>
      </c>
      <c r="K105">
        <v>688.91</v>
      </c>
      <c r="L105">
        <v>691.95</v>
      </c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</row>
    <row r="106" spans="1:23" x14ac:dyDescent="0.15">
      <c r="A106">
        <v>505</v>
      </c>
      <c r="B106">
        <v>674.86</v>
      </c>
      <c r="C106">
        <v>677.87</v>
      </c>
      <c r="D106">
        <v>680.88</v>
      </c>
      <c r="E106">
        <v>683.9</v>
      </c>
      <c r="F106">
        <v>686.92</v>
      </c>
      <c r="G106">
        <v>689.95</v>
      </c>
      <c r="H106">
        <v>692.98</v>
      </c>
      <c r="I106">
        <v>696.01</v>
      </c>
      <c r="J106">
        <v>699.05</v>
      </c>
      <c r="K106">
        <v>702.1</v>
      </c>
      <c r="L106">
        <v>705.15</v>
      </c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</row>
    <row r="107" spans="1:23" x14ac:dyDescent="0.15">
      <c r="A107">
        <v>510</v>
      </c>
      <c r="B107">
        <v>687.98</v>
      </c>
      <c r="C107">
        <v>691</v>
      </c>
      <c r="D107">
        <v>694.02</v>
      </c>
      <c r="E107">
        <v>697.05</v>
      </c>
      <c r="F107">
        <v>700.09</v>
      </c>
      <c r="G107">
        <v>703.13</v>
      </c>
      <c r="H107">
        <v>706.17</v>
      </c>
      <c r="I107">
        <v>709.22</v>
      </c>
      <c r="J107">
        <v>712.27</v>
      </c>
      <c r="K107">
        <v>715.33</v>
      </c>
      <c r="L107">
        <v>718.39</v>
      </c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</row>
    <row r="108" spans="1:23" x14ac:dyDescent="0.15">
      <c r="A108">
        <v>515</v>
      </c>
      <c r="B108">
        <v>701.14</v>
      </c>
      <c r="C108">
        <v>704.17</v>
      </c>
      <c r="D108">
        <v>707.21</v>
      </c>
      <c r="E108">
        <v>710.26</v>
      </c>
      <c r="F108">
        <v>713.3</v>
      </c>
      <c r="G108">
        <v>716.35</v>
      </c>
      <c r="H108">
        <v>719.41</v>
      </c>
      <c r="I108">
        <v>722.47</v>
      </c>
      <c r="J108">
        <v>725.53</v>
      </c>
      <c r="K108">
        <v>728.6</v>
      </c>
      <c r="L108">
        <v>731.68</v>
      </c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</row>
    <row r="109" spans="1:23" x14ac:dyDescent="0.15">
      <c r="A109">
        <v>520</v>
      </c>
      <c r="B109">
        <v>714.35</v>
      </c>
      <c r="C109">
        <v>717.39</v>
      </c>
      <c r="D109">
        <v>720.44</v>
      </c>
      <c r="E109">
        <v>723.5</v>
      </c>
      <c r="F109">
        <v>726.56</v>
      </c>
      <c r="G109">
        <v>729.62</v>
      </c>
      <c r="H109">
        <v>732.69</v>
      </c>
      <c r="I109">
        <v>735.76</v>
      </c>
      <c r="J109">
        <v>738.84</v>
      </c>
      <c r="K109">
        <v>741.92</v>
      </c>
      <c r="L109">
        <v>745</v>
      </c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</row>
    <row r="110" spans="1:23" x14ac:dyDescent="0.15">
      <c r="A110">
        <v>525</v>
      </c>
      <c r="B110">
        <v>727.6</v>
      </c>
      <c r="C110">
        <v>730.66</v>
      </c>
      <c r="D110">
        <v>733.72</v>
      </c>
      <c r="E110">
        <v>736.79</v>
      </c>
      <c r="F110">
        <v>739.86</v>
      </c>
      <c r="G110">
        <v>742.93</v>
      </c>
      <c r="H110">
        <v>746.01</v>
      </c>
      <c r="I110">
        <v>749.09</v>
      </c>
      <c r="J110">
        <v>752.18</v>
      </c>
      <c r="K110">
        <v>755.27</v>
      </c>
      <c r="L110">
        <v>758.37</v>
      </c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</row>
    <row r="111" spans="1:23" x14ac:dyDescent="0.15">
      <c r="A111">
        <v>530</v>
      </c>
      <c r="B111">
        <v>740.89</v>
      </c>
      <c r="C111">
        <v>743.96</v>
      </c>
      <c r="D111">
        <v>747.03</v>
      </c>
      <c r="E111">
        <v>750.11</v>
      </c>
      <c r="F111">
        <v>753.19</v>
      </c>
      <c r="G111">
        <v>756.28</v>
      </c>
      <c r="H111">
        <v>759.37</v>
      </c>
      <c r="I111">
        <v>762.47</v>
      </c>
      <c r="J111">
        <v>765.57</v>
      </c>
      <c r="K111">
        <v>768.67</v>
      </c>
      <c r="L111">
        <v>771.78</v>
      </c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</row>
    <row r="112" spans="1:23" x14ac:dyDescent="0.15">
      <c r="A112">
        <v>535</v>
      </c>
      <c r="B112">
        <v>754.22</v>
      </c>
      <c r="C112">
        <v>757.3</v>
      </c>
      <c r="D112">
        <v>760.39</v>
      </c>
      <c r="E112">
        <v>763.48</v>
      </c>
      <c r="F112">
        <v>766.57</v>
      </c>
      <c r="G112">
        <v>769.67</v>
      </c>
      <c r="H112">
        <v>772.77</v>
      </c>
      <c r="I112">
        <v>775.88</v>
      </c>
      <c r="J112">
        <v>778.99</v>
      </c>
      <c r="K112">
        <v>782.1</v>
      </c>
      <c r="L112">
        <v>785.22</v>
      </c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</row>
    <row r="113" spans="1:23" x14ac:dyDescent="0.15">
      <c r="A113">
        <v>540</v>
      </c>
      <c r="B113">
        <v>767.59</v>
      </c>
      <c r="C113">
        <v>770.69</v>
      </c>
      <c r="D113">
        <v>773.78</v>
      </c>
      <c r="E113">
        <v>776.89</v>
      </c>
      <c r="F113">
        <v>779.99</v>
      </c>
      <c r="G113">
        <v>783.1</v>
      </c>
      <c r="H113">
        <v>786.21</v>
      </c>
      <c r="I113">
        <v>789.33</v>
      </c>
      <c r="J113">
        <v>792.45</v>
      </c>
      <c r="K113">
        <v>795.58</v>
      </c>
      <c r="L113">
        <v>798.7</v>
      </c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</row>
    <row r="114" spans="1:23" x14ac:dyDescent="0.15">
      <c r="A114">
        <v>545</v>
      </c>
      <c r="B114">
        <v>781.01</v>
      </c>
      <c r="C114">
        <v>784.11</v>
      </c>
      <c r="D114">
        <v>787.22</v>
      </c>
      <c r="E114">
        <v>790.33</v>
      </c>
      <c r="F114">
        <v>793.45</v>
      </c>
      <c r="G114">
        <v>796.57</v>
      </c>
      <c r="H114">
        <v>799.69</v>
      </c>
      <c r="I114">
        <v>802.82</v>
      </c>
      <c r="J114">
        <v>805.95</v>
      </c>
      <c r="K114">
        <v>809.09</v>
      </c>
      <c r="L114">
        <v>812.22</v>
      </c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</row>
    <row r="115" spans="1:23" x14ac:dyDescent="0.15">
      <c r="A115">
        <v>550</v>
      </c>
      <c r="B115">
        <v>794.46</v>
      </c>
      <c r="C115">
        <v>797.57</v>
      </c>
      <c r="D115">
        <v>800.69</v>
      </c>
      <c r="E115">
        <v>803.82</v>
      </c>
      <c r="F115">
        <v>806.94</v>
      </c>
      <c r="G115">
        <v>810.07</v>
      </c>
      <c r="H115">
        <v>813.21</v>
      </c>
      <c r="I115">
        <v>816.35</v>
      </c>
      <c r="J115">
        <v>819.49</v>
      </c>
      <c r="K115">
        <v>822.63</v>
      </c>
      <c r="L115">
        <v>825.78</v>
      </c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</row>
    <row r="116" spans="1:23" x14ac:dyDescent="0.15">
      <c r="A116">
        <v>555</v>
      </c>
      <c r="B116">
        <v>807.95</v>
      </c>
      <c r="C116">
        <v>811.07</v>
      </c>
      <c r="D116">
        <v>814.2</v>
      </c>
      <c r="E116">
        <v>817.34</v>
      </c>
      <c r="F116">
        <v>820.47</v>
      </c>
      <c r="G116">
        <v>823.61</v>
      </c>
      <c r="H116">
        <v>826.76</v>
      </c>
      <c r="I116">
        <v>829.91</v>
      </c>
      <c r="J116">
        <v>833.06</v>
      </c>
      <c r="K116">
        <v>836.22</v>
      </c>
      <c r="L116">
        <v>839.38</v>
      </c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</row>
    <row r="117" spans="1:23" x14ac:dyDescent="0.15">
      <c r="A117">
        <v>560</v>
      </c>
      <c r="B117">
        <v>821.47</v>
      </c>
      <c r="C117">
        <v>824.61</v>
      </c>
      <c r="D117">
        <v>827.75</v>
      </c>
      <c r="E117">
        <v>830.89</v>
      </c>
      <c r="F117">
        <v>834.04</v>
      </c>
      <c r="G117">
        <v>837.19</v>
      </c>
      <c r="H117">
        <v>840.35</v>
      </c>
      <c r="I117">
        <v>843.51</v>
      </c>
      <c r="J117">
        <v>846.67</v>
      </c>
      <c r="K117">
        <v>849.83</v>
      </c>
      <c r="L117">
        <v>853</v>
      </c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</row>
    <row r="118" spans="1:23" x14ac:dyDescent="0.15">
      <c r="A118">
        <v>565</v>
      </c>
      <c r="B118">
        <v>835.04</v>
      </c>
      <c r="C118">
        <v>838.18</v>
      </c>
      <c r="D118">
        <v>841.33</v>
      </c>
      <c r="E118">
        <v>844.49</v>
      </c>
      <c r="F118">
        <v>847.65</v>
      </c>
      <c r="G118">
        <v>850.81</v>
      </c>
      <c r="H118">
        <v>853.97</v>
      </c>
      <c r="I118">
        <v>857.14</v>
      </c>
      <c r="J118">
        <v>860.31</v>
      </c>
      <c r="K118">
        <v>863.49</v>
      </c>
      <c r="L118">
        <v>866.67</v>
      </c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</row>
    <row r="119" spans="1:23" x14ac:dyDescent="0.15">
      <c r="A119">
        <v>570</v>
      </c>
      <c r="B119">
        <v>848.63</v>
      </c>
      <c r="C119">
        <v>851.79</v>
      </c>
      <c r="D119">
        <v>854.95</v>
      </c>
      <c r="E119">
        <v>858.12</v>
      </c>
      <c r="F119">
        <v>861.28</v>
      </c>
      <c r="G119">
        <v>864.46</v>
      </c>
      <c r="H119">
        <v>867.63</v>
      </c>
      <c r="I119">
        <v>870.81</v>
      </c>
      <c r="J119">
        <v>873.99</v>
      </c>
      <c r="K119">
        <v>877.18</v>
      </c>
      <c r="L119">
        <v>880.37</v>
      </c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</row>
    <row r="120" spans="1:23" x14ac:dyDescent="0.15">
      <c r="A120">
        <v>575</v>
      </c>
      <c r="B120">
        <v>862.27</v>
      </c>
      <c r="C120">
        <v>865.44</v>
      </c>
      <c r="D120">
        <v>868.61</v>
      </c>
      <c r="E120">
        <v>871.78</v>
      </c>
      <c r="F120">
        <v>874.96</v>
      </c>
      <c r="G120">
        <v>878.14</v>
      </c>
      <c r="H120">
        <v>881.32</v>
      </c>
      <c r="I120">
        <v>884.51</v>
      </c>
      <c r="J120">
        <v>887.7</v>
      </c>
      <c r="K120">
        <v>890.9</v>
      </c>
      <c r="L120">
        <v>894.1</v>
      </c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</row>
    <row r="121" spans="1:23" x14ac:dyDescent="0.15">
      <c r="A121">
        <v>580</v>
      </c>
      <c r="B121">
        <v>875.94</v>
      </c>
      <c r="C121">
        <v>879.11</v>
      </c>
      <c r="D121">
        <v>882.3</v>
      </c>
      <c r="E121">
        <v>885.48</v>
      </c>
      <c r="F121">
        <v>888.67</v>
      </c>
      <c r="G121">
        <v>891.86</v>
      </c>
      <c r="H121">
        <v>895.05</v>
      </c>
      <c r="I121">
        <v>898.25</v>
      </c>
      <c r="J121">
        <v>901.45</v>
      </c>
      <c r="K121">
        <v>904.65</v>
      </c>
      <c r="L121">
        <v>907.86</v>
      </c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</row>
    <row r="122" spans="1:23" x14ac:dyDescent="0.15">
      <c r="A122">
        <v>585</v>
      </c>
      <c r="B122">
        <v>889.64</v>
      </c>
      <c r="C122">
        <v>892.83</v>
      </c>
      <c r="D122">
        <v>896.02</v>
      </c>
      <c r="E122">
        <v>899.21</v>
      </c>
      <c r="F122">
        <v>902.41</v>
      </c>
      <c r="G122">
        <v>905.61</v>
      </c>
      <c r="H122">
        <v>908.81</v>
      </c>
      <c r="I122">
        <v>912.02</v>
      </c>
      <c r="J122">
        <v>915.23</v>
      </c>
      <c r="K122">
        <v>918.44</v>
      </c>
      <c r="L122">
        <v>921.66</v>
      </c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</row>
    <row r="123" spans="1:23" x14ac:dyDescent="0.15">
      <c r="A123">
        <v>590</v>
      </c>
      <c r="B123">
        <v>903.38</v>
      </c>
      <c r="C123">
        <v>906.57</v>
      </c>
      <c r="D123">
        <v>909.77</v>
      </c>
      <c r="E123">
        <v>912.97</v>
      </c>
      <c r="F123">
        <v>916.18</v>
      </c>
      <c r="G123">
        <v>919.39</v>
      </c>
      <c r="H123">
        <v>922.6</v>
      </c>
      <c r="I123">
        <v>925.82</v>
      </c>
      <c r="J123">
        <v>929.04</v>
      </c>
      <c r="K123">
        <v>932.26</v>
      </c>
      <c r="L123">
        <v>935.49</v>
      </c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</row>
    <row r="124" spans="1:23" x14ac:dyDescent="0.15">
      <c r="A124">
        <v>595</v>
      </c>
      <c r="B124">
        <v>917.15</v>
      </c>
      <c r="C124">
        <v>920.35</v>
      </c>
      <c r="D124">
        <v>923.56</v>
      </c>
      <c r="E124">
        <v>926.77</v>
      </c>
      <c r="F124">
        <v>929.99</v>
      </c>
      <c r="G124">
        <v>933.21</v>
      </c>
      <c r="H124">
        <v>936.43</v>
      </c>
      <c r="I124">
        <v>939.65</v>
      </c>
      <c r="J124">
        <v>942.88</v>
      </c>
      <c r="K124">
        <v>946.11</v>
      </c>
      <c r="L124">
        <v>949.35</v>
      </c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</row>
    <row r="125" spans="1:23" x14ac:dyDescent="0.15">
      <c r="A125">
        <v>600</v>
      </c>
      <c r="B125">
        <v>930.95</v>
      </c>
      <c r="C125">
        <v>934.16</v>
      </c>
      <c r="D125">
        <v>937.38</v>
      </c>
      <c r="E125">
        <v>940.6</v>
      </c>
      <c r="F125">
        <v>943.83</v>
      </c>
      <c r="G125">
        <v>947.05</v>
      </c>
      <c r="H125">
        <v>950.28</v>
      </c>
      <c r="I125">
        <v>953.52</v>
      </c>
      <c r="J125">
        <v>956.75</v>
      </c>
      <c r="K125">
        <v>959.99</v>
      </c>
      <c r="L125">
        <v>963.24</v>
      </c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</row>
    <row r="126" spans="1:23" x14ac:dyDescent="0.15">
      <c r="A126">
        <v>605</v>
      </c>
      <c r="B126">
        <v>944.78</v>
      </c>
      <c r="C126">
        <v>948.01</v>
      </c>
      <c r="D126">
        <v>951.23</v>
      </c>
      <c r="E126">
        <v>954.46</v>
      </c>
      <c r="F126">
        <v>957.69</v>
      </c>
      <c r="G126">
        <v>960.93</v>
      </c>
      <c r="H126">
        <v>964.17</v>
      </c>
      <c r="I126">
        <v>967.41</v>
      </c>
      <c r="J126">
        <v>970.66</v>
      </c>
      <c r="K126">
        <v>973.91</v>
      </c>
      <c r="L126">
        <v>977.16</v>
      </c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</row>
    <row r="127" spans="1:23" x14ac:dyDescent="0.15">
      <c r="A127">
        <v>610</v>
      </c>
      <c r="B127">
        <v>958.65</v>
      </c>
      <c r="C127">
        <v>961.88</v>
      </c>
      <c r="D127">
        <v>965.11</v>
      </c>
      <c r="E127">
        <v>968.35</v>
      </c>
      <c r="F127">
        <v>971.59</v>
      </c>
      <c r="G127">
        <v>974.84</v>
      </c>
      <c r="H127">
        <v>978.09</v>
      </c>
      <c r="I127">
        <v>981.34</v>
      </c>
      <c r="J127">
        <v>984.59</v>
      </c>
      <c r="K127">
        <v>987.85</v>
      </c>
      <c r="L127">
        <v>991.11</v>
      </c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</row>
    <row r="128" spans="1:23" x14ac:dyDescent="0.15">
      <c r="A128">
        <v>615</v>
      </c>
      <c r="B128">
        <v>972.54</v>
      </c>
      <c r="C128">
        <v>975.78</v>
      </c>
      <c r="D128">
        <v>979.03</v>
      </c>
      <c r="E128">
        <v>982.27</v>
      </c>
      <c r="F128">
        <v>985.52</v>
      </c>
      <c r="G128">
        <v>988.78</v>
      </c>
      <c r="H128">
        <v>992.03</v>
      </c>
      <c r="I128">
        <v>995.29</v>
      </c>
      <c r="J128">
        <v>998.56</v>
      </c>
      <c r="K128">
        <v>1001.82</v>
      </c>
      <c r="L128">
        <v>1005.09</v>
      </c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</row>
    <row r="129" spans="1:23" x14ac:dyDescent="0.15">
      <c r="A129">
        <v>620</v>
      </c>
      <c r="B129">
        <v>986.47</v>
      </c>
      <c r="C129">
        <v>989.72</v>
      </c>
      <c r="D129">
        <v>992.97</v>
      </c>
      <c r="E129">
        <v>996.23</v>
      </c>
      <c r="F129">
        <v>999.48</v>
      </c>
      <c r="G129">
        <v>1002.75</v>
      </c>
      <c r="H129">
        <v>1006.01</v>
      </c>
      <c r="I129">
        <v>1009.28</v>
      </c>
      <c r="J129">
        <v>1012.55</v>
      </c>
      <c r="K129">
        <v>1015.82</v>
      </c>
      <c r="L129">
        <v>1019.1</v>
      </c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</row>
    <row r="130" spans="1:23" x14ac:dyDescent="0.15">
      <c r="A130">
        <v>625</v>
      </c>
      <c r="B130">
        <v>1000.42</v>
      </c>
      <c r="C130">
        <v>1003.68</v>
      </c>
      <c r="D130">
        <v>1006.94</v>
      </c>
      <c r="E130">
        <v>1010.21</v>
      </c>
      <c r="F130">
        <v>1013.47</v>
      </c>
      <c r="G130">
        <v>1016.74</v>
      </c>
      <c r="H130">
        <v>1020.02</v>
      </c>
      <c r="I130">
        <v>1023.29</v>
      </c>
      <c r="J130">
        <v>1026.57</v>
      </c>
      <c r="K130">
        <v>1029.8499999999999</v>
      </c>
      <c r="L130">
        <v>1033.1400000000001</v>
      </c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</row>
    <row r="131" spans="1:23" x14ac:dyDescent="0.15">
      <c r="A131">
        <v>630</v>
      </c>
      <c r="B131">
        <v>1014.41</v>
      </c>
      <c r="C131">
        <v>1017.68</v>
      </c>
      <c r="D131">
        <v>1020.94</v>
      </c>
      <c r="E131">
        <v>1024.22</v>
      </c>
      <c r="F131">
        <v>1027.49</v>
      </c>
      <c r="G131">
        <v>1030.77</v>
      </c>
      <c r="H131">
        <v>1034.05</v>
      </c>
      <c r="I131">
        <v>1037.33</v>
      </c>
      <c r="J131">
        <v>1040.6199999999999</v>
      </c>
      <c r="K131">
        <v>1043.9100000000001</v>
      </c>
      <c r="L131">
        <v>1047.2</v>
      </c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</row>
    <row r="132" spans="1:23" x14ac:dyDescent="0.15">
      <c r="A132">
        <v>635</v>
      </c>
      <c r="B132">
        <v>1028.42</v>
      </c>
      <c r="C132">
        <v>1031.7</v>
      </c>
      <c r="D132">
        <v>1034.97</v>
      </c>
      <c r="E132">
        <v>1038.26</v>
      </c>
      <c r="F132">
        <v>1041.54</v>
      </c>
      <c r="G132">
        <v>1044.82</v>
      </c>
      <c r="H132">
        <v>1048.1099999999999</v>
      </c>
      <c r="I132">
        <v>1051.4000000000001</v>
      </c>
      <c r="J132">
        <v>1054.7</v>
      </c>
      <c r="K132">
        <v>1057.99</v>
      </c>
      <c r="L132">
        <v>1061.29</v>
      </c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</row>
    <row r="133" spans="1:23" x14ac:dyDescent="0.15">
      <c r="A133">
        <v>640</v>
      </c>
      <c r="B133">
        <v>1042.47</v>
      </c>
      <c r="C133">
        <v>1045.75</v>
      </c>
      <c r="D133">
        <v>1049.03</v>
      </c>
      <c r="E133">
        <v>1052.32</v>
      </c>
      <c r="F133">
        <v>1055.6099999999999</v>
      </c>
      <c r="G133">
        <v>1058.9100000000001</v>
      </c>
      <c r="H133">
        <v>1062.2</v>
      </c>
      <c r="I133">
        <v>1065.5</v>
      </c>
      <c r="J133">
        <v>1068.8</v>
      </c>
      <c r="K133">
        <v>1072.1099999999999</v>
      </c>
      <c r="L133">
        <v>1075.42</v>
      </c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</row>
    <row r="134" spans="1:23" x14ac:dyDescent="0.15">
      <c r="A134">
        <v>645</v>
      </c>
      <c r="B134">
        <v>1056.54</v>
      </c>
      <c r="C134">
        <v>1059.83</v>
      </c>
      <c r="D134">
        <v>1063.1199999999999</v>
      </c>
      <c r="E134">
        <v>1066.42</v>
      </c>
      <c r="F134">
        <v>1069.71</v>
      </c>
      <c r="G134">
        <v>1073.02</v>
      </c>
      <c r="H134">
        <v>1076.32</v>
      </c>
      <c r="I134">
        <v>1079.6300000000001</v>
      </c>
      <c r="J134">
        <v>1082.94</v>
      </c>
      <c r="K134">
        <v>1086.25</v>
      </c>
      <c r="L134">
        <v>1089.56</v>
      </c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</row>
    <row r="135" spans="1:23" x14ac:dyDescent="0.15">
      <c r="A135">
        <v>650</v>
      </c>
      <c r="B135">
        <v>1070.6400000000001</v>
      </c>
      <c r="C135">
        <v>1073.93</v>
      </c>
      <c r="D135">
        <v>1077.23</v>
      </c>
      <c r="E135">
        <v>1080.54</v>
      </c>
      <c r="F135">
        <v>1083.8399999999999</v>
      </c>
      <c r="G135">
        <v>1087.1500000000001</v>
      </c>
      <c r="H135">
        <v>1090.46</v>
      </c>
      <c r="I135">
        <v>1093.78</v>
      </c>
      <c r="J135">
        <v>1097.0999999999999</v>
      </c>
      <c r="K135">
        <v>1100.4100000000001</v>
      </c>
      <c r="L135">
        <v>1103.74</v>
      </c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</row>
    <row r="136" spans="1:23" x14ac:dyDescent="0.15">
      <c r="A136">
        <v>655</v>
      </c>
      <c r="B136">
        <v>1084.76</v>
      </c>
      <c r="C136">
        <v>1088.07</v>
      </c>
      <c r="D136">
        <v>1091.3800000000001</v>
      </c>
      <c r="E136">
        <v>1094.69</v>
      </c>
      <c r="F136">
        <v>1098</v>
      </c>
      <c r="G136">
        <v>1101.32</v>
      </c>
      <c r="H136">
        <v>1104.6400000000001</v>
      </c>
      <c r="I136">
        <v>1107.96</v>
      </c>
      <c r="J136">
        <v>1111.28</v>
      </c>
      <c r="K136">
        <v>1114.6099999999999</v>
      </c>
      <c r="L136">
        <v>1117.94</v>
      </c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</row>
    <row r="137" spans="1:23" x14ac:dyDescent="0.15">
      <c r="A137">
        <v>660</v>
      </c>
      <c r="B137">
        <v>1098.9100000000001</v>
      </c>
      <c r="C137">
        <v>1102.23</v>
      </c>
      <c r="D137">
        <v>1105.54</v>
      </c>
      <c r="E137">
        <v>1108.8599999999999</v>
      </c>
      <c r="F137">
        <v>1112.18</v>
      </c>
      <c r="G137">
        <v>1115.51</v>
      </c>
      <c r="H137">
        <v>1118.83</v>
      </c>
      <c r="I137">
        <v>1122.1600000000001</v>
      </c>
      <c r="J137">
        <v>1125.49</v>
      </c>
      <c r="K137">
        <v>1128.83</v>
      </c>
      <c r="L137">
        <v>1132.1600000000001</v>
      </c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</row>
    <row r="138" spans="1:23" x14ac:dyDescent="0.15">
      <c r="A138">
        <v>665</v>
      </c>
      <c r="B138">
        <v>1113.0899999999999</v>
      </c>
      <c r="C138">
        <v>1116.4100000000001</v>
      </c>
      <c r="D138">
        <v>1119.74</v>
      </c>
      <c r="E138">
        <v>1123.06</v>
      </c>
      <c r="F138">
        <v>1126.3900000000001</v>
      </c>
      <c r="G138">
        <v>1129.72</v>
      </c>
      <c r="H138">
        <v>1133.06</v>
      </c>
      <c r="I138">
        <v>1136.3900000000001</v>
      </c>
      <c r="J138">
        <v>1139.73</v>
      </c>
      <c r="K138">
        <v>1143.07</v>
      </c>
      <c r="L138">
        <v>1146.42</v>
      </c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</row>
    <row r="139" spans="1:23" x14ac:dyDescent="0.15">
      <c r="A139">
        <v>670</v>
      </c>
      <c r="B139">
        <v>1127.3</v>
      </c>
      <c r="C139">
        <v>1130.6300000000001</v>
      </c>
      <c r="D139">
        <v>1133.96</v>
      </c>
      <c r="E139">
        <v>1137.29</v>
      </c>
      <c r="F139">
        <v>1140.6300000000001</v>
      </c>
      <c r="G139">
        <v>1143.96</v>
      </c>
      <c r="H139">
        <v>1147.31</v>
      </c>
      <c r="I139">
        <v>1150.6500000000001</v>
      </c>
      <c r="J139">
        <v>1153.99</v>
      </c>
      <c r="K139">
        <v>1157.3399999999999</v>
      </c>
      <c r="L139">
        <v>1160.69</v>
      </c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</row>
    <row r="140" spans="1:23" x14ac:dyDescent="0.15">
      <c r="A140">
        <v>675</v>
      </c>
      <c r="B140">
        <v>1141.53</v>
      </c>
      <c r="C140">
        <v>1144.8699999999999</v>
      </c>
      <c r="D140">
        <v>1148.2</v>
      </c>
      <c r="E140">
        <v>1151.54</v>
      </c>
      <c r="F140">
        <v>1154.8900000000001</v>
      </c>
      <c r="G140">
        <v>1158.23</v>
      </c>
      <c r="H140">
        <v>1161.58</v>
      </c>
      <c r="I140">
        <v>1164.93</v>
      </c>
      <c r="J140">
        <v>1168.28</v>
      </c>
      <c r="K140">
        <v>1171.6400000000001</v>
      </c>
      <c r="L140">
        <v>1174.99</v>
      </c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</row>
    <row r="141" spans="1:23" x14ac:dyDescent="0.15">
      <c r="A141">
        <v>680</v>
      </c>
      <c r="B141">
        <v>1155.79</v>
      </c>
      <c r="C141">
        <v>1159.1300000000001</v>
      </c>
      <c r="D141">
        <v>1162.47</v>
      </c>
      <c r="E141">
        <v>1165.82</v>
      </c>
      <c r="F141">
        <v>1169.17</v>
      </c>
      <c r="G141">
        <v>1172.52</v>
      </c>
      <c r="H141">
        <v>1175.8800000000001</v>
      </c>
      <c r="I141">
        <v>1179.24</v>
      </c>
      <c r="J141">
        <v>1182.5999999999999</v>
      </c>
      <c r="K141">
        <v>1185.96</v>
      </c>
      <c r="L141">
        <v>1189.32</v>
      </c>
    </row>
    <row r="142" spans="1:23" x14ac:dyDescent="0.15">
      <c r="A142">
        <v>685</v>
      </c>
      <c r="B142">
        <v>1170.07</v>
      </c>
      <c r="C142">
        <v>1173.42</v>
      </c>
      <c r="D142">
        <v>1176.77</v>
      </c>
      <c r="E142">
        <v>1180.1300000000001</v>
      </c>
      <c r="F142">
        <v>1183.48</v>
      </c>
      <c r="G142">
        <v>1186.8399999999999</v>
      </c>
      <c r="H142">
        <v>1190.2</v>
      </c>
      <c r="I142">
        <v>1193.57</v>
      </c>
      <c r="J142">
        <v>1196.93</v>
      </c>
      <c r="K142">
        <v>1200.3</v>
      </c>
      <c r="L142">
        <v>1203.67</v>
      </c>
    </row>
    <row r="143" spans="1:23" x14ac:dyDescent="0.15">
      <c r="A143">
        <v>690</v>
      </c>
      <c r="B143">
        <v>1184.3800000000001</v>
      </c>
      <c r="C143">
        <v>1187.73</v>
      </c>
      <c r="D143">
        <v>1191.0899999999999</v>
      </c>
      <c r="E143">
        <v>1194.45</v>
      </c>
      <c r="F143">
        <v>1197.82</v>
      </c>
      <c r="G143">
        <v>1201.18</v>
      </c>
      <c r="H143">
        <v>1204.55</v>
      </c>
      <c r="I143">
        <v>1207.92</v>
      </c>
      <c r="J143">
        <v>1211.29</v>
      </c>
      <c r="K143">
        <v>1214.67</v>
      </c>
      <c r="L143">
        <v>1218.05</v>
      </c>
    </row>
    <row r="144" spans="1:23" x14ac:dyDescent="0.15">
      <c r="A144">
        <v>695</v>
      </c>
      <c r="B144">
        <v>1198.71</v>
      </c>
      <c r="C144">
        <v>1202.07</v>
      </c>
      <c r="D144">
        <v>1205.44</v>
      </c>
      <c r="E144">
        <v>1208.8</v>
      </c>
      <c r="F144">
        <v>1212.18</v>
      </c>
      <c r="G144">
        <v>1215.55</v>
      </c>
      <c r="H144">
        <v>1218.92</v>
      </c>
      <c r="I144">
        <v>1222.3</v>
      </c>
      <c r="J144">
        <v>1225.68</v>
      </c>
      <c r="K144">
        <v>1229.06</v>
      </c>
      <c r="L144">
        <v>1232.45</v>
      </c>
    </row>
    <row r="145" spans="1:12" x14ac:dyDescent="0.15">
      <c r="A145">
        <v>700</v>
      </c>
      <c r="B145">
        <v>1213.06</v>
      </c>
      <c r="C145">
        <v>1216.43</v>
      </c>
      <c r="D145">
        <v>1219.81</v>
      </c>
      <c r="E145">
        <v>1223.18</v>
      </c>
      <c r="F145">
        <v>1226.56</v>
      </c>
      <c r="G145">
        <v>1229.94</v>
      </c>
      <c r="H145">
        <v>1233.32</v>
      </c>
      <c r="I145">
        <v>1236.7</v>
      </c>
      <c r="J145">
        <v>1240.0899999999999</v>
      </c>
      <c r="K145">
        <v>1243.48</v>
      </c>
      <c r="L145">
        <v>1246.8699999999999</v>
      </c>
    </row>
    <row r="146" spans="1:12" x14ac:dyDescent="0.15">
      <c r="A146">
        <v>705</v>
      </c>
      <c r="B146">
        <v>1227.44</v>
      </c>
      <c r="C146">
        <v>1230.82</v>
      </c>
      <c r="D146">
        <v>1234.2</v>
      </c>
      <c r="E146">
        <v>1237.58</v>
      </c>
      <c r="F146">
        <v>1240.96</v>
      </c>
      <c r="G146">
        <v>1244.3499999999999</v>
      </c>
      <c r="H146">
        <v>1247.74</v>
      </c>
      <c r="I146">
        <v>1251.1300000000001</v>
      </c>
      <c r="J146">
        <v>1254.52</v>
      </c>
      <c r="K146">
        <v>1257.8499999999999</v>
      </c>
      <c r="L146">
        <v>1261.04</v>
      </c>
    </row>
    <row r="147" spans="1:12" x14ac:dyDescent="0.15">
      <c r="A147">
        <v>710</v>
      </c>
      <c r="B147">
        <v>1241.8499999999999</v>
      </c>
      <c r="C147">
        <v>1245.23</v>
      </c>
      <c r="D147">
        <v>1248.6199999999999</v>
      </c>
      <c r="E147">
        <v>1252</v>
      </c>
      <c r="F147">
        <v>1255.3900000000001</v>
      </c>
      <c r="G147">
        <v>1258.79</v>
      </c>
      <c r="H147">
        <v>1262.18</v>
      </c>
      <c r="I147">
        <v>1265.51</v>
      </c>
      <c r="J147">
        <v>1268.49</v>
      </c>
      <c r="K147">
        <v>1271.19</v>
      </c>
      <c r="L147">
        <v>1273.71</v>
      </c>
    </row>
    <row r="148" spans="1:12" x14ac:dyDescent="0.15">
      <c r="A148">
        <v>715</v>
      </c>
      <c r="B148">
        <v>1256.27</v>
      </c>
      <c r="C148">
        <v>1259.6600000000001</v>
      </c>
      <c r="D148">
        <v>1263.06</v>
      </c>
      <c r="E148">
        <v>1266.45</v>
      </c>
      <c r="F148">
        <v>1269.8499999999999</v>
      </c>
      <c r="G148">
        <v>1273.18</v>
      </c>
      <c r="H148">
        <v>1275.92</v>
      </c>
      <c r="I148">
        <v>1278.45</v>
      </c>
      <c r="J148">
        <v>1280.7</v>
      </c>
      <c r="K148">
        <v>1282.9100000000001</v>
      </c>
      <c r="L148">
        <v>1285.1099999999999</v>
      </c>
    </row>
    <row r="149" spans="1:12" x14ac:dyDescent="0.15">
      <c r="A149">
        <v>720</v>
      </c>
      <c r="B149">
        <v>1270.72</v>
      </c>
      <c r="C149">
        <v>1274.1199999999999</v>
      </c>
      <c r="D149">
        <v>1277.52</v>
      </c>
      <c r="E149">
        <v>1280.6600000000001</v>
      </c>
      <c r="F149">
        <v>1282.8900000000001</v>
      </c>
      <c r="G149">
        <v>1285.2</v>
      </c>
      <c r="H149">
        <v>1287.1199999999999</v>
      </c>
      <c r="I149">
        <v>1288.78</v>
      </c>
      <c r="J149">
        <v>1290.46</v>
      </c>
      <c r="K149">
        <v>1292.1400000000001</v>
      </c>
      <c r="L149">
        <v>1293.83</v>
      </c>
    </row>
    <row r="150" spans="1:12" x14ac:dyDescent="0.15">
      <c r="A150">
        <v>725</v>
      </c>
      <c r="B150">
        <v>1281.78</v>
      </c>
      <c r="C150">
        <v>1283.75</v>
      </c>
      <c r="D150">
        <v>1285.48</v>
      </c>
      <c r="E150">
        <v>1287.21</v>
      </c>
      <c r="F150">
        <v>1288.95</v>
      </c>
      <c r="G150">
        <v>1290.69</v>
      </c>
      <c r="H150">
        <v>1292.43</v>
      </c>
      <c r="I150">
        <v>1294.17</v>
      </c>
      <c r="J150">
        <v>1295.92</v>
      </c>
      <c r="K150">
        <v>1297.6600000000001</v>
      </c>
      <c r="L150">
        <v>1299.4100000000001</v>
      </c>
    </row>
    <row r="151" spans="1:12" x14ac:dyDescent="0.15">
      <c r="A151">
        <v>730</v>
      </c>
      <c r="B151">
        <v>1287.3499999999999</v>
      </c>
      <c r="C151">
        <v>1289.08</v>
      </c>
      <c r="D151">
        <v>1290.82</v>
      </c>
      <c r="E151">
        <v>1292.56</v>
      </c>
      <c r="F151">
        <v>1294.3</v>
      </c>
      <c r="G151">
        <v>1296.05</v>
      </c>
      <c r="H151">
        <v>1297.79</v>
      </c>
      <c r="I151">
        <v>1299.54</v>
      </c>
      <c r="J151">
        <v>1301.29</v>
      </c>
      <c r="K151">
        <v>1303.05</v>
      </c>
      <c r="L151">
        <v>1304.8</v>
      </c>
    </row>
    <row r="152" spans="1:12" x14ac:dyDescent="0.15">
      <c r="A152">
        <v>735</v>
      </c>
      <c r="B152">
        <v>1292.69</v>
      </c>
      <c r="C152">
        <v>1294.43</v>
      </c>
      <c r="D152">
        <v>1296.18</v>
      </c>
      <c r="E152">
        <v>1297.92</v>
      </c>
      <c r="F152">
        <v>1299.67</v>
      </c>
      <c r="G152">
        <v>1301.42</v>
      </c>
      <c r="H152">
        <v>1303.18</v>
      </c>
      <c r="I152">
        <v>1304.93</v>
      </c>
      <c r="J152">
        <v>1306.69</v>
      </c>
      <c r="K152">
        <v>1308.44</v>
      </c>
      <c r="L152">
        <v>1310.2</v>
      </c>
    </row>
    <row r="153" spans="1:12" x14ac:dyDescent="0.15">
      <c r="A153">
        <v>740</v>
      </c>
      <c r="B153">
        <v>1298.06</v>
      </c>
      <c r="C153">
        <v>1299.8</v>
      </c>
      <c r="D153">
        <v>1301.55</v>
      </c>
      <c r="E153">
        <v>1303.31</v>
      </c>
      <c r="F153">
        <v>1305.06</v>
      </c>
      <c r="G153">
        <v>1306.81</v>
      </c>
      <c r="H153">
        <v>1308.57</v>
      </c>
      <c r="I153">
        <v>1310.33</v>
      </c>
      <c r="J153">
        <v>1312.09</v>
      </c>
      <c r="K153">
        <v>1313.86</v>
      </c>
      <c r="L153">
        <v>1315.62</v>
      </c>
    </row>
    <row r="154" spans="1:12" x14ac:dyDescent="0.15">
      <c r="A154">
        <v>745</v>
      </c>
      <c r="B154">
        <v>1303.44</v>
      </c>
      <c r="C154">
        <v>1305.19</v>
      </c>
      <c r="D154">
        <v>1306.94</v>
      </c>
      <c r="E154">
        <v>1308.7</v>
      </c>
      <c r="F154">
        <v>1310.46</v>
      </c>
      <c r="G154">
        <v>1312.22</v>
      </c>
      <c r="H154">
        <v>1313.99</v>
      </c>
      <c r="I154">
        <v>1315.75</v>
      </c>
      <c r="J154">
        <v>1317.52</v>
      </c>
      <c r="K154">
        <v>1319.29</v>
      </c>
      <c r="L154">
        <v>1321.06</v>
      </c>
    </row>
    <row r="155" spans="1:12" x14ac:dyDescent="0.15">
      <c r="A155">
        <v>750</v>
      </c>
      <c r="B155">
        <v>1308.83</v>
      </c>
      <c r="C155">
        <v>1310.5899999999999</v>
      </c>
      <c r="D155">
        <v>1312.35</v>
      </c>
      <c r="E155">
        <v>1314.11</v>
      </c>
      <c r="F155">
        <v>1315.88</v>
      </c>
      <c r="G155">
        <v>1317.65</v>
      </c>
      <c r="H155">
        <v>1319.41</v>
      </c>
      <c r="I155">
        <v>1321.18</v>
      </c>
      <c r="J155">
        <v>1322.96</v>
      </c>
      <c r="K155">
        <v>1324.73</v>
      </c>
      <c r="L155">
        <v>1326.51</v>
      </c>
    </row>
    <row r="156" spans="1:12" x14ac:dyDescent="0.15">
      <c r="A156">
        <v>755</v>
      </c>
      <c r="B156">
        <v>1314.24</v>
      </c>
      <c r="C156">
        <v>1316.01</v>
      </c>
      <c r="D156">
        <v>1317.77</v>
      </c>
      <c r="E156">
        <v>1319.54</v>
      </c>
      <c r="F156">
        <v>1321.31</v>
      </c>
      <c r="G156">
        <v>1323.08</v>
      </c>
      <c r="H156">
        <v>1324.86</v>
      </c>
      <c r="I156">
        <v>1326.63</v>
      </c>
      <c r="J156">
        <v>1328.41</v>
      </c>
      <c r="K156">
        <v>1330.19</v>
      </c>
      <c r="L156">
        <v>1331.97</v>
      </c>
    </row>
    <row r="157" spans="1:12" x14ac:dyDescent="0.15">
      <c r="A157">
        <v>760</v>
      </c>
      <c r="B157">
        <v>1319.67</v>
      </c>
      <c r="C157">
        <v>1321.44</v>
      </c>
      <c r="D157">
        <v>1323.21</v>
      </c>
      <c r="E157">
        <v>1324.99</v>
      </c>
      <c r="F157">
        <v>1326.76</v>
      </c>
      <c r="G157">
        <v>1328.54</v>
      </c>
      <c r="H157">
        <v>1330.32</v>
      </c>
      <c r="I157">
        <v>1332.1</v>
      </c>
      <c r="J157">
        <v>1333.88</v>
      </c>
      <c r="K157">
        <v>1335.66</v>
      </c>
      <c r="L157">
        <v>1337.45</v>
      </c>
    </row>
    <row r="158" spans="1:12" x14ac:dyDescent="0.15">
      <c r="A158">
        <v>765</v>
      </c>
      <c r="B158">
        <v>1325.11</v>
      </c>
      <c r="C158">
        <v>1326.89</v>
      </c>
      <c r="D158">
        <v>1328.67</v>
      </c>
      <c r="E158">
        <v>1330.44</v>
      </c>
      <c r="F158">
        <v>1332.22</v>
      </c>
      <c r="G158">
        <v>1334.01</v>
      </c>
      <c r="H158">
        <v>1335.79</v>
      </c>
      <c r="I158">
        <v>1337.58</v>
      </c>
      <c r="J158">
        <v>1339.36</v>
      </c>
      <c r="K158">
        <v>1341.15</v>
      </c>
      <c r="L158">
        <v>1342.95</v>
      </c>
    </row>
    <row r="159" spans="1:12" x14ac:dyDescent="0.15">
      <c r="A159">
        <v>770</v>
      </c>
      <c r="B159">
        <v>1330.57</v>
      </c>
      <c r="C159">
        <v>1332.35</v>
      </c>
      <c r="D159">
        <v>1334.13</v>
      </c>
      <c r="E159">
        <v>1335.92</v>
      </c>
      <c r="F159">
        <v>1337.7</v>
      </c>
      <c r="G159">
        <v>1339.49</v>
      </c>
      <c r="H159">
        <v>1341.28</v>
      </c>
      <c r="I159">
        <v>1343.07</v>
      </c>
      <c r="J159">
        <v>1344.86</v>
      </c>
      <c r="K159">
        <v>1346.66</v>
      </c>
      <c r="L159">
        <v>1348.45</v>
      </c>
    </row>
    <row r="160" spans="1:12" x14ac:dyDescent="0.15">
      <c r="A160">
        <v>775</v>
      </c>
      <c r="B160">
        <v>1336.05</v>
      </c>
      <c r="C160">
        <v>1337.83</v>
      </c>
      <c r="D160">
        <v>1339.62</v>
      </c>
      <c r="E160">
        <v>1341.41</v>
      </c>
      <c r="F160">
        <v>1343.2</v>
      </c>
      <c r="G160">
        <v>1344.99</v>
      </c>
      <c r="H160">
        <v>1346.78</v>
      </c>
      <c r="I160">
        <v>1348.58</v>
      </c>
      <c r="J160">
        <v>1350.38</v>
      </c>
      <c r="K160">
        <v>1352.18</v>
      </c>
      <c r="L160">
        <v>1353.98</v>
      </c>
    </row>
    <row r="161" spans="1:12" x14ac:dyDescent="0.15">
      <c r="A161">
        <v>780</v>
      </c>
      <c r="B161">
        <v>1341.53</v>
      </c>
      <c r="C161">
        <v>1343.32</v>
      </c>
      <c r="D161">
        <v>1345.11</v>
      </c>
      <c r="E161">
        <v>1346.91</v>
      </c>
      <c r="F161">
        <v>1348.7</v>
      </c>
      <c r="G161">
        <v>1350.5</v>
      </c>
      <c r="H161">
        <v>1352.3</v>
      </c>
      <c r="I161">
        <v>1354.1</v>
      </c>
      <c r="J161">
        <v>1355.9</v>
      </c>
      <c r="K161">
        <v>1357.71</v>
      </c>
      <c r="L161">
        <v>1359.51</v>
      </c>
    </row>
    <row r="162" spans="1:12" x14ac:dyDescent="0.15">
      <c r="A162">
        <v>785</v>
      </c>
      <c r="B162">
        <v>1347.04</v>
      </c>
      <c r="C162">
        <v>1348.83</v>
      </c>
      <c r="D162">
        <v>1350.63</v>
      </c>
      <c r="E162">
        <v>1352.43</v>
      </c>
      <c r="F162">
        <v>1354.23</v>
      </c>
      <c r="G162">
        <v>1356.03</v>
      </c>
      <c r="H162">
        <v>1357.83</v>
      </c>
      <c r="I162">
        <v>1359.64</v>
      </c>
      <c r="J162">
        <v>1361.45</v>
      </c>
      <c r="K162">
        <v>1363.25</v>
      </c>
      <c r="L162">
        <v>1365.07</v>
      </c>
    </row>
    <row r="163" spans="1:12" x14ac:dyDescent="0.15">
      <c r="A163">
        <v>790</v>
      </c>
      <c r="B163">
        <v>1352.55</v>
      </c>
      <c r="C163">
        <v>1354.35</v>
      </c>
      <c r="D163">
        <v>1356.15</v>
      </c>
      <c r="E163">
        <v>1357.96</v>
      </c>
      <c r="F163">
        <v>1359.76</v>
      </c>
      <c r="G163">
        <v>1361.57</v>
      </c>
      <c r="H163">
        <v>1363.38</v>
      </c>
      <c r="I163">
        <v>1365.19</v>
      </c>
      <c r="J163">
        <v>1367</v>
      </c>
      <c r="K163">
        <v>1368.82</v>
      </c>
      <c r="L163">
        <v>1370.63</v>
      </c>
    </row>
    <row r="164" spans="1:12" x14ac:dyDescent="0.15">
      <c r="A164">
        <v>795</v>
      </c>
      <c r="B164">
        <v>1358.08</v>
      </c>
      <c r="C164">
        <v>1359.89</v>
      </c>
      <c r="D164">
        <v>1361.69</v>
      </c>
      <c r="E164">
        <v>1363.5</v>
      </c>
      <c r="F164">
        <v>1365.31</v>
      </c>
      <c r="G164">
        <v>1367.12</v>
      </c>
      <c r="H164">
        <v>1368.94</v>
      </c>
      <c r="I164">
        <v>1370.75</v>
      </c>
      <c r="J164">
        <v>1372.57</v>
      </c>
      <c r="K164">
        <v>1374.39</v>
      </c>
      <c r="L164">
        <v>1376.21</v>
      </c>
    </row>
    <row r="165" spans="1:12" x14ac:dyDescent="0.15">
      <c r="A165">
        <v>800</v>
      </c>
      <c r="B165">
        <v>1363.63</v>
      </c>
      <c r="C165">
        <v>1365.44</v>
      </c>
      <c r="D165">
        <v>1367.25</v>
      </c>
      <c r="E165">
        <v>1369.06</v>
      </c>
      <c r="F165">
        <v>1370.88</v>
      </c>
      <c r="G165">
        <v>1372.69</v>
      </c>
      <c r="H165">
        <v>1374.51</v>
      </c>
      <c r="I165">
        <v>1376.33</v>
      </c>
      <c r="J165">
        <v>1378.15</v>
      </c>
      <c r="K165">
        <v>1379.98</v>
      </c>
      <c r="L165">
        <v>1381.8</v>
      </c>
    </row>
    <row r="166" spans="1:12" x14ac:dyDescent="0.15">
      <c r="A166">
        <v>805</v>
      </c>
      <c r="B166">
        <v>1369.19</v>
      </c>
      <c r="C166">
        <v>1371</v>
      </c>
      <c r="D166">
        <v>1372.82</v>
      </c>
      <c r="E166">
        <v>1374.64</v>
      </c>
      <c r="F166">
        <v>1376.46</v>
      </c>
      <c r="G166">
        <v>1378.28</v>
      </c>
      <c r="H166">
        <v>1380.1</v>
      </c>
      <c r="I166">
        <v>1381.92</v>
      </c>
      <c r="J166">
        <v>1383.75</v>
      </c>
      <c r="K166">
        <v>1385.58</v>
      </c>
      <c r="L166">
        <v>1387.41</v>
      </c>
    </row>
    <row r="167" spans="1:12" x14ac:dyDescent="0.15">
      <c r="A167">
        <v>810</v>
      </c>
      <c r="B167">
        <v>1374.76</v>
      </c>
      <c r="C167">
        <v>1376.58</v>
      </c>
      <c r="D167">
        <v>1378.4</v>
      </c>
      <c r="E167">
        <v>1380.22</v>
      </c>
      <c r="F167">
        <v>1382.05</v>
      </c>
      <c r="G167">
        <v>1383.87</v>
      </c>
      <c r="H167">
        <v>1385.7</v>
      </c>
      <c r="I167">
        <v>1387.53</v>
      </c>
      <c r="J167">
        <v>1389.36</v>
      </c>
      <c r="K167">
        <v>1391.19</v>
      </c>
      <c r="L167">
        <v>1393.03</v>
      </c>
    </row>
    <row r="168" spans="1:12" x14ac:dyDescent="0.15">
      <c r="A168">
        <v>815</v>
      </c>
      <c r="B168">
        <v>1380.35</v>
      </c>
      <c r="C168">
        <v>1382.17</v>
      </c>
      <c r="D168">
        <v>1384</v>
      </c>
      <c r="E168">
        <v>1385.82</v>
      </c>
      <c r="F168">
        <v>1387.65</v>
      </c>
      <c r="G168">
        <v>1389.48</v>
      </c>
      <c r="H168">
        <v>1391.32</v>
      </c>
      <c r="I168">
        <v>1393.15</v>
      </c>
      <c r="J168">
        <v>1394.99</v>
      </c>
      <c r="K168">
        <v>1396.82</v>
      </c>
      <c r="L168">
        <v>1398.66</v>
      </c>
    </row>
    <row r="169" spans="1:12" x14ac:dyDescent="0.15">
      <c r="A169">
        <v>820</v>
      </c>
      <c r="B169">
        <v>1385.95</v>
      </c>
      <c r="C169">
        <v>1387.78</v>
      </c>
      <c r="D169">
        <v>1389.61</v>
      </c>
      <c r="E169">
        <v>1391.44</v>
      </c>
      <c r="F169">
        <v>1393.27</v>
      </c>
      <c r="G169">
        <v>1395.11</v>
      </c>
      <c r="H169">
        <v>1396.94</v>
      </c>
      <c r="I169">
        <v>1398.78</v>
      </c>
      <c r="J169">
        <v>1400.62</v>
      </c>
      <c r="K169">
        <v>1402.46</v>
      </c>
      <c r="L169">
        <v>1404.31</v>
      </c>
    </row>
    <row r="170" spans="1:12" x14ac:dyDescent="0.15">
      <c r="A170">
        <v>825</v>
      </c>
      <c r="B170">
        <v>1391.56</v>
      </c>
      <c r="C170">
        <v>1393.39</v>
      </c>
      <c r="D170">
        <v>1395.23</v>
      </c>
      <c r="E170">
        <v>1397.07</v>
      </c>
      <c r="F170">
        <v>1398.9</v>
      </c>
      <c r="G170">
        <v>1400.74</v>
      </c>
      <c r="H170">
        <v>1402.58</v>
      </c>
      <c r="I170">
        <v>1404.43</v>
      </c>
      <c r="J170">
        <v>1406.27</v>
      </c>
      <c r="K170">
        <v>1408.12</v>
      </c>
      <c r="L170">
        <v>1409.97</v>
      </c>
    </row>
    <row r="171" spans="1:12" x14ac:dyDescent="0.15">
      <c r="A171">
        <v>830</v>
      </c>
      <c r="B171">
        <v>1397.19</v>
      </c>
      <c r="C171">
        <v>1399.03</v>
      </c>
      <c r="D171">
        <v>1400.87</v>
      </c>
      <c r="E171">
        <v>1402.71</v>
      </c>
      <c r="F171">
        <v>1404.55</v>
      </c>
      <c r="G171">
        <v>1406.39</v>
      </c>
      <c r="H171">
        <v>1408.24</v>
      </c>
      <c r="I171">
        <v>1410.09</v>
      </c>
      <c r="J171">
        <v>1411.94</v>
      </c>
      <c r="K171">
        <v>1413.79</v>
      </c>
      <c r="L171">
        <v>1415.64</v>
      </c>
    </row>
    <row r="172" spans="1:12" x14ac:dyDescent="0.15">
      <c r="A172">
        <v>835</v>
      </c>
      <c r="B172">
        <v>1402.83</v>
      </c>
      <c r="C172">
        <v>1404.67</v>
      </c>
      <c r="D172">
        <v>1406.51</v>
      </c>
      <c r="E172">
        <v>1408.36</v>
      </c>
      <c r="F172">
        <v>1410.21</v>
      </c>
      <c r="G172">
        <v>1412.06</v>
      </c>
      <c r="H172">
        <v>1413.91</v>
      </c>
      <c r="I172">
        <v>1415.76</v>
      </c>
      <c r="J172">
        <v>1417.61</v>
      </c>
      <c r="K172">
        <v>1419.47</v>
      </c>
      <c r="L172">
        <v>1421.32</v>
      </c>
    </row>
    <row r="173" spans="1:12" x14ac:dyDescent="0.15">
      <c r="A173">
        <v>840</v>
      </c>
      <c r="B173">
        <v>1408.48</v>
      </c>
      <c r="C173">
        <v>1410.33</v>
      </c>
      <c r="D173">
        <v>1412.18</v>
      </c>
      <c r="E173">
        <v>1414.03</v>
      </c>
      <c r="F173">
        <v>1415.88</v>
      </c>
      <c r="G173">
        <v>1417.73</v>
      </c>
      <c r="H173">
        <v>1419.59</v>
      </c>
      <c r="I173">
        <v>1421.44</v>
      </c>
      <c r="J173">
        <v>1423.3</v>
      </c>
      <c r="K173">
        <v>1425.16</v>
      </c>
      <c r="L173">
        <v>1427.02</v>
      </c>
    </row>
    <row r="174" spans="1:12" x14ac:dyDescent="0.15">
      <c r="A174">
        <v>845</v>
      </c>
      <c r="B174">
        <v>1414.15</v>
      </c>
      <c r="C174">
        <v>1416</v>
      </c>
      <c r="D174">
        <v>1417.85</v>
      </c>
      <c r="E174">
        <v>1419.71</v>
      </c>
      <c r="F174">
        <v>1421.56</v>
      </c>
      <c r="G174">
        <v>1423.42</v>
      </c>
      <c r="H174">
        <v>1425.28</v>
      </c>
      <c r="I174">
        <v>1427.14</v>
      </c>
      <c r="J174">
        <v>1429</v>
      </c>
      <c r="K174">
        <v>1430.87</v>
      </c>
      <c r="L174">
        <v>1432.73</v>
      </c>
    </row>
    <row r="175" spans="1:12" x14ac:dyDescent="0.15">
      <c r="A175">
        <v>850</v>
      </c>
      <c r="B175">
        <v>1419.83</v>
      </c>
      <c r="C175">
        <v>1421.68</v>
      </c>
      <c r="D175">
        <v>1423.54</v>
      </c>
      <c r="E175">
        <v>1425.4</v>
      </c>
      <c r="F175">
        <v>1427.26</v>
      </c>
      <c r="G175">
        <v>1429.12</v>
      </c>
      <c r="H175">
        <v>1430.98</v>
      </c>
      <c r="I175">
        <v>1432.85</v>
      </c>
      <c r="J175">
        <v>1434.72</v>
      </c>
      <c r="K175">
        <v>1436.58</v>
      </c>
      <c r="L175">
        <v>1438.45</v>
      </c>
    </row>
    <row r="176" spans="1:12" x14ac:dyDescent="0.15">
      <c r="A176">
        <v>855</v>
      </c>
      <c r="B176">
        <v>1425.52</v>
      </c>
      <c r="C176">
        <v>1427.38</v>
      </c>
      <c r="D176">
        <v>1429.24</v>
      </c>
      <c r="E176">
        <v>1431.1</v>
      </c>
      <c r="F176">
        <v>1432.97</v>
      </c>
      <c r="G176">
        <v>1434.83</v>
      </c>
      <c r="H176">
        <v>1436.7</v>
      </c>
      <c r="I176">
        <v>1438.57</v>
      </c>
      <c r="J176">
        <v>1440.44</v>
      </c>
      <c r="K176">
        <v>1442.31</v>
      </c>
      <c r="L176">
        <v>1444.19</v>
      </c>
    </row>
    <row r="177" spans="1:12" x14ac:dyDescent="0.15">
      <c r="A177">
        <v>860</v>
      </c>
      <c r="B177">
        <v>1431.22</v>
      </c>
      <c r="C177">
        <v>1433.09</v>
      </c>
      <c r="D177">
        <v>1434.95</v>
      </c>
      <c r="E177">
        <v>1436.82</v>
      </c>
      <c r="F177">
        <v>1438.69</v>
      </c>
      <c r="G177">
        <v>1440.56</v>
      </c>
      <c r="H177">
        <v>1442.43</v>
      </c>
      <c r="I177">
        <v>1444.31</v>
      </c>
      <c r="J177">
        <v>1446.18</v>
      </c>
      <c r="K177">
        <v>1448.06</v>
      </c>
      <c r="L177">
        <v>1449.94</v>
      </c>
    </row>
    <row r="178" spans="1:12" x14ac:dyDescent="0.15">
      <c r="A178">
        <v>865</v>
      </c>
      <c r="B178">
        <v>1436.94</v>
      </c>
      <c r="C178">
        <v>1438.81</v>
      </c>
      <c r="D178">
        <v>1440.68</v>
      </c>
      <c r="E178">
        <v>1442.55</v>
      </c>
      <c r="F178">
        <v>1444.42</v>
      </c>
      <c r="G178">
        <v>1446.3</v>
      </c>
      <c r="H178">
        <v>1448.17</v>
      </c>
      <c r="I178">
        <v>1450.05</v>
      </c>
      <c r="J178">
        <v>1451.93</v>
      </c>
      <c r="K178">
        <v>1453.81</v>
      </c>
      <c r="L178">
        <v>1455.69</v>
      </c>
    </row>
    <row r="179" spans="1:12" x14ac:dyDescent="0.15">
      <c r="A179">
        <v>870</v>
      </c>
      <c r="B179">
        <v>1442.67</v>
      </c>
      <c r="C179">
        <v>1444.54</v>
      </c>
      <c r="D179">
        <v>1446.42</v>
      </c>
      <c r="E179">
        <v>1448.29</v>
      </c>
      <c r="F179">
        <v>1450.17</v>
      </c>
      <c r="G179">
        <v>1452.05</v>
      </c>
      <c r="H179">
        <v>1453.93</v>
      </c>
      <c r="I179">
        <v>1455.81</v>
      </c>
      <c r="J179">
        <v>1457.69</v>
      </c>
      <c r="K179">
        <v>1459.58</v>
      </c>
      <c r="L179">
        <v>1461.47</v>
      </c>
    </row>
    <row r="180" spans="1:12" x14ac:dyDescent="0.15">
      <c r="A180">
        <v>875</v>
      </c>
      <c r="B180">
        <v>1448.41</v>
      </c>
      <c r="C180">
        <v>1450.29</v>
      </c>
      <c r="D180">
        <v>1452.17</v>
      </c>
      <c r="E180">
        <v>1454.05</v>
      </c>
      <c r="F180">
        <v>1455.93</v>
      </c>
      <c r="G180">
        <v>1457.81</v>
      </c>
      <c r="H180">
        <v>1459.7</v>
      </c>
      <c r="I180">
        <v>1461.58</v>
      </c>
      <c r="J180">
        <v>1463.47</v>
      </c>
      <c r="K180">
        <v>1465.36</v>
      </c>
      <c r="L180">
        <v>1467.25</v>
      </c>
    </row>
    <row r="181" spans="1:12" x14ac:dyDescent="0.15">
      <c r="A181">
        <v>880</v>
      </c>
      <c r="B181">
        <v>1454.16</v>
      </c>
      <c r="C181">
        <v>1456.05</v>
      </c>
      <c r="D181">
        <v>1457.93</v>
      </c>
      <c r="E181">
        <v>1459.81</v>
      </c>
      <c r="F181">
        <v>1461.7</v>
      </c>
      <c r="G181">
        <v>1463.59</v>
      </c>
      <c r="H181">
        <v>1465.47</v>
      </c>
      <c r="I181">
        <v>1467.36</v>
      </c>
      <c r="J181">
        <v>1469.26</v>
      </c>
      <c r="K181">
        <v>1471.15</v>
      </c>
      <c r="L181">
        <v>1473.04</v>
      </c>
    </row>
    <row r="182" spans="1:12" x14ac:dyDescent="0.15">
      <c r="A182">
        <v>885</v>
      </c>
      <c r="B182">
        <v>1459.93</v>
      </c>
      <c r="C182">
        <v>1461.82</v>
      </c>
      <c r="D182">
        <v>1463.7</v>
      </c>
      <c r="E182">
        <v>1465.59</v>
      </c>
      <c r="F182">
        <v>1467.48</v>
      </c>
      <c r="G182">
        <v>1469.37</v>
      </c>
      <c r="H182">
        <v>1471.26</v>
      </c>
      <c r="I182">
        <v>1473.16</v>
      </c>
      <c r="J182">
        <v>1475.05</v>
      </c>
      <c r="K182">
        <v>1476.95</v>
      </c>
      <c r="L182">
        <v>1478.85</v>
      </c>
    </row>
    <row r="183" spans="1:12" x14ac:dyDescent="0.15">
      <c r="A183">
        <v>890</v>
      </c>
      <c r="B183">
        <v>1465.71</v>
      </c>
      <c r="C183">
        <v>1467.6</v>
      </c>
      <c r="D183">
        <v>1469.49</v>
      </c>
      <c r="E183">
        <v>1471.38</v>
      </c>
      <c r="F183">
        <v>1473.27</v>
      </c>
      <c r="G183">
        <v>1475.17</v>
      </c>
      <c r="H183">
        <v>1477.07</v>
      </c>
      <c r="I183">
        <v>1478.96</v>
      </c>
      <c r="J183">
        <v>1480.86</v>
      </c>
      <c r="K183">
        <v>1482.77</v>
      </c>
      <c r="L183">
        <v>1484.67</v>
      </c>
    </row>
    <row r="184" spans="1:12" x14ac:dyDescent="0.15">
      <c r="A184">
        <v>895</v>
      </c>
      <c r="B184">
        <v>1471.5</v>
      </c>
      <c r="C184">
        <v>1473.39</v>
      </c>
      <c r="D184">
        <v>1475.29</v>
      </c>
      <c r="E184">
        <v>1477.18</v>
      </c>
      <c r="F184">
        <v>1479.08</v>
      </c>
      <c r="G184">
        <v>1480.98</v>
      </c>
      <c r="H184">
        <v>1482.88</v>
      </c>
      <c r="I184">
        <v>1484.78</v>
      </c>
      <c r="J184">
        <v>1486.69</v>
      </c>
      <c r="K184">
        <v>1488.59</v>
      </c>
      <c r="L184">
        <v>1490.5</v>
      </c>
    </row>
    <row r="185" spans="1:12" x14ac:dyDescent="0.15">
      <c r="A185">
        <v>900</v>
      </c>
      <c r="B185">
        <v>1477.3</v>
      </c>
      <c r="C185">
        <v>1479.2</v>
      </c>
      <c r="D185">
        <v>1481.1</v>
      </c>
      <c r="E185">
        <v>1483</v>
      </c>
      <c r="F185">
        <v>1484.9</v>
      </c>
      <c r="G185">
        <v>1486.8</v>
      </c>
      <c r="H185">
        <v>1488.71</v>
      </c>
      <c r="I185">
        <v>1490.61</v>
      </c>
      <c r="J185">
        <v>1492.52</v>
      </c>
      <c r="K185">
        <v>1494.43</v>
      </c>
      <c r="L185">
        <v>1496.34</v>
      </c>
    </row>
    <row r="186" spans="1:12" x14ac:dyDescent="0.15">
      <c r="A186">
        <v>905</v>
      </c>
      <c r="B186">
        <v>1483.11</v>
      </c>
      <c r="C186">
        <v>1485.01</v>
      </c>
      <c r="D186">
        <v>1486.92</v>
      </c>
      <c r="E186">
        <v>1488.82</v>
      </c>
      <c r="F186">
        <v>1490.73</v>
      </c>
      <c r="G186">
        <v>1492.63</v>
      </c>
      <c r="H186">
        <v>1494.54</v>
      </c>
      <c r="I186">
        <v>1496.45</v>
      </c>
      <c r="J186">
        <v>1498.36</v>
      </c>
      <c r="K186">
        <v>1500.28</v>
      </c>
      <c r="L186">
        <v>1502.19</v>
      </c>
    </row>
    <row r="187" spans="1:12" x14ac:dyDescent="0.15">
      <c r="A187">
        <v>910</v>
      </c>
      <c r="B187">
        <v>1488.94</v>
      </c>
      <c r="C187">
        <v>1490.84</v>
      </c>
      <c r="D187">
        <v>1492.75</v>
      </c>
      <c r="E187">
        <v>1494.66</v>
      </c>
      <c r="F187">
        <v>1496.57</v>
      </c>
      <c r="G187">
        <v>1498.48</v>
      </c>
      <c r="H187">
        <v>1500.39</v>
      </c>
      <c r="I187">
        <v>1502.3</v>
      </c>
      <c r="J187">
        <v>1504.22</v>
      </c>
      <c r="K187">
        <v>1506.14</v>
      </c>
      <c r="L187">
        <v>1508.06</v>
      </c>
    </row>
    <row r="188" spans="1:12" x14ac:dyDescent="0.15">
      <c r="A188">
        <v>915</v>
      </c>
      <c r="B188">
        <v>1494.77</v>
      </c>
      <c r="C188">
        <v>1496.68</v>
      </c>
      <c r="D188">
        <v>1498.59</v>
      </c>
      <c r="E188">
        <v>1500.51</v>
      </c>
      <c r="F188">
        <v>1502.42</v>
      </c>
      <c r="G188">
        <v>1504.33</v>
      </c>
      <c r="H188">
        <v>1506.25</v>
      </c>
      <c r="I188">
        <v>1508.17</v>
      </c>
      <c r="J188">
        <v>1510.09</v>
      </c>
      <c r="K188">
        <v>1512.01</v>
      </c>
      <c r="L188">
        <v>1513.93</v>
      </c>
    </row>
    <row r="189" spans="1:12" x14ac:dyDescent="0.15">
      <c r="A189">
        <v>920</v>
      </c>
      <c r="B189">
        <v>1500.62</v>
      </c>
      <c r="C189">
        <v>1502.53</v>
      </c>
      <c r="D189">
        <v>1504.45</v>
      </c>
      <c r="E189">
        <v>1506.36</v>
      </c>
      <c r="F189">
        <v>1508.28</v>
      </c>
      <c r="G189">
        <v>1510.2</v>
      </c>
      <c r="H189">
        <v>1512.12</v>
      </c>
      <c r="I189">
        <v>1514.04</v>
      </c>
      <c r="J189">
        <v>1515.97</v>
      </c>
      <c r="K189">
        <v>1517.89</v>
      </c>
      <c r="L189">
        <v>1519.82</v>
      </c>
    </row>
    <row r="190" spans="1:12" x14ac:dyDescent="0.15">
      <c r="A190">
        <v>925</v>
      </c>
      <c r="B190">
        <v>1506.48</v>
      </c>
      <c r="C190">
        <v>1508.4</v>
      </c>
      <c r="D190">
        <v>1510.31</v>
      </c>
      <c r="E190">
        <v>1512.23</v>
      </c>
      <c r="F190">
        <v>1514.16</v>
      </c>
      <c r="G190">
        <v>1516.08</v>
      </c>
      <c r="H190">
        <v>1518</v>
      </c>
      <c r="I190">
        <v>1519.93</v>
      </c>
      <c r="J190">
        <v>1521.86</v>
      </c>
      <c r="K190">
        <v>1523.78</v>
      </c>
      <c r="L190">
        <v>1525.71</v>
      </c>
    </row>
    <row r="191" spans="1:12" x14ac:dyDescent="0.15">
      <c r="A191">
        <v>930</v>
      </c>
      <c r="B191">
        <v>1512.35</v>
      </c>
      <c r="C191">
        <v>1514.27</v>
      </c>
      <c r="D191">
        <v>1516.19</v>
      </c>
      <c r="E191">
        <v>1518.12</v>
      </c>
      <c r="F191">
        <v>1520.04</v>
      </c>
      <c r="G191">
        <v>1521.97</v>
      </c>
      <c r="H191">
        <v>1523.9</v>
      </c>
      <c r="I191">
        <v>1525.82</v>
      </c>
      <c r="J191">
        <v>1527.76</v>
      </c>
      <c r="K191">
        <v>1529.69</v>
      </c>
      <c r="L191">
        <v>1531.62</v>
      </c>
    </row>
    <row r="192" spans="1:12" x14ac:dyDescent="0.15">
      <c r="A192">
        <v>935</v>
      </c>
      <c r="B192">
        <v>1518.23</v>
      </c>
      <c r="C192">
        <v>1520.15</v>
      </c>
      <c r="D192">
        <v>1522.08</v>
      </c>
      <c r="E192">
        <v>1524.01</v>
      </c>
      <c r="F192">
        <v>1525.94</v>
      </c>
      <c r="G192">
        <v>1527.87</v>
      </c>
      <c r="H192">
        <v>1529.8</v>
      </c>
      <c r="I192">
        <v>1531.73</v>
      </c>
      <c r="J192">
        <v>1533.67</v>
      </c>
      <c r="K192">
        <v>1535.6</v>
      </c>
      <c r="L192">
        <v>1537.54</v>
      </c>
    </row>
    <row r="193" spans="1:12" x14ac:dyDescent="0.15">
      <c r="A193">
        <v>940</v>
      </c>
      <c r="B193">
        <v>1524.12</v>
      </c>
      <c r="C193">
        <v>1526.05</v>
      </c>
      <c r="D193">
        <v>1527.98</v>
      </c>
      <c r="E193">
        <v>1529.91</v>
      </c>
      <c r="F193">
        <v>1531.84</v>
      </c>
      <c r="G193">
        <v>1533.78</v>
      </c>
      <c r="H193">
        <v>1535.71</v>
      </c>
      <c r="I193">
        <v>1537.65</v>
      </c>
      <c r="J193">
        <v>1539.59</v>
      </c>
      <c r="K193">
        <v>1541.53</v>
      </c>
      <c r="L193">
        <v>1543.47</v>
      </c>
    </row>
    <row r="194" spans="1:12" x14ac:dyDescent="0.15">
      <c r="A194">
        <v>945</v>
      </c>
      <c r="B194">
        <v>1530.02</v>
      </c>
      <c r="C194">
        <v>1531.96</v>
      </c>
      <c r="D194">
        <v>1533.89</v>
      </c>
      <c r="E194">
        <v>1535.83</v>
      </c>
      <c r="F194">
        <v>1537.76</v>
      </c>
      <c r="G194">
        <v>1539.7</v>
      </c>
      <c r="H194">
        <v>1541.64</v>
      </c>
      <c r="I194">
        <v>1543.58</v>
      </c>
      <c r="J194">
        <v>1545.52</v>
      </c>
      <c r="K194">
        <v>1547.46</v>
      </c>
      <c r="L194">
        <v>1549.41</v>
      </c>
    </row>
    <row r="195" spans="1:12" x14ac:dyDescent="0.15">
      <c r="A195">
        <v>950</v>
      </c>
      <c r="B195">
        <v>1535.94</v>
      </c>
      <c r="C195">
        <v>1537.87</v>
      </c>
      <c r="D195">
        <v>1539.81</v>
      </c>
      <c r="E195">
        <v>1541.75</v>
      </c>
      <c r="F195">
        <v>1543.69</v>
      </c>
      <c r="G195">
        <v>1545.63</v>
      </c>
      <c r="H195">
        <v>1547.57</v>
      </c>
      <c r="I195">
        <v>1549.52</v>
      </c>
      <c r="J195">
        <v>1551.46</v>
      </c>
      <c r="K195">
        <v>1553.41</v>
      </c>
      <c r="L195">
        <v>1555.36</v>
      </c>
    </row>
    <row r="196" spans="1:12" x14ac:dyDescent="0.15">
      <c r="A196">
        <v>955</v>
      </c>
      <c r="B196">
        <v>1541.86</v>
      </c>
      <c r="C196">
        <v>1543.8</v>
      </c>
      <c r="D196">
        <v>1545.74</v>
      </c>
      <c r="E196">
        <v>1547.69</v>
      </c>
      <c r="F196">
        <v>1549.63</v>
      </c>
      <c r="G196">
        <v>1551.57</v>
      </c>
      <c r="H196">
        <v>1553.52</v>
      </c>
      <c r="I196">
        <v>1555.47</v>
      </c>
      <c r="J196">
        <v>1557.42</v>
      </c>
      <c r="K196">
        <v>1559.37</v>
      </c>
      <c r="L196">
        <v>1561.32</v>
      </c>
    </row>
    <row r="197" spans="1:12" x14ac:dyDescent="0.15">
      <c r="A197">
        <v>960</v>
      </c>
      <c r="B197">
        <v>1547.8</v>
      </c>
      <c r="C197">
        <v>1549.74</v>
      </c>
      <c r="D197">
        <v>1551.69</v>
      </c>
      <c r="E197">
        <v>1553.63</v>
      </c>
      <c r="F197">
        <v>1555.58</v>
      </c>
      <c r="G197">
        <v>1557.53</v>
      </c>
      <c r="H197">
        <v>1559.48</v>
      </c>
      <c r="I197">
        <v>1561.43</v>
      </c>
      <c r="J197">
        <v>1563.38</v>
      </c>
      <c r="K197">
        <v>1565.34</v>
      </c>
      <c r="L197">
        <v>1567.29</v>
      </c>
    </row>
    <row r="198" spans="1:12" x14ac:dyDescent="0.15">
      <c r="A198">
        <v>965</v>
      </c>
      <c r="B198">
        <v>1553.74</v>
      </c>
      <c r="C198">
        <v>1555.69</v>
      </c>
      <c r="D198">
        <v>1557.64</v>
      </c>
      <c r="E198">
        <v>1559.59</v>
      </c>
      <c r="F198">
        <v>1561.54</v>
      </c>
      <c r="G198">
        <v>1563.49</v>
      </c>
      <c r="H198">
        <v>1565.45</v>
      </c>
      <c r="I198">
        <v>1567.4</v>
      </c>
      <c r="J198">
        <v>1569.36</v>
      </c>
      <c r="K198">
        <v>1571.31</v>
      </c>
      <c r="L198">
        <v>1573.27</v>
      </c>
    </row>
    <row r="199" spans="1:12" x14ac:dyDescent="0.15">
      <c r="A199">
        <v>970</v>
      </c>
      <c r="B199">
        <v>1559.7</v>
      </c>
      <c r="C199">
        <v>1561.65</v>
      </c>
      <c r="D199">
        <v>1563.6</v>
      </c>
      <c r="E199">
        <v>1565.56</v>
      </c>
      <c r="F199">
        <v>1567.51</v>
      </c>
      <c r="G199">
        <v>1569.47</v>
      </c>
      <c r="H199">
        <v>1571.42</v>
      </c>
      <c r="I199">
        <v>1573.38</v>
      </c>
      <c r="J199">
        <v>1575.34</v>
      </c>
      <c r="K199">
        <v>1577.3</v>
      </c>
      <c r="L199">
        <v>1579.26</v>
      </c>
    </row>
    <row r="200" spans="1:12" x14ac:dyDescent="0.15">
      <c r="A200">
        <v>975</v>
      </c>
      <c r="B200">
        <v>1565.67</v>
      </c>
      <c r="C200">
        <v>1567.62</v>
      </c>
      <c r="D200">
        <v>1569.58</v>
      </c>
      <c r="E200">
        <v>1571.53</v>
      </c>
      <c r="F200">
        <v>1573.49</v>
      </c>
      <c r="G200">
        <v>1575.45</v>
      </c>
      <c r="H200">
        <v>1577.41</v>
      </c>
      <c r="I200">
        <v>1579.37</v>
      </c>
      <c r="J200">
        <v>1581.34</v>
      </c>
      <c r="K200">
        <v>1583.3</v>
      </c>
      <c r="L200">
        <v>1585.27</v>
      </c>
    </row>
    <row r="201" spans="1:12" x14ac:dyDescent="0.15">
      <c r="A201">
        <v>980</v>
      </c>
      <c r="B201">
        <v>1571.64</v>
      </c>
      <c r="C201">
        <v>1573.6</v>
      </c>
      <c r="D201">
        <v>1575.56</v>
      </c>
      <c r="E201">
        <v>1577.52</v>
      </c>
      <c r="F201">
        <v>1579.48</v>
      </c>
      <c r="G201">
        <v>1581.44</v>
      </c>
      <c r="H201">
        <v>1583.41</v>
      </c>
      <c r="I201">
        <v>1585.37</v>
      </c>
      <c r="J201">
        <v>1587.34</v>
      </c>
      <c r="K201">
        <v>1589.31</v>
      </c>
      <c r="L201">
        <v>1591.28</v>
      </c>
    </row>
    <row r="202" spans="1:12" x14ac:dyDescent="0.15">
      <c r="A202">
        <v>985</v>
      </c>
      <c r="B202">
        <v>1577.63</v>
      </c>
      <c r="C202">
        <v>1579.59</v>
      </c>
      <c r="D202">
        <v>1581.55</v>
      </c>
      <c r="E202">
        <v>1583.52</v>
      </c>
      <c r="F202">
        <v>1585.48</v>
      </c>
      <c r="G202">
        <v>1587.45</v>
      </c>
      <c r="H202">
        <v>1589.42</v>
      </c>
      <c r="I202">
        <v>1591.39</v>
      </c>
      <c r="J202">
        <v>1593.36</v>
      </c>
      <c r="K202">
        <v>1595.33</v>
      </c>
      <c r="L202">
        <v>1597.3</v>
      </c>
    </row>
    <row r="203" spans="1:12" x14ac:dyDescent="0.15">
      <c r="A203">
        <v>990</v>
      </c>
      <c r="B203">
        <v>1583.63</v>
      </c>
      <c r="C203">
        <v>1585.59</v>
      </c>
      <c r="D203">
        <v>1587.56</v>
      </c>
      <c r="E203">
        <v>1589.53</v>
      </c>
      <c r="F203">
        <v>1591.49</v>
      </c>
      <c r="G203">
        <v>1593.46</v>
      </c>
      <c r="H203">
        <v>1595.44</v>
      </c>
      <c r="I203">
        <v>1597.41</v>
      </c>
      <c r="J203">
        <v>1599.38</v>
      </c>
      <c r="K203">
        <v>1601.36</v>
      </c>
      <c r="L203">
        <v>1603.33</v>
      </c>
    </row>
    <row r="204" spans="1:12" x14ac:dyDescent="0.15">
      <c r="A204">
        <v>995</v>
      </c>
      <c r="B204">
        <v>1589.64</v>
      </c>
      <c r="C204">
        <v>1591.6</v>
      </c>
      <c r="D204">
        <v>1593.57</v>
      </c>
      <c r="E204">
        <v>1595.54</v>
      </c>
      <c r="F204">
        <v>1597.52</v>
      </c>
      <c r="G204">
        <v>1599.49</v>
      </c>
      <c r="H204">
        <v>1601.46</v>
      </c>
      <c r="I204">
        <v>1603.44</v>
      </c>
      <c r="J204">
        <v>1605.42</v>
      </c>
      <c r="K204">
        <v>1607.4</v>
      </c>
      <c r="L204">
        <v>1609.38</v>
      </c>
    </row>
    <row r="205" spans="1:12" x14ac:dyDescent="0.15">
      <c r="A205">
        <v>1000</v>
      </c>
      <c r="B205">
        <v>1595.65</v>
      </c>
      <c r="C205">
        <v>1597.63</v>
      </c>
      <c r="D205">
        <v>1599.6</v>
      </c>
      <c r="E205">
        <v>1601.57</v>
      </c>
      <c r="F205">
        <v>1603.55</v>
      </c>
      <c r="G205">
        <v>1605.52</v>
      </c>
      <c r="H205">
        <v>1607.5</v>
      </c>
      <c r="I205">
        <v>1609.48</v>
      </c>
      <c r="J205">
        <v>1611.46</v>
      </c>
      <c r="K205">
        <v>1613.44</v>
      </c>
      <c r="L205">
        <v>1615.43</v>
      </c>
    </row>
    <row r="206" spans="1:12" x14ac:dyDescent="0.15">
      <c r="A206">
        <v>1005</v>
      </c>
      <c r="B206">
        <v>1601.68</v>
      </c>
      <c r="C206">
        <v>1603.66</v>
      </c>
      <c r="D206">
        <v>1605.63</v>
      </c>
      <c r="E206">
        <v>1607.61</v>
      </c>
      <c r="F206">
        <v>1609.59</v>
      </c>
      <c r="G206">
        <v>1611.57</v>
      </c>
      <c r="H206">
        <v>1613.55</v>
      </c>
      <c r="I206">
        <v>1615.53</v>
      </c>
      <c r="J206">
        <v>1617.52</v>
      </c>
      <c r="K206">
        <v>1619.5</v>
      </c>
      <c r="L206">
        <v>1621.49</v>
      </c>
    </row>
    <row r="207" spans="1:12" x14ac:dyDescent="0.15">
      <c r="A207">
        <v>1010</v>
      </c>
      <c r="B207">
        <v>1607.72</v>
      </c>
      <c r="C207">
        <v>1609.7</v>
      </c>
      <c r="D207">
        <v>1611.68</v>
      </c>
      <c r="E207">
        <v>1613.66</v>
      </c>
      <c r="F207">
        <v>1615.64</v>
      </c>
      <c r="G207">
        <v>1617.62</v>
      </c>
      <c r="H207">
        <v>1619.61</v>
      </c>
      <c r="I207">
        <v>1621.59</v>
      </c>
      <c r="J207">
        <v>1623.58</v>
      </c>
      <c r="K207">
        <v>1625.57</v>
      </c>
      <c r="L207">
        <v>1627.56</v>
      </c>
    </row>
    <row r="208" spans="1:12" x14ac:dyDescent="0.15">
      <c r="A208">
        <v>1015</v>
      </c>
      <c r="B208">
        <v>1613.77</v>
      </c>
      <c r="C208">
        <v>1615.75</v>
      </c>
      <c r="D208">
        <v>1617.73</v>
      </c>
      <c r="E208">
        <v>1619.72</v>
      </c>
      <c r="F208">
        <v>1621.7</v>
      </c>
      <c r="G208">
        <v>1623.69</v>
      </c>
      <c r="H208">
        <v>1625.68</v>
      </c>
      <c r="I208">
        <v>1627.67</v>
      </c>
      <c r="J208">
        <v>1629.66</v>
      </c>
      <c r="K208">
        <v>1631.65</v>
      </c>
      <c r="L208">
        <v>1633.64</v>
      </c>
    </row>
    <row r="209" spans="1:12" x14ac:dyDescent="0.15">
      <c r="A209">
        <v>1020</v>
      </c>
      <c r="B209">
        <v>1619.82</v>
      </c>
      <c r="C209">
        <v>1621.81</v>
      </c>
      <c r="D209">
        <v>1623.8</v>
      </c>
      <c r="E209">
        <v>1625.78</v>
      </c>
      <c r="F209">
        <v>1627.77</v>
      </c>
      <c r="G209">
        <v>1629.76</v>
      </c>
      <c r="H209">
        <v>1631.75</v>
      </c>
      <c r="I209">
        <v>1633.75</v>
      </c>
      <c r="J209">
        <v>1635.74</v>
      </c>
      <c r="K209">
        <v>1637.73</v>
      </c>
      <c r="L209">
        <v>1639.73</v>
      </c>
    </row>
    <row r="210" spans="1:12" x14ac:dyDescent="0.15">
      <c r="A210">
        <v>1025</v>
      </c>
      <c r="B210">
        <v>1625.89</v>
      </c>
      <c r="C210">
        <v>1627.88</v>
      </c>
      <c r="D210">
        <v>1629.87</v>
      </c>
      <c r="E210">
        <v>1631.86</v>
      </c>
      <c r="F210">
        <v>1633.85</v>
      </c>
      <c r="G210">
        <v>1635.85</v>
      </c>
      <c r="H210">
        <v>1637.84</v>
      </c>
      <c r="I210">
        <v>1639.84</v>
      </c>
      <c r="J210">
        <v>1641.83</v>
      </c>
      <c r="K210">
        <v>1643.83</v>
      </c>
      <c r="L210">
        <v>1645.83</v>
      </c>
    </row>
    <row r="211" spans="1:12" x14ac:dyDescent="0.15">
      <c r="A211">
        <v>1030</v>
      </c>
      <c r="B211">
        <v>1631.97</v>
      </c>
      <c r="C211">
        <v>1633.96</v>
      </c>
      <c r="D211">
        <v>1635.95</v>
      </c>
      <c r="E211">
        <v>1637.95</v>
      </c>
      <c r="F211">
        <v>1639.94</v>
      </c>
      <c r="G211">
        <v>1641.94</v>
      </c>
      <c r="H211">
        <v>1643.94</v>
      </c>
      <c r="I211">
        <v>1645.94</v>
      </c>
      <c r="J211">
        <v>1647.94</v>
      </c>
      <c r="K211">
        <v>1649.94</v>
      </c>
      <c r="L211">
        <v>1651.94</v>
      </c>
    </row>
    <row r="212" spans="1:12" x14ac:dyDescent="0.15">
      <c r="A212">
        <v>1035</v>
      </c>
      <c r="B212">
        <v>1638.05</v>
      </c>
      <c r="C212">
        <v>1640.05</v>
      </c>
      <c r="D212">
        <v>1642.05</v>
      </c>
      <c r="E212">
        <v>1644.04</v>
      </c>
      <c r="F212">
        <v>1646.04</v>
      </c>
      <c r="G212">
        <v>1648.04</v>
      </c>
      <c r="H212">
        <v>1650.04</v>
      </c>
      <c r="I212">
        <v>1652.04</v>
      </c>
      <c r="J212">
        <v>1654.05</v>
      </c>
      <c r="K212">
        <v>1656.05</v>
      </c>
      <c r="L212">
        <v>1658.06</v>
      </c>
    </row>
    <row r="213" spans="1:12" x14ac:dyDescent="0.15">
      <c r="A213">
        <v>1040</v>
      </c>
      <c r="B213">
        <v>1644.15</v>
      </c>
      <c r="C213">
        <v>1646.15</v>
      </c>
      <c r="D213">
        <v>1648.15</v>
      </c>
      <c r="E213">
        <v>1650.15</v>
      </c>
      <c r="F213">
        <v>1652.15</v>
      </c>
      <c r="G213">
        <v>1654.15</v>
      </c>
      <c r="H213">
        <v>1656.16</v>
      </c>
      <c r="I213">
        <v>1658.16</v>
      </c>
      <c r="J213">
        <v>1660.17</v>
      </c>
      <c r="K213">
        <v>1662.18</v>
      </c>
      <c r="L213">
        <v>1664.18</v>
      </c>
    </row>
    <row r="214" spans="1:12" x14ac:dyDescent="0.15">
      <c r="A214">
        <v>1045</v>
      </c>
      <c r="B214">
        <v>1650.25</v>
      </c>
      <c r="C214">
        <v>1652.26</v>
      </c>
      <c r="D214">
        <v>1654.26</v>
      </c>
      <c r="E214">
        <v>1656.26</v>
      </c>
      <c r="F214">
        <v>1658.27</v>
      </c>
      <c r="G214">
        <v>1660.27</v>
      </c>
      <c r="H214">
        <v>1662.28</v>
      </c>
      <c r="I214">
        <v>1664.29</v>
      </c>
      <c r="J214">
        <v>1666.3</v>
      </c>
      <c r="K214">
        <v>1668.31</v>
      </c>
      <c r="L214">
        <v>1670.32</v>
      </c>
    </row>
    <row r="215" spans="1:12" x14ac:dyDescent="0.15">
      <c r="A215">
        <v>1050</v>
      </c>
      <c r="B215">
        <v>1656.37</v>
      </c>
      <c r="C215">
        <v>1658.37</v>
      </c>
      <c r="D215">
        <v>1660.38</v>
      </c>
      <c r="E215">
        <v>1662.39</v>
      </c>
      <c r="F215">
        <v>1664.39</v>
      </c>
      <c r="G215">
        <v>1666.4</v>
      </c>
      <c r="H215">
        <v>1668.41</v>
      </c>
      <c r="I215">
        <v>1670.42</v>
      </c>
      <c r="J215">
        <v>1672.44</v>
      </c>
      <c r="K215">
        <v>1674.45</v>
      </c>
      <c r="L215">
        <v>1676.47</v>
      </c>
    </row>
    <row r="216" spans="1:12" x14ac:dyDescent="0.15">
      <c r="A216">
        <v>1055</v>
      </c>
      <c r="B216">
        <v>1662.49</v>
      </c>
      <c r="C216">
        <v>1664.5</v>
      </c>
      <c r="D216">
        <v>1666.51</v>
      </c>
      <c r="E216">
        <v>1668.52</v>
      </c>
      <c r="F216">
        <v>1670.53</v>
      </c>
      <c r="G216">
        <v>1672.54</v>
      </c>
      <c r="H216">
        <v>1674.55</v>
      </c>
      <c r="I216">
        <v>1676.57</v>
      </c>
      <c r="J216">
        <v>1678.58</v>
      </c>
      <c r="K216">
        <v>1680.6</v>
      </c>
      <c r="L216">
        <v>1682.62</v>
      </c>
    </row>
    <row r="217" spans="1:12" x14ac:dyDescent="0.15">
      <c r="A217">
        <v>1060</v>
      </c>
      <c r="B217">
        <v>1668.62</v>
      </c>
      <c r="C217">
        <v>1670.63</v>
      </c>
      <c r="D217">
        <v>1672.65</v>
      </c>
      <c r="E217">
        <v>1674.66</v>
      </c>
      <c r="F217">
        <v>1676.67</v>
      </c>
      <c r="G217">
        <v>1678.69</v>
      </c>
      <c r="H217">
        <v>1680.71</v>
      </c>
      <c r="I217">
        <v>1682.72</v>
      </c>
      <c r="J217">
        <v>1684.74</v>
      </c>
      <c r="K217">
        <v>1686.76</v>
      </c>
      <c r="L217">
        <v>1688.78</v>
      </c>
    </row>
    <row r="218" spans="1:12" x14ac:dyDescent="0.15">
      <c r="A218">
        <v>1065</v>
      </c>
      <c r="B218">
        <v>1674.76</v>
      </c>
      <c r="C218">
        <v>1676.78</v>
      </c>
      <c r="D218">
        <v>1678.79</v>
      </c>
      <c r="E218">
        <v>1680.81</v>
      </c>
      <c r="F218">
        <v>1682.83</v>
      </c>
      <c r="G218">
        <v>1684.84</v>
      </c>
      <c r="H218">
        <v>1686.86</v>
      </c>
      <c r="I218">
        <v>1688.88</v>
      </c>
      <c r="J218">
        <v>1690.91</v>
      </c>
      <c r="K218">
        <v>1692.93</v>
      </c>
      <c r="L218">
        <v>1694.95</v>
      </c>
    </row>
    <row r="219" spans="1:12" x14ac:dyDescent="0.15">
      <c r="A219">
        <v>1070</v>
      </c>
      <c r="B219">
        <v>1680.91</v>
      </c>
      <c r="C219">
        <v>1682.93</v>
      </c>
      <c r="D219">
        <v>1684.95</v>
      </c>
      <c r="E219">
        <v>1686.97</v>
      </c>
      <c r="F219">
        <v>1688.99</v>
      </c>
      <c r="G219">
        <v>1691.01</v>
      </c>
      <c r="H219">
        <v>1693.03</v>
      </c>
      <c r="I219">
        <v>1695.06</v>
      </c>
      <c r="J219">
        <v>1697.08</v>
      </c>
      <c r="K219">
        <v>1699.11</v>
      </c>
      <c r="L219">
        <v>1701.13</v>
      </c>
    </row>
    <row r="220" spans="1:12" x14ac:dyDescent="0.15">
      <c r="A220">
        <v>1075</v>
      </c>
      <c r="B220">
        <v>1687.07</v>
      </c>
      <c r="C220">
        <v>1689.09</v>
      </c>
      <c r="D220">
        <v>1691.11</v>
      </c>
      <c r="E220">
        <v>1693.14</v>
      </c>
      <c r="F220">
        <v>1695.16</v>
      </c>
      <c r="G220">
        <v>1697.18</v>
      </c>
      <c r="H220">
        <v>1699.21</v>
      </c>
      <c r="I220">
        <v>1701.23</v>
      </c>
      <c r="J220">
        <v>1703.26</v>
      </c>
      <c r="K220">
        <v>1705.29</v>
      </c>
      <c r="L220">
        <v>1707.32</v>
      </c>
    </row>
    <row r="221" spans="1:12" x14ac:dyDescent="0.15">
      <c r="A221">
        <v>1080</v>
      </c>
      <c r="B221">
        <v>1693.24</v>
      </c>
      <c r="C221">
        <v>1695.26</v>
      </c>
      <c r="D221">
        <v>1697.29</v>
      </c>
      <c r="E221">
        <v>1699.31</v>
      </c>
      <c r="F221">
        <v>1701.34</v>
      </c>
      <c r="G221">
        <v>1703.36</v>
      </c>
      <c r="H221">
        <v>1705.39</v>
      </c>
      <c r="I221">
        <v>1707.42</v>
      </c>
      <c r="J221">
        <v>1709.45</v>
      </c>
      <c r="K221">
        <v>1711.48</v>
      </c>
      <c r="L221">
        <v>1713.51</v>
      </c>
    </row>
    <row r="222" spans="1:12" x14ac:dyDescent="0.15">
      <c r="A222">
        <v>1085</v>
      </c>
      <c r="B222">
        <v>1699.42</v>
      </c>
      <c r="C222">
        <v>1701.44</v>
      </c>
      <c r="D222">
        <v>1703.47</v>
      </c>
      <c r="E222">
        <v>1705.5</v>
      </c>
      <c r="F222">
        <v>1707.52</v>
      </c>
      <c r="G222">
        <v>1709.55</v>
      </c>
      <c r="H222">
        <v>1711.58</v>
      </c>
      <c r="I222">
        <v>1713.62</v>
      </c>
      <c r="J222">
        <v>1715.65</v>
      </c>
      <c r="K222">
        <v>1717.68</v>
      </c>
      <c r="L222">
        <v>1719.72</v>
      </c>
    </row>
    <row r="223" spans="1:12" x14ac:dyDescent="0.15">
      <c r="A223">
        <v>1090</v>
      </c>
      <c r="B223">
        <v>1705.6</v>
      </c>
      <c r="C223">
        <v>1707.63</v>
      </c>
      <c r="D223">
        <v>1709.66</v>
      </c>
      <c r="E223">
        <v>1711.69</v>
      </c>
      <c r="F223">
        <v>1713.72</v>
      </c>
      <c r="G223">
        <v>1715.75</v>
      </c>
      <c r="H223">
        <v>1717.79</v>
      </c>
      <c r="I223">
        <v>1719.82</v>
      </c>
      <c r="J223">
        <v>1721.86</v>
      </c>
      <c r="K223">
        <v>1723.89</v>
      </c>
      <c r="L223">
        <v>1725.93</v>
      </c>
    </row>
    <row r="224" spans="1:12" x14ac:dyDescent="0.15">
      <c r="A224">
        <v>1095</v>
      </c>
      <c r="B224">
        <v>1711.79</v>
      </c>
      <c r="C224">
        <v>1713.82</v>
      </c>
      <c r="D224">
        <v>1715.85</v>
      </c>
      <c r="E224">
        <v>1717.89</v>
      </c>
      <c r="F224">
        <v>1719.92</v>
      </c>
      <c r="G224">
        <v>1721.96</v>
      </c>
      <c r="H224">
        <v>1723.99</v>
      </c>
      <c r="I224">
        <v>1726.03</v>
      </c>
      <c r="J224">
        <v>1728.07</v>
      </c>
      <c r="K224">
        <v>1730.11</v>
      </c>
      <c r="L224">
        <v>1732.15</v>
      </c>
    </row>
    <row r="225" spans="1:12" x14ac:dyDescent="0.15">
      <c r="A225">
        <v>1100</v>
      </c>
      <c r="B225">
        <v>1717.99</v>
      </c>
      <c r="C225">
        <v>1720.02</v>
      </c>
      <c r="D225">
        <v>1722.06</v>
      </c>
      <c r="E225">
        <v>1724.1</v>
      </c>
      <c r="F225">
        <v>1726.13</v>
      </c>
      <c r="G225">
        <v>1728.17</v>
      </c>
      <c r="H225">
        <v>1730.21</v>
      </c>
      <c r="I225">
        <v>1732.25</v>
      </c>
      <c r="J225">
        <v>1734.29</v>
      </c>
      <c r="K225">
        <v>1736.33</v>
      </c>
      <c r="L225">
        <v>1738.37</v>
      </c>
    </row>
    <row r="226" spans="1:12" x14ac:dyDescent="0.15">
      <c r="A226">
        <v>1105</v>
      </c>
      <c r="B226">
        <v>1724.2</v>
      </c>
      <c r="C226">
        <v>1726.24</v>
      </c>
      <c r="D226">
        <v>1728.27</v>
      </c>
      <c r="E226">
        <v>1730.31</v>
      </c>
      <c r="F226">
        <v>1732.35</v>
      </c>
      <c r="G226">
        <v>1734.39</v>
      </c>
      <c r="H226">
        <v>1736.43</v>
      </c>
      <c r="I226">
        <v>1738.48</v>
      </c>
      <c r="J226">
        <v>1740.52</v>
      </c>
      <c r="K226">
        <v>1742.56</v>
      </c>
      <c r="L226">
        <v>1744.61</v>
      </c>
    </row>
    <row r="227" spans="1:12" x14ac:dyDescent="0.15">
      <c r="A227">
        <v>1110</v>
      </c>
      <c r="B227">
        <v>1730.41</v>
      </c>
      <c r="C227">
        <v>1732.45</v>
      </c>
      <c r="D227">
        <v>1734.49</v>
      </c>
      <c r="E227">
        <v>1736.53</v>
      </c>
      <c r="F227">
        <v>1738.58</v>
      </c>
      <c r="G227">
        <v>1740.62</v>
      </c>
      <c r="H227">
        <v>1742.66</v>
      </c>
      <c r="I227">
        <v>1744.71</v>
      </c>
      <c r="J227">
        <v>1746.75</v>
      </c>
      <c r="K227">
        <v>1748.8</v>
      </c>
      <c r="L227">
        <v>1750.85</v>
      </c>
    </row>
    <row r="228" spans="1:12" x14ac:dyDescent="0.15">
      <c r="A228">
        <v>1115</v>
      </c>
      <c r="B228">
        <v>1736.64</v>
      </c>
      <c r="C228">
        <v>1738.68</v>
      </c>
      <c r="D228">
        <v>1740.72</v>
      </c>
      <c r="E228">
        <v>1742.77</v>
      </c>
      <c r="F228">
        <v>1744.81</v>
      </c>
      <c r="G228">
        <v>1746.86</v>
      </c>
      <c r="H228">
        <v>1748.9</v>
      </c>
      <c r="I228">
        <v>1750.95</v>
      </c>
      <c r="J228">
        <v>1753</v>
      </c>
      <c r="K228">
        <v>1755.05</v>
      </c>
      <c r="L228">
        <v>1757.1</v>
      </c>
    </row>
    <row r="229" spans="1:12" x14ac:dyDescent="0.15">
      <c r="A229">
        <v>1120</v>
      </c>
      <c r="B229">
        <v>1742.87</v>
      </c>
      <c r="C229">
        <v>1744.91</v>
      </c>
      <c r="D229">
        <v>1746.96</v>
      </c>
      <c r="E229">
        <v>1749</v>
      </c>
      <c r="F229">
        <v>1751.05</v>
      </c>
      <c r="G229">
        <v>1753.1</v>
      </c>
      <c r="H229">
        <v>1755.15</v>
      </c>
      <c r="I229">
        <v>1757.2</v>
      </c>
      <c r="J229">
        <v>1759.25</v>
      </c>
      <c r="K229">
        <v>1761.3</v>
      </c>
      <c r="L229">
        <v>1763.35</v>
      </c>
    </row>
    <row r="230" spans="1:12" x14ac:dyDescent="0.15">
      <c r="A230">
        <v>1125</v>
      </c>
      <c r="B230">
        <v>1749.11</v>
      </c>
      <c r="C230">
        <v>1751.15</v>
      </c>
      <c r="D230">
        <v>1753.2</v>
      </c>
      <c r="E230">
        <v>1755.25</v>
      </c>
      <c r="F230">
        <v>1757.3</v>
      </c>
      <c r="G230">
        <v>1759.35</v>
      </c>
      <c r="H230">
        <v>1761.4</v>
      </c>
      <c r="I230">
        <v>1763.45</v>
      </c>
      <c r="J230">
        <v>1765.5</v>
      </c>
      <c r="K230">
        <v>1767.56</v>
      </c>
      <c r="L230">
        <v>1769.61</v>
      </c>
    </row>
    <row r="231" spans="1:12" x14ac:dyDescent="0.15">
      <c r="A231">
        <v>1130</v>
      </c>
      <c r="B231">
        <v>1755.35</v>
      </c>
      <c r="C231">
        <v>1757.4</v>
      </c>
      <c r="D231">
        <v>1759.45</v>
      </c>
      <c r="E231">
        <v>1761.5</v>
      </c>
      <c r="F231">
        <v>1763.55</v>
      </c>
      <c r="G231">
        <v>1765.6</v>
      </c>
      <c r="H231">
        <v>1767.66</v>
      </c>
      <c r="I231">
        <v>1769.71</v>
      </c>
      <c r="J231">
        <v>1771.77</v>
      </c>
      <c r="K231">
        <v>1773.82</v>
      </c>
      <c r="L231">
        <v>1775.88</v>
      </c>
    </row>
    <row r="232" spans="1:12" x14ac:dyDescent="0.15">
      <c r="A232">
        <v>1135</v>
      </c>
      <c r="B232">
        <v>1761.6</v>
      </c>
      <c r="C232">
        <v>1763.65</v>
      </c>
      <c r="D232">
        <v>1765.71</v>
      </c>
      <c r="E232">
        <v>1767.76</v>
      </c>
      <c r="F232">
        <v>1769.81</v>
      </c>
      <c r="G232">
        <v>1771.87</v>
      </c>
      <c r="H232">
        <v>1773.92</v>
      </c>
      <c r="I232">
        <v>1775.98</v>
      </c>
      <c r="J232">
        <v>1778.04</v>
      </c>
      <c r="K232">
        <v>1780.1</v>
      </c>
      <c r="L232">
        <v>1782.16</v>
      </c>
    </row>
    <row r="233" spans="1:12" x14ac:dyDescent="0.15">
      <c r="A233">
        <v>1140</v>
      </c>
      <c r="B233">
        <v>1767.86</v>
      </c>
      <c r="C233">
        <v>1769.91</v>
      </c>
      <c r="D233">
        <v>1771.97</v>
      </c>
      <c r="E233">
        <v>1774.02</v>
      </c>
      <c r="F233">
        <v>1776.08</v>
      </c>
      <c r="G233">
        <v>1778.14</v>
      </c>
      <c r="H233">
        <v>1780.2</v>
      </c>
      <c r="I233">
        <v>1782.26</v>
      </c>
      <c r="J233">
        <v>1784.32</v>
      </c>
      <c r="K233">
        <v>1786.38</v>
      </c>
      <c r="L233">
        <v>1788.44</v>
      </c>
    </row>
    <row r="234" spans="1:12" x14ac:dyDescent="0.15">
      <c r="A234">
        <v>1145</v>
      </c>
      <c r="B234">
        <v>1774.13</v>
      </c>
      <c r="C234">
        <v>1776.18</v>
      </c>
      <c r="D234">
        <v>1778.24</v>
      </c>
      <c r="E234">
        <v>1780.3</v>
      </c>
      <c r="F234">
        <v>1782.36</v>
      </c>
      <c r="G234">
        <v>1784.41</v>
      </c>
      <c r="H234">
        <v>1786.47</v>
      </c>
      <c r="I234">
        <v>1788.54</v>
      </c>
      <c r="J234">
        <v>1790.6</v>
      </c>
      <c r="K234">
        <v>1792.66</v>
      </c>
      <c r="L234">
        <v>1794.72</v>
      </c>
    </row>
    <row r="235" spans="1:12" x14ac:dyDescent="0.15">
      <c r="A235">
        <v>1150</v>
      </c>
      <c r="B235">
        <v>1780.4</v>
      </c>
      <c r="C235">
        <v>1782.46</v>
      </c>
      <c r="D235">
        <v>1784.51</v>
      </c>
      <c r="E235">
        <v>1786.57</v>
      </c>
      <c r="F235">
        <v>1788.64</v>
      </c>
      <c r="G235">
        <v>1790.7</v>
      </c>
      <c r="H235">
        <v>1792.76</v>
      </c>
      <c r="I235">
        <v>1794.82</v>
      </c>
      <c r="J235">
        <v>1796.89</v>
      </c>
      <c r="K235">
        <v>1798.95</v>
      </c>
      <c r="L235">
        <v>1801.02</v>
      </c>
    </row>
    <row r="236" spans="1:12" x14ac:dyDescent="0.15">
      <c r="A236">
        <v>1155</v>
      </c>
      <c r="B236">
        <v>1786.67</v>
      </c>
      <c r="C236">
        <v>1788.73</v>
      </c>
      <c r="D236">
        <v>1790.8</v>
      </c>
      <c r="E236">
        <v>1792.86</v>
      </c>
      <c r="F236">
        <v>1794.92</v>
      </c>
      <c r="G236">
        <v>1796.98</v>
      </c>
      <c r="H236">
        <v>1799.05</v>
      </c>
      <c r="I236">
        <v>1801.11</v>
      </c>
      <c r="J236">
        <v>1803.18</v>
      </c>
      <c r="K236">
        <v>1805.25</v>
      </c>
      <c r="L236">
        <v>1807.31</v>
      </c>
    </row>
    <row r="237" spans="1:12" x14ac:dyDescent="0.15">
      <c r="A237">
        <v>1160</v>
      </c>
      <c r="B237">
        <v>1792.96</v>
      </c>
      <c r="C237">
        <v>1795.02</v>
      </c>
      <c r="D237">
        <v>1797.08</v>
      </c>
      <c r="E237">
        <v>1799.15</v>
      </c>
      <c r="F237">
        <v>1801.21</v>
      </c>
      <c r="G237">
        <v>1803.28</v>
      </c>
      <c r="H237">
        <v>1805.34</v>
      </c>
      <c r="I237">
        <v>1807.41</v>
      </c>
      <c r="J237">
        <v>1809.48</v>
      </c>
      <c r="K237">
        <v>1811.55</v>
      </c>
      <c r="L237">
        <v>1813.62</v>
      </c>
    </row>
    <row r="238" spans="1:12" x14ac:dyDescent="0.15">
      <c r="A238">
        <v>1165</v>
      </c>
      <c r="B238">
        <v>1799.25</v>
      </c>
      <c r="C238">
        <v>1801.31</v>
      </c>
      <c r="D238">
        <v>1803.38</v>
      </c>
      <c r="E238">
        <v>1805.44</v>
      </c>
      <c r="F238">
        <v>1807.51</v>
      </c>
      <c r="G238">
        <v>1809.58</v>
      </c>
      <c r="H238">
        <v>1811.65</v>
      </c>
      <c r="I238">
        <v>1813.72</v>
      </c>
      <c r="J238">
        <v>1815.78</v>
      </c>
      <c r="K238">
        <v>1817.85</v>
      </c>
      <c r="L238">
        <v>1819.93</v>
      </c>
    </row>
    <row r="239" spans="1:12" x14ac:dyDescent="0.15">
      <c r="A239">
        <v>1170</v>
      </c>
      <c r="B239">
        <v>1805.54</v>
      </c>
      <c r="C239">
        <v>1807.61</v>
      </c>
      <c r="D239">
        <v>1809.68</v>
      </c>
      <c r="E239">
        <v>1811.74</v>
      </c>
      <c r="F239">
        <v>1813.81</v>
      </c>
      <c r="G239">
        <v>1815.88</v>
      </c>
      <c r="H239">
        <v>1817.95</v>
      </c>
      <c r="I239">
        <v>1820.02</v>
      </c>
      <c r="J239">
        <v>1822.09</v>
      </c>
      <c r="K239">
        <v>1824.17</v>
      </c>
      <c r="L239">
        <v>1826.24</v>
      </c>
    </row>
    <row r="240" spans="1:12" x14ac:dyDescent="0.15">
      <c r="A240">
        <v>1175</v>
      </c>
      <c r="B240">
        <v>1811.84</v>
      </c>
      <c r="C240">
        <v>1813.91</v>
      </c>
      <c r="D240">
        <v>1815.98</v>
      </c>
      <c r="E240">
        <v>1818.05</v>
      </c>
      <c r="F240">
        <v>1820.12</v>
      </c>
      <c r="G240">
        <v>1822.19</v>
      </c>
      <c r="H240">
        <v>1824.26</v>
      </c>
      <c r="I240">
        <v>1826.34</v>
      </c>
      <c r="J240">
        <v>1828.41</v>
      </c>
      <c r="K240">
        <v>1830.48</v>
      </c>
      <c r="L240">
        <v>1832.56</v>
      </c>
    </row>
    <row r="241" spans="1:12" x14ac:dyDescent="0.15">
      <c r="A241">
        <v>1180</v>
      </c>
      <c r="B241">
        <v>1818.15</v>
      </c>
      <c r="C241">
        <v>1820.22</v>
      </c>
      <c r="D241">
        <v>1822.29</v>
      </c>
      <c r="E241">
        <v>1824.36</v>
      </c>
      <c r="F241">
        <v>1826.43</v>
      </c>
      <c r="G241">
        <v>1828.51</v>
      </c>
      <c r="H241">
        <v>1830.58</v>
      </c>
      <c r="I241">
        <v>1832.66</v>
      </c>
      <c r="J241">
        <v>1834.73</v>
      </c>
      <c r="K241">
        <v>1836.81</v>
      </c>
      <c r="L241">
        <v>1838.88</v>
      </c>
    </row>
    <row r="242" spans="1:12" x14ac:dyDescent="0.15">
      <c r="A242">
        <v>1185</v>
      </c>
      <c r="B242">
        <v>1824.46</v>
      </c>
      <c r="C242">
        <v>1826.53</v>
      </c>
      <c r="D242">
        <v>1828.61</v>
      </c>
      <c r="E242">
        <v>1830.68</v>
      </c>
      <c r="F242">
        <v>1832.75</v>
      </c>
      <c r="G242">
        <v>1834.83</v>
      </c>
      <c r="H242">
        <v>1836.9</v>
      </c>
      <c r="I242">
        <v>1838.98</v>
      </c>
      <c r="J242">
        <v>1841.06</v>
      </c>
      <c r="K242">
        <v>1843.13</v>
      </c>
      <c r="L242">
        <v>1845.21</v>
      </c>
    </row>
    <row r="243" spans="1:12" x14ac:dyDescent="0.15">
      <c r="A243">
        <v>1190</v>
      </c>
      <c r="B243">
        <v>1830.78</v>
      </c>
      <c r="C243">
        <v>1832.85</v>
      </c>
      <c r="D243">
        <v>1834.93</v>
      </c>
      <c r="E243">
        <v>1837</v>
      </c>
      <c r="F243">
        <v>1839.08</v>
      </c>
      <c r="G243">
        <v>1841.15</v>
      </c>
      <c r="H243">
        <v>1843.23</v>
      </c>
      <c r="I243">
        <v>1845.31</v>
      </c>
      <c r="J243">
        <v>1847.39</v>
      </c>
      <c r="K243">
        <v>1849.46</v>
      </c>
      <c r="L243">
        <v>1851.54</v>
      </c>
    </row>
    <row r="244" spans="1:12" x14ac:dyDescent="0.15">
      <c r="A244">
        <v>1195</v>
      </c>
      <c r="B244">
        <v>1837.1</v>
      </c>
      <c r="C244">
        <v>1839.17</v>
      </c>
      <c r="D244">
        <v>1841.25</v>
      </c>
      <c r="E244">
        <v>1843.33</v>
      </c>
      <c r="F244">
        <v>1845.4</v>
      </c>
      <c r="G244">
        <v>1847.48</v>
      </c>
      <c r="H244">
        <v>1849.56</v>
      </c>
      <c r="I244">
        <v>1851.64</v>
      </c>
      <c r="J244">
        <v>1853.72</v>
      </c>
      <c r="K244">
        <v>1855.8</v>
      </c>
      <c r="L244">
        <v>1857.88</v>
      </c>
    </row>
    <row r="245" spans="1:12" x14ac:dyDescent="0.15">
      <c r="A245">
        <v>1200</v>
      </c>
      <c r="B245">
        <v>1843.42</v>
      </c>
      <c r="C245">
        <v>1845.5</v>
      </c>
      <c r="D245">
        <v>1847.58</v>
      </c>
      <c r="E245">
        <v>1849.66</v>
      </c>
      <c r="F245">
        <v>1851.74</v>
      </c>
      <c r="G245">
        <v>1853.82</v>
      </c>
      <c r="H245">
        <v>1855.9</v>
      </c>
      <c r="I245">
        <v>1857.98</v>
      </c>
      <c r="J245">
        <v>1860.06</v>
      </c>
      <c r="K245">
        <v>1862.14</v>
      </c>
      <c r="L245">
        <v>1864.22</v>
      </c>
    </row>
    <row r="246" spans="1:12" x14ac:dyDescent="0.15">
      <c r="A246">
        <v>1205</v>
      </c>
      <c r="B246">
        <v>1849.75</v>
      </c>
      <c r="C246">
        <v>1851.83</v>
      </c>
      <c r="D246">
        <v>1853.91</v>
      </c>
      <c r="E246">
        <v>1855.99</v>
      </c>
      <c r="F246">
        <v>1858.07</v>
      </c>
      <c r="G246">
        <v>1860.15</v>
      </c>
      <c r="H246">
        <v>1862.24</v>
      </c>
      <c r="I246">
        <v>1864.32</v>
      </c>
      <c r="J246">
        <v>1866.4</v>
      </c>
      <c r="K246">
        <v>1868.48</v>
      </c>
      <c r="L246">
        <v>1870.57</v>
      </c>
    </row>
    <row r="247" spans="1:12" x14ac:dyDescent="0.15">
      <c r="A247">
        <v>1210</v>
      </c>
      <c r="B247">
        <v>1856.09</v>
      </c>
      <c r="C247">
        <v>1858.17</v>
      </c>
      <c r="D247">
        <v>1860.25</v>
      </c>
      <c r="E247">
        <v>1862.33</v>
      </c>
      <c r="F247">
        <v>1864.41</v>
      </c>
      <c r="G247">
        <v>1866.5</v>
      </c>
      <c r="H247">
        <v>1868.58</v>
      </c>
      <c r="I247">
        <v>1870.66</v>
      </c>
      <c r="J247">
        <v>1872.75</v>
      </c>
      <c r="K247">
        <v>1874.83</v>
      </c>
      <c r="L247">
        <v>1876.92</v>
      </c>
    </row>
    <row r="248" spans="1:12" x14ac:dyDescent="0.15">
      <c r="A248">
        <v>1215</v>
      </c>
      <c r="B248">
        <v>1862.43</v>
      </c>
      <c r="C248">
        <v>1864.51</v>
      </c>
      <c r="D248">
        <v>1866.59</v>
      </c>
      <c r="E248">
        <v>1868.67</v>
      </c>
      <c r="F248">
        <v>1870.76</v>
      </c>
      <c r="G248">
        <v>1872.84</v>
      </c>
      <c r="H248">
        <v>1874.93</v>
      </c>
      <c r="I248">
        <v>1877.01</v>
      </c>
      <c r="J248">
        <v>1879.1</v>
      </c>
      <c r="K248">
        <v>1881.18</v>
      </c>
      <c r="L248">
        <v>1883.27</v>
      </c>
    </row>
    <row r="249" spans="1:12" x14ac:dyDescent="0.15">
      <c r="A249">
        <v>1220</v>
      </c>
      <c r="B249">
        <v>1868.77</v>
      </c>
      <c r="C249">
        <v>1870.85</v>
      </c>
      <c r="D249">
        <v>1872.94</v>
      </c>
      <c r="E249">
        <v>1875.02</v>
      </c>
      <c r="F249">
        <v>1877.11</v>
      </c>
      <c r="G249">
        <v>1879.19</v>
      </c>
      <c r="H249">
        <v>1881.28</v>
      </c>
      <c r="I249">
        <v>1883.36</v>
      </c>
      <c r="J249">
        <v>1885.45</v>
      </c>
      <c r="K249">
        <v>1887.54</v>
      </c>
      <c r="L249">
        <v>1889.63</v>
      </c>
    </row>
    <row r="250" spans="1:12" x14ac:dyDescent="0.15">
      <c r="A250">
        <v>1225</v>
      </c>
      <c r="B250">
        <v>1875.12</v>
      </c>
      <c r="C250">
        <v>1877.2</v>
      </c>
      <c r="D250">
        <v>1879.29</v>
      </c>
      <c r="E250">
        <v>1881.37</v>
      </c>
      <c r="F250">
        <v>1883.46</v>
      </c>
      <c r="G250">
        <v>1885.55</v>
      </c>
      <c r="H250">
        <v>1887.63</v>
      </c>
      <c r="I250">
        <v>1889.72</v>
      </c>
      <c r="J250">
        <v>1891.81</v>
      </c>
      <c r="K250">
        <v>1893.9</v>
      </c>
      <c r="L250">
        <v>1895.99</v>
      </c>
    </row>
    <row r="251" spans="1:12" x14ac:dyDescent="0.15">
      <c r="A251">
        <v>1230</v>
      </c>
      <c r="B251">
        <v>1881.47</v>
      </c>
      <c r="C251">
        <v>1883.55</v>
      </c>
      <c r="D251">
        <v>1885.64</v>
      </c>
      <c r="E251">
        <v>1887.73</v>
      </c>
      <c r="F251">
        <v>1889.82</v>
      </c>
      <c r="G251">
        <v>1891.9</v>
      </c>
      <c r="H251">
        <v>1893.99</v>
      </c>
      <c r="I251">
        <v>1896.08</v>
      </c>
      <c r="J251">
        <v>1898.17</v>
      </c>
      <c r="K251">
        <v>1900.26</v>
      </c>
      <c r="L251">
        <v>1902.35</v>
      </c>
    </row>
    <row r="252" spans="1:12" x14ac:dyDescent="0.15">
      <c r="A252">
        <v>1235</v>
      </c>
      <c r="B252">
        <v>1887.82</v>
      </c>
      <c r="C252">
        <v>1889.91</v>
      </c>
      <c r="D252">
        <v>1892</v>
      </c>
      <c r="E252">
        <v>1894.09</v>
      </c>
      <c r="F252">
        <v>1896.18</v>
      </c>
      <c r="G252">
        <v>1898.26</v>
      </c>
      <c r="H252">
        <v>1900.35</v>
      </c>
      <c r="I252">
        <v>1902.44</v>
      </c>
      <c r="J252">
        <v>1904.54</v>
      </c>
      <c r="K252">
        <v>1906.63</v>
      </c>
      <c r="L252">
        <v>1908.72</v>
      </c>
    </row>
    <row r="253" spans="1:12" x14ac:dyDescent="0.15">
      <c r="A253">
        <v>1240</v>
      </c>
      <c r="B253">
        <v>1894.18</v>
      </c>
      <c r="C253">
        <v>1896.27</v>
      </c>
      <c r="D253">
        <v>1898.36</v>
      </c>
      <c r="E253">
        <v>1900.45</v>
      </c>
      <c r="F253">
        <v>1902.54</v>
      </c>
      <c r="G253">
        <v>1904.63</v>
      </c>
      <c r="H253">
        <v>1906.72</v>
      </c>
      <c r="I253">
        <v>1908.81</v>
      </c>
      <c r="J253">
        <v>1910.9</v>
      </c>
      <c r="K253">
        <v>1913</v>
      </c>
      <c r="L253">
        <v>1915.09</v>
      </c>
    </row>
    <row r="254" spans="1:12" x14ac:dyDescent="0.15">
      <c r="A254">
        <v>1245</v>
      </c>
      <c r="B254">
        <v>1900.54</v>
      </c>
      <c r="C254">
        <v>1902.63</v>
      </c>
      <c r="D254">
        <v>1904.72</v>
      </c>
      <c r="E254">
        <v>1906.81</v>
      </c>
      <c r="F254">
        <v>1908.91</v>
      </c>
      <c r="G254">
        <v>1911</v>
      </c>
      <c r="H254">
        <v>1913.09</v>
      </c>
      <c r="I254">
        <v>1915.18</v>
      </c>
      <c r="J254">
        <v>1917.28</v>
      </c>
      <c r="K254">
        <v>1919.37</v>
      </c>
      <c r="L254">
        <v>1921.46</v>
      </c>
    </row>
    <row r="255" spans="1:12" x14ac:dyDescent="0.15">
      <c r="A255">
        <v>1250</v>
      </c>
      <c r="B255">
        <v>1906.91</v>
      </c>
      <c r="C255">
        <v>1909</v>
      </c>
      <c r="D255">
        <v>1911.09</v>
      </c>
      <c r="E255">
        <v>1913.18</v>
      </c>
      <c r="F255">
        <v>1915.28</v>
      </c>
      <c r="G255">
        <v>1917.37</v>
      </c>
      <c r="H255">
        <v>1919.46</v>
      </c>
      <c r="I255">
        <v>1921.56</v>
      </c>
      <c r="J255">
        <v>1923.65</v>
      </c>
      <c r="K255">
        <v>1925.74</v>
      </c>
      <c r="L255">
        <v>1927.84</v>
      </c>
    </row>
    <row r="256" spans="1:12" x14ac:dyDescent="0.15">
      <c r="A256">
        <v>1255</v>
      </c>
      <c r="B256">
        <v>1913.28</v>
      </c>
      <c r="C256">
        <v>1915.37</v>
      </c>
      <c r="D256">
        <v>1917.46</v>
      </c>
      <c r="E256">
        <v>1919.55</v>
      </c>
      <c r="F256">
        <v>1921.65</v>
      </c>
      <c r="G256">
        <v>1923.74</v>
      </c>
      <c r="H256">
        <v>1925.84</v>
      </c>
      <c r="I256">
        <v>1927.93</v>
      </c>
      <c r="J256">
        <v>1930.03</v>
      </c>
      <c r="K256">
        <v>1932.12</v>
      </c>
      <c r="L256">
        <v>1934.22</v>
      </c>
    </row>
    <row r="257" spans="1:12" x14ac:dyDescent="0.15">
      <c r="A257">
        <v>1260</v>
      </c>
      <c r="B257">
        <v>1919.65</v>
      </c>
      <c r="C257">
        <v>1921.74</v>
      </c>
      <c r="D257">
        <v>1923.84</v>
      </c>
      <c r="E257">
        <v>1925.93</v>
      </c>
      <c r="F257">
        <v>1928.02</v>
      </c>
      <c r="G257">
        <v>1930.12</v>
      </c>
      <c r="H257">
        <v>1932.22</v>
      </c>
      <c r="I257">
        <v>1934.31</v>
      </c>
      <c r="J257">
        <v>1936.41</v>
      </c>
      <c r="K257">
        <v>1938.5</v>
      </c>
      <c r="L257">
        <v>1940.6</v>
      </c>
    </row>
    <row r="258" spans="1:12" x14ac:dyDescent="0.15">
      <c r="A258">
        <v>1265</v>
      </c>
      <c r="B258">
        <v>1926.02</v>
      </c>
      <c r="C258">
        <v>1928.12</v>
      </c>
      <c r="D258">
        <v>1930.21</v>
      </c>
      <c r="E258">
        <v>1932.31</v>
      </c>
      <c r="F258">
        <v>1934.4</v>
      </c>
      <c r="G258">
        <v>1936.5</v>
      </c>
      <c r="H258">
        <v>1938.6</v>
      </c>
      <c r="I258">
        <v>1940.69</v>
      </c>
      <c r="J258">
        <v>1942.79</v>
      </c>
      <c r="K258">
        <v>1944.89</v>
      </c>
      <c r="L258">
        <v>1946.99</v>
      </c>
    </row>
    <row r="259" spans="1:12" x14ac:dyDescent="0.15">
      <c r="A259">
        <v>1270</v>
      </c>
      <c r="B259">
        <v>1932.4</v>
      </c>
      <c r="C259">
        <v>1934.5</v>
      </c>
      <c r="D259">
        <v>1936.59</v>
      </c>
      <c r="E259">
        <v>1938.69</v>
      </c>
      <c r="F259">
        <v>1940.79</v>
      </c>
      <c r="G259">
        <v>1942.88</v>
      </c>
      <c r="H259">
        <v>1944.98</v>
      </c>
      <c r="I259">
        <v>1947.08</v>
      </c>
      <c r="J259">
        <v>1949.18</v>
      </c>
      <c r="K259">
        <v>1951.28</v>
      </c>
      <c r="L259">
        <v>1953.34</v>
      </c>
    </row>
    <row r="260" spans="1:12" x14ac:dyDescent="0.15">
      <c r="A260">
        <v>1275</v>
      </c>
      <c r="B260">
        <v>1938.78</v>
      </c>
      <c r="C260">
        <v>1940.88</v>
      </c>
      <c r="D260">
        <v>1942.97</v>
      </c>
      <c r="E260">
        <v>1945.07</v>
      </c>
      <c r="F260">
        <v>1947.17</v>
      </c>
      <c r="G260">
        <v>1949.27</v>
      </c>
      <c r="H260">
        <v>1951.36</v>
      </c>
      <c r="I260">
        <v>1953.43</v>
      </c>
      <c r="J260">
        <v>1955.44</v>
      </c>
      <c r="K260">
        <v>1957.39</v>
      </c>
      <c r="L260">
        <v>1959.26</v>
      </c>
    </row>
    <row r="261" spans="1:12" x14ac:dyDescent="0.15">
      <c r="A261">
        <v>1280</v>
      </c>
      <c r="B261">
        <v>1945.16</v>
      </c>
      <c r="C261">
        <v>1947.26</v>
      </c>
      <c r="D261">
        <v>1949.35</v>
      </c>
      <c r="E261">
        <v>1951.43</v>
      </c>
      <c r="F261">
        <v>1953.49</v>
      </c>
      <c r="G261">
        <v>1955.51</v>
      </c>
      <c r="H261">
        <v>1957.47</v>
      </c>
      <c r="I261">
        <v>1959.36</v>
      </c>
      <c r="J261">
        <v>1961.18</v>
      </c>
      <c r="K261">
        <v>1962.94</v>
      </c>
      <c r="L261">
        <v>1964.63</v>
      </c>
    </row>
    <row r="262" spans="1:12" x14ac:dyDescent="0.15">
      <c r="A262">
        <v>1285</v>
      </c>
      <c r="B262">
        <v>1951.47</v>
      </c>
      <c r="C262">
        <v>1953.52</v>
      </c>
      <c r="D262">
        <v>1955.53</v>
      </c>
      <c r="E262">
        <v>1957.5</v>
      </c>
      <c r="F262">
        <v>1959.41</v>
      </c>
      <c r="G262">
        <v>1961.25</v>
      </c>
      <c r="H262">
        <v>1963.02</v>
      </c>
      <c r="I262">
        <v>1964.73</v>
      </c>
      <c r="J262">
        <v>1966.37</v>
      </c>
      <c r="K262">
        <v>1967.94</v>
      </c>
      <c r="L262">
        <v>1969.44</v>
      </c>
    </row>
    <row r="263" spans="1:12" x14ac:dyDescent="0.15">
      <c r="A263">
        <v>1290</v>
      </c>
      <c r="B263">
        <v>1957.5</v>
      </c>
      <c r="C263">
        <v>1959.41</v>
      </c>
      <c r="D263">
        <v>1961.27</v>
      </c>
      <c r="E263">
        <v>1963.06</v>
      </c>
      <c r="F263">
        <v>1964.78</v>
      </c>
      <c r="G263">
        <v>1966.43</v>
      </c>
      <c r="H263">
        <v>1968.02</v>
      </c>
      <c r="I263">
        <v>1969.54</v>
      </c>
      <c r="J263">
        <v>1970.99</v>
      </c>
      <c r="K263">
        <v>1972.38</v>
      </c>
      <c r="L263">
        <v>1973.7</v>
      </c>
    </row>
    <row r="264" spans="1:12" x14ac:dyDescent="0.15">
      <c r="A264">
        <v>1295</v>
      </c>
      <c r="B264">
        <v>1963.05</v>
      </c>
      <c r="C264">
        <v>1964.78</v>
      </c>
      <c r="D264">
        <v>1966.45</v>
      </c>
      <c r="E264">
        <v>1968.06</v>
      </c>
      <c r="F264">
        <v>1969.59</v>
      </c>
      <c r="G264">
        <v>1971.06</v>
      </c>
      <c r="H264">
        <v>1972.46</v>
      </c>
      <c r="I264">
        <v>1973.8</v>
      </c>
      <c r="J264">
        <v>1975.06</v>
      </c>
      <c r="K264">
        <v>1976.26</v>
      </c>
      <c r="L264">
        <v>1977.4</v>
      </c>
    </row>
    <row r="265" spans="1:12" x14ac:dyDescent="0.15">
      <c r="A265">
        <v>1300</v>
      </c>
      <c r="B265">
        <v>1968.05</v>
      </c>
      <c r="C265">
        <v>1969.6</v>
      </c>
      <c r="D265">
        <v>1971.08</v>
      </c>
      <c r="E265">
        <v>1972.5</v>
      </c>
      <c r="F265">
        <v>1973.85</v>
      </c>
      <c r="G265">
        <v>1975.13</v>
      </c>
      <c r="H265">
        <v>1976.35</v>
      </c>
      <c r="I265">
        <v>1977.5</v>
      </c>
      <c r="J265">
        <v>1978.58</v>
      </c>
      <c r="K265">
        <v>1979.59</v>
      </c>
      <c r="L265">
        <v>1980.54</v>
      </c>
    </row>
    <row r="266" spans="1:12" x14ac:dyDescent="0.15">
      <c r="A266">
        <v>1305</v>
      </c>
      <c r="B266">
        <v>1972.49</v>
      </c>
      <c r="C266">
        <v>1973.85</v>
      </c>
      <c r="D266">
        <v>1975.15</v>
      </c>
      <c r="E266">
        <v>1976.38</v>
      </c>
      <c r="F266">
        <v>1977.55</v>
      </c>
      <c r="G266">
        <v>1978.65</v>
      </c>
      <c r="H266">
        <v>1979.68</v>
      </c>
      <c r="I266">
        <v>1980.64</v>
      </c>
      <c r="J266">
        <v>1981.54</v>
      </c>
      <c r="K266">
        <v>1982.36</v>
      </c>
      <c r="L266">
        <v>1983.13</v>
      </c>
    </row>
    <row r="267" spans="1:12" x14ac:dyDescent="0.15">
      <c r="A267">
        <v>1310</v>
      </c>
      <c r="B267">
        <v>1976.37</v>
      </c>
      <c r="C267">
        <v>1977.55</v>
      </c>
      <c r="D267">
        <v>1978.67</v>
      </c>
      <c r="E267">
        <v>1979.71</v>
      </c>
      <c r="F267">
        <v>1980.69</v>
      </c>
      <c r="G267">
        <v>1981.6</v>
      </c>
      <c r="H267">
        <v>1982.45</v>
      </c>
      <c r="I267">
        <v>1983.23</v>
      </c>
      <c r="J267">
        <v>1983.94</v>
      </c>
      <c r="K267">
        <v>1984.58</v>
      </c>
      <c r="L267">
        <v>1985.16</v>
      </c>
    </row>
    <row r="268" spans="1:12" x14ac:dyDescent="0.15">
      <c r="A268">
        <v>1315</v>
      </c>
      <c r="B268">
        <v>1979.7</v>
      </c>
      <c r="C268">
        <v>1980.7</v>
      </c>
      <c r="D268">
        <v>1981.63</v>
      </c>
      <c r="E268">
        <v>1982.49</v>
      </c>
      <c r="F268">
        <v>1983.28</v>
      </c>
      <c r="G268">
        <v>1984</v>
      </c>
      <c r="H268">
        <v>1984.66</v>
      </c>
      <c r="I268">
        <v>1985.26</v>
      </c>
      <c r="J268">
        <v>1985.78</v>
      </c>
      <c r="K268">
        <v>1986.24</v>
      </c>
      <c r="L268">
        <v>1986.63</v>
      </c>
    </row>
    <row r="269" spans="1:12" x14ac:dyDescent="0.15">
      <c r="A269">
        <v>1320</v>
      </c>
      <c r="B269">
        <v>1982.48</v>
      </c>
      <c r="C269">
        <v>1983.28</v>
      </c>
      <c r="D269">
        <v>1984.03</v>
      </c>
      <c r="E269">
        <v>1984.7</v>
      </c>
      <c r="F269">
        <v>1985.31</v>
      </c>
      <c r="G269">
        <v>1985.85</v>
      </c>
      <c r="H269">
        <v>1986.32</v>
      </c>
      <c r="I269">
        <v>1986.73</v>
      </c>
      <c r="J269">
        <v>1987.07</v>
      </c>
      <c r="K269">
        <v>1987.34</v>
      </c>
      <c r="L269">
        <v>1987.58</v>
      </c>
    </row>
    <row r="270" spans="1:12" x14ac:dyDescent="0.15">
      <c r="A270">
        <v>1325</v>
      </c>
      <c r="B270">
        <v>1984.69</v>
      </c>
      <c r="C270">
        <v>1985.32</v>
      </c>
      <c r="D270">
        <v>1985.87</v>
      </c>
      <c r="E270">
        <v>1986.36</v>
      </c>
      <c r="F270">
        <v>1986.78</v>
      </c>
      <c r="G270">
        <v>1987.14</v>
      </c>
      <c r="H270">
        <v>1987.42</v>
      </c>
      <c r="I270">
        <v>1987.65</v>
      </c>
      <c r="J270">
        <v>1987.79</v>
      </c>
      <c r="K270">
        <v>1987.86</v>
      </c>
      <c r="L270">
        <v>1987.93</v>
      </c>
    </row>
    <row r="271" spans="1:12" x14ac:dyDescent="0.15">
      <c r="A271">
        <v>1330</v>
      </c>
      <c r="B271">
        <v>1986.35</v>
      </c>
      <c r="C271">
        <v>1986.79</v>
      </c>
      <c r="D271">
        <v>1987.16</v>
      </c>
      <c r="E271">
        <v>1987.46</v>
      </c>
      <c r="F271">
        <v>1987.7</v>
      </c>
      <c r="G271">
        <v>1987.91</v>
      </c>
      <c r="H271">
        <v>1987.94</v>
      </c>
      <c r="I271">
        <v>1988.01</v>
      </c>
      <c r="J271">
        <v>1988</v>
      </c>
      <c r="K271">
        <v>1988</v>
      </c>
      <c r="L271">
        <v>1988</v>
      </c>
    </row>
    <row r="272" spans="1:12" x14ac:dyDescent="0.15">
      <c r="A272">
        <v>1335</v>
      </c>
      <c r="B272">
        <v>1987.45</v>
      </c>
      <c r="C272">
        <v>1987.71</v>
      </c>
      <c r="D272">
        <v>1987.89</v>
      </c>
      <c r="E272">
        <v>1988</v>
      </c>
      <c r="F272">
        <v>1988</v>
      </c>
      <c r="G272">
        <v>1988</v>
      </c>
      <c r="H272">
        <v>1988</v>
      </c>
      <c r="I272">
        <v>1988</v>
      </c>
      <c r="J272">
        <v>1988</v>
      </c>
      <c r="K272">
        <v>1988</v>
      </c>
      <c r="L272">
        <v>1988</v>
      </c>
    </row>
    <row r="273" spans="1:12" x14ac:dyDescent="0.15">
      <c r="A273">
        <v>1340</v>
      </c>
      <c r="B273">
        <v>1987.98</v>
      </c>
      <c r="C273">
        <v>1988</v>
      </c>
      <c r="D273">
        <v>1988</v>
      </c>
      <c r="E273">
        <v>1988</v>
      </c>
      <c r="F273">
        <v>1988</v>
      </c>
      <c r="G273">
        <v>1988</v>
      </c>
      <c r="H273">
        <v>1988</v>
      </c>
      <c r="I273">
        <v>1988</v>
      </c>
      <c r="J273">
        <v>1988</v>
      </c>
      <c r="K273">
        <v>1988</v>
      </c>
      <c r="L273">
        <v>1988</v>
      </c>
    </row>
    <row r="274" spans="1:12" x14ac:dyDescent="0.15">
      <c r="A274">
        <v>1404</v>
      </c>
      <c r="B274">
        <v>1988</v>
      </c>
      <c r="C274">
        <v>1988</v>
      </c>
      <c r="D274">
        <v>1988</v>
      </c>
      <c r="E274">
        <v>1988</v>
      </c>
      <c r="F274">
        <v>1988</v>
      </c>
      <c r="G274">
        <v>1988</v>
      </c>
      <c r="H274">
        <v>1988</v>
      </c>
      <c r="I274">
        <v>1988</v>
      </c>
      <c r="J274">
        <v>1988</v>
      </c>
      <c r="K274">
        <v>1988</v>
      </c>
      <c r="L274">
        <v>1988</v>
      </c>
    </row>
  </sheetData>
  <mergeCells count="1">
    <mergeCell ref="R1:V1"/>
  </mergeCells>
  <phoneticPr fontId="1" type="noConversion"/>
  <hyperlinks>
    <hyperlink ref="R4" location="SOUNDING!A1" display="Back" xr:uid="{00000000-0004-0000-1400-000000000000}"/>
  </hyperlink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>
    <tabColor theme="1" tint="0.34998626667073579"/>
  </sheetPr>
  <dimension ref="A1:I50"/>
  <sheetViews>
    <sheetView showGridLines="0" showRowColHeaders="0" zoomScaleSheetLayoutView="100" workbookViewId="0">
      <selection activeCell="E38" sqref="E38"/>
    </sheetView>
  </sheetViews>
  <sheetFormatPr defaultColWidth="12.625" defaultRowHeight="14.25" x14ac:dyDescent="0.15"/>
  <cols>
    <col min="1" max="1" width="9.625" style="105" customWidth="1"/>
    <col min="2" max="2" width="8.625" style="105" customWidth="1"/>
    <col min="3" max="5" width="11.625" style="105" customWidth="1"/>
    <col min="6" max="6" width="12.125" style="105" customWidth="1"/>
    <col min="7" max="8" width="11.625" style="105" customWidth="1"/>
    <col min="9" max="9" width="9.625" style="105" customWidth="1"/>
    <col min="10" max="16384" width="12.625" style="105"/>
  </cols>
  <sheetData>
    <row r="1" spans="1:9" ht="19.5" x14ac:dyDescent="0.15">
      <c r="B1" s="105" t="s">
        <v>91</v>
      </c>
      <c r="C1" s="221" t="s">
        <v>92</v>
      </c>
      <c r="D1" s="221"/>
      <c r="E1" s="221"/>
      <c r="F1" s="221"/>
    </row>
    <row r="3" spans="1:9" x14ac:dyDescent="0.15">
      <c r="A3" s="125" t="s">
        <v>93</v>
      </c>
      <c r="B3" s="220" t="s">
        <v>94</v>
      </c>
      <c r="C3" s="220"/>
      <c r="D3" s="125" t="s">
        <v>91</v>
      </c>
      <c r="E3" s="125"/>
      <c r="F3" s="125" t="s">
        <v>95</v>
      </c>
      <c r="G3" s="219">
        <f>DATA!B5</f>
        <v>225.5</v>
      </c>
      <c r="H3" s="219"/>
    </row>
    <row r="4" spans="1:9" x14ac:dyDescent="0.15">
      <c r="A4" s="125" t="s">
        <v>96</v>
      </c>
      <c r="B4" s="223">
        <f ca="1">TODAY()</f>
        <v>45391</v>
      </c>
      <c r="C4" s="223"/>
      <c r="D4" s="125" t="s">
        <v>91</v>
      </c>
      <c r="E4" s="125"/>
      <c r="F4" s="125" t="s">
        <v>97</v>
      </c>
      <c r="G4" s="220"/>
      <c r="H4" s="220"/>
    </row>
    <row r="5" spans="1:9" x14ac:dyDescent="0.15">
      <c r="A5" s="125" t="s">
        <v>98</v>
      </c>
      <c r="B5" s="220" t="s">
        <v>94</v>
      </c>
      <c r="C5" s="220"/>
      <c r="D5" s="125" t="s">
        <v>91</v>
      </c>
      <c r="E5" s="125"/>
      <c r="F5" s="125" t="s">
        <v>99</v>
      </c>
      <c r="G5" s="220"/>
      <c r="H5" s="220"/>
    </row>
    <row r="6" spans="1:9" x14ac:dyDescent="0.15">
      <c r="A6" s="125" t="s">
        <v>100</v>
      </c>
      <c r="B6" s="220" t="s">
        <v>94</v>
      </c>
      <c r="C6" s="220"/>
      <c r="D6" s="125" t="s">
        <v>91</v>
      </c>
      <c r="E6" s="125"/>
      <c r="F6" s="125" t="s">
        <v>101</v>
      </c>
      <c r="G6" s="219">
        <f>Initial!F21</f>
        <v>1.0209999999999999</v>
      </c>
      <c r="H6" s="219"/>
    </row>
    <row r="7" spans="1:9" x14ac:dyDescent="0.15">
      <c r="A7" s="217" t="s">
        <v>102</v>
      </c>
      <c r="B7" s="218"/>
      <c r="C7" s="126">
        <f>DATA!B4</f>
        <v>2.1999999999999999E-2</v>
      </c>
      <c r="D7" s="125" t="s">
        <v>91</v>
      </c>
      <c r="E7" s="125"/>
      <c r="F7" s="125" t="s">
        <v>103</v>
      </c>
      <c r="G7" s="219">
        <f>Final!F21</f>
        <v>1.0209999999999999</v>
      </c>
      <c r="H7" s="219"/>
    </row>
    <row r="9" spans="1:9" x14ac:dyDescent="0.15">
      <c r="A9" s="226" t="s">
        <v>104</v>
      </c>
      <c r="B9" s="227"/>
      <c r="C9" s="226" t="s">
        <v>105</v>
      </c>
      <c r="D9" s="227"/>
      <c r="E9" s="109" t="s">
        <v>106</v>
      </c>
      <c r="F9" s="109" t="s">
        <v>107</v>
      </c>
      <c r="G9" s="238" t="s">
        <v>108</v>
      </c>
      <c r="H9" s="226" t="s">
        <v>109</v>
      </c>
      <c r="I9" s="227"/>
    </row>
    <row r="10" spans="1:9" x14ac:dyDescent="0.15">
      <c r="A10" s="228"/>
      <c r="B10" s="229"/>
      <c r="C10" s="110" t="s">
        <v>110</v>
      </c>
      <c r="D10" s="111" t="s">
        <v>111</v>
      </c>
      <c r="E10" s="112" t="s">
        <v>107</v>
      </c>
      <c r="F10" s="112" t="s">
        <v>112</v>
      </c>
      <c r="G10" s="239"/>
      <c r="H10" s="231"/>
      <c r="I10" s="233"/>
    </row>
    <row r="11" spans="1:9" x14ac:dyDescent="0.15">
      <c r="A11" s="238" t="s">
        <v>113</v>
      </c>
      <c r="B11" s="113" t="s">
        <v>114</v>
      </c>
      <c r="C11" s="127">
        <f>Initial!C8</f>
        <v>9.6</v>
      </c>
      <c r="D11" s="128">
        <f>Initial!J8</f>
        <v>9.9</v>
      </c>
      <c r="E11" s="129">
        <f t="shared" ref="E11:E16" si="0">(C11+D11)/2</f>
        <v>9.75</v>
      </c>
      <c r="F11" s="129">
        <f>-Initial!B24*DATA!B6/(DATA!B5-DATA!B6-DATA!B8)</f>
        <v>-9.2267250821467625E-2</v>
      </c>
      <c r="G11" s="130">
        <f t="shared" ref="G11:G16" si="1">E11+F11</f>
        <v>9.6577327491785319</v>
      </c>
      <c r="H11" s="114" t="s">
        <v>115</v>
      </c>
      <c r="I11" s="132">
        <f>(G11+G15)/2</f>
        <v>10.53341730558598</v>
      </c>
    </row>
    <row r="12" spans="1:9" x14ac:dyDescent="0.15">
      <c r="A12" s="239"/>
      <c r="B12" s="113" t="s">
        <v>116</v>
      </c>
      <c r="C12" s="127">
        <f>Final!C8</f>
        <v>14.46</v>
      </c>
      <c r="D12" s="128">
        <f>Final!J8</f>
        <v>14.46</v>
      </c>
      <c r="E12" s="131">
        <f t="shared" si="0"/>
        <v>14.46</v>
      </c>
      <c r="F12" s="131">
        <f>-Final!B24*DATA!E6/(DATA!E5-DATA!E6-DATA!E8)</f>
        <v>-1.7743702081051101E-3</v>
      </c>
      <c r="G12" s="127">
        <f t="shared" si="1"/>
        <v>14.458225629791896</v>
      </c>
      <c r="H12" s="115"/>
      <c r="I12" s="133">
        <f>(G12+G16)/2</f>
        <v>14.475065717415116</v>
      </c>
    </row>
    <row r="13" spans="1:9" x14ac:dyDescent="0.15">
      <c r="A13" s="238" t="s">
        <v>117</v>
      </c>
      <c r="B13" s="113" t="s">
        <v>114</v>
      </c>
      <c r="C13" s="127">
        <f>Initial!C12</f>
        <v>10.48</v>
      </c>
      <c r="D13" s="128">
        <f>Initial!J12</f>
        <v>10.78</v>
      </c>
      <c r="E13" s="131">
        <f t="shared" si="0"/>
        <v>10.629999999999999</v>
      </c>
      <c r="F13" s="131">
        <f>-Initial!B24*DATA!B7/(DATA!B5-DATA!B6-DATA!B8)</f>
        <v>-9.3199243254007674E-3</v>
      </c>
      <c r="G13" s="127">
        <f t="shared" si="1"/>
        <v>10.620680075674597</v>
      </c>
      <c r="H13" s="115" t="s">
        <v>118</v>
      </c>
      <c r="I13" s="133">
        <f>G13</f>
        <v>10.620680075674597</v>
      </c>
    </row>
    <row r="14" spans="1:9" x14ac:dyDescent="0.15">
      <c r="A14" s="239"/>
      <c r="B14" s="113" t="s">
        <v>116</v>
      </c>
      <c r="C14" s="127">
        <f>Final!C12</f>
        <v>14.53</v>
      </c>
      <c r="D14" s="128">
        <f>Final!J12</f>
        <v>14.53</v>
      </c>
      <c r="E14" s="131">
        <f t="shared" si="0"/>
        <v>14.53</v>
      </c>
      <c r="F14" s="131">
        <f>-Final!B24*DATA!E7/(DATA!E5-DATA!E6-DATA!E8)</f>
        <v>-1.792293139500111E-4</v>
      </c>
      <c r="G14" s="127">
        <f t="shared" si="1"/>
        <v>14.529820770686049</v>
      </c>
      <c r="H14" s="115"/>
      <c r="I14" s="133">
        <f>G14</f>
        <v>14.529820770686049</v>
      </c>
    </row>
    <row r="15" spans="1:9" x14ac:dyDescent="0.15">
      <c r="A15" s="238" t="s">
        <v>119</v>
      </c>
      <c r="B15" s="113" t="s">
        <v>114</v>
      </c>
      <c r="C15" s="127">
        <f>Initial!C16</f>
        <v>11.2</v>
      </c>
      <c r="D15" s="128">
        <f>Initial!J16</f>
        <v>11.42</v>
      </c>
      <c r="E15" s="131">
        <f t="shared" si="0"/>
        <v>11.309999999999999</v>
      </c>
      <c r="F15" s="131">
        <f>Initial!B24*DATA!B8/(DATA!B5-DATA!B6-DATA!B8)</f>
        <v>9.9101861993428159E-2</v>
      </c>
      <c r="G15" s="127">
        <f t="shared" si="1"/>
        <v>11.409101861993427</v>
      </c>
      <c r="H15" s="115"/>
      <c r="I15" s="116"/>
    </row>
    <row r="16" spans="1:9" x14ac:dyDescent="0.15">
      <c r="A16" s="239"/>
      <c r="B16" s="113" t="s">
        <v>116</v>
      </c>
      <c r="C16" s="127">
        <f>Final!C16</f>
        <v>14.49</v>
      </c>
      <c r="D16" s="128">
        <f>Final!J16</f>
        <v>14.49</v>
      </c>
      <c r="E16" s="131">
        <f t="shared" si="0"/>
        <v>14.49</v>
      </c>
      <c r="F16" s="131">
        <f>Final!B24*DATA!E8/(DATA!E5-DATA!E6-DATA!E8)</f>
        <v>1.9058050383351178E-3</v>
      </c>
      <c r="G16" s="127">
        <f t="shared" si="1"/>
        <v>14.491905805038336</v>
      </c>
      <c r="H16" s="115"/>
      <c r="I16" s="116"/>
    </row>
    <row r="17" spans="1:9" x14ac:dyDescent="0.15">
      <c r="A17" s="238" t="s">
        <v>120</v>
      </c>
      <c r="B17" s="113" t="s">
        <v>114</v>
      </c>
      <c r="C17" s="224" t="s">
        <v>121</v>
      </c>
      <c r="D17" s="225"/>
      <c r="E17" s="131">
        <f>E15-E11</f>
        <v>1.5599999999999987</v>
      </c>
      <c r="F17" s="117" t="s">
        <v>122</v>
      </c>
      <c r="G17" s="127">
        <f>G15-G11</f>
        <v>1.7513691128148956</v>
      </c>
      <c r="H17" s="115"/>
      <c r="I17" s="118"/>
    </row>
    <row r="18" spans="1:9" x14ac:dyDescent="0.15">
      <c r="A18" s="239"/>
      <c r="B18" s="113" t="s">
        <v>116</v>
      </c>
      <c r="C18" s="224" t="s">
        <v>121</v>
      </c>
      <c r="D18" s="225"/>
      <c r="E18" s="131">
        <f>E16-E12</f>
        <v>2.9999999999999361E-2</v>
      </c>
      <c r="F18" s="117" t="s">
        <v>122</v>
      </c>
      <c r="G18" s="127">
        <f>G16-G12</f>
        <v>3.3680175246439958E-2</v>
      </c>
      <c r="H18" s="119"/>
      <c r="I18" s="120"/>
    </row>
    <row r="19" spans="1:9" x14ac:dyDescent="0.15">
      <c r="C19" s="107"/>
      <c r="D19" s="107"/>
      <c r="E19" s="106"/>
      <c r="F19" s="107"/>
      <c r="G19" s="106"/>
    </row>
    <row r="20" spans="1:9" x14ac:dyDescent="0.15">
      <c r="D20" s="121" t="s">
        <v>123</v>
      </c>
      <c r="E20" s="121" t="s">
        <v>124</v>
      </c>
    </row>
    <row r="21" spans="1:9" x14ac:dyDescent="0.15">
      <c r="A21" s="235" t="s">
        <v>125</v>
      </c>
      <c r="B21" s="236"/>
      <c r="C21" s="237"/>
      <c r="D21" s="134">
        <f>Initial!P22</f>
        <v>10.576864383152444</v>
      </c>
      <c r="E21" s="135">
        <f>Final!P22</f>
        <v>14.494132007368314</v>
      </c>
      <c r="F21" s="122" t="s">
        <v>126</v>
      </c>
      <c r="G21" s="123"/>
      <c r="H21" s="123"/>
      <c r="I21" s="124"/>
    </row>
    <row r="22" spans="1:9" x14ac:dyDescent="0.15">
      <c r="A22" s="240" t="s">
        <v>127</v>
      </c>
      <c r="B22" s="241"/>
      <c r="C22" s="242"/>
      <c r="D22" s="134">
        <f ca="1">Initial!P23</f>
        <v>67209.378986159514</v>
      </c>
      <c r="E22" s="134">
        <f ca="1">Final!P23</f>
        <v>95112.60302086029</v>
      </c>
      <c r="F22" s="122" t="s">
        <v>128</v>
      </c>
      <c r="G22" s="123"/>
      <c r="H22" s="123"/>
      <c r="I22" s="124"/>
    </row>
    <row r="23" spans="1:9" x14ac:dyDescent="0.15">
      <c r="A23" s="243"/>
      <c r="B23" s="244"/>
      <c r="C23" s="245"/>
      <c r="D23" s="136">
        <f ca="1">Initial!T23</f>
        <v>109.4317474798367</v>
      </c>
      <c r="E23" s="136">
        <f ca="1">Final!T23</f>
        <v>107.93493887882106</v>
      </c>
      <c r="F23" s="122" t="s">
        <v>129</v>
      </c>
      <c r="G23" s="123"/>
      <c r="H23" s="123"/>
      <c r="I23" s="124"/>
    </row>
    <row r="24" spans="1:9" x14ac:dyDescent="0.15">
      <c r="A24" s="243"/>
      <c r="B24" s="244"/>
      <c r="C24" s="245"/>
      <c r="D24" s="136">
        <f ca="1">Initial!U23</f>
        <v>70.400000000000006</v>
      </c>
      <c r="E24" s="136">
        <f ca="1">Final!U23</f>
        <v>71.7</v>
      </c>
      <c r="F24" s="122" t="s">
        <v>130</v>
      </c>
      <c r="G24" s="123"/>
      <c r="H24" s="123"/>
      <c r="I24" s="124"/>
    </row>
    <row r="25" spans="1:9" x14ac:dyDescent="0.15">
      <c r="A25" s="246"/>
      <c r="B25" s="247"/>
      <c r="C25" s="248"/>
      <c r="D25" s="136">
        <f>Initial!V23</f>
        <v>40.5</v>
      </c>
      <c r="E25" s="136">
        <f>Final!V23</f>
        <v>8.1000000000001364</v>
      </c>
      <c r="F25" s="122" t="s">
        <v>131</v>
      </c>
      <c r="G25" s="123"/>
      <c r="H25" s="123"/>
      <c r="I25" s="124"/>
    </row>
    <row r="26" spans="1:9" x14ac:dyDescent="0.15">
      <c r="A26" s="226" t="s">
        <v>132</v>
      </c>
      <c r="B26" s="230"/>
      <c r="C26" s="227"/>
      <c r="D26" s="137">
        <f ca="1">(Initial!F21-1.025)*(Initial!P23+Initial!P24+Initial!P25)/1.025</f>
        <v>-263.09602008271429</v>
      </c>
      <c r="E26" s="134">
        <f ca="1">(Final!F21-1.025)*(Final!P23+Final!P24+Final!P25)/1.025</f>
        <v>-371.19126432693196</v>
      </c>
      <c r="F26" s="123" t="s">
        <v>133</v>
      </c>
      <c r="G26" s="123"/>
      <c r="H26" s="123"/>
      <c r="I26" s="124"/>
    </row>
    <row r="27" spans="1:9" x14ac:dyDescent="0.15">
      <c r="A27" s="231" t="s">
        <v>134</v>
      </c>
      <c r="B27" s="232"/>
      <c r="C27" s="233"/>
      <c r="D27" s="138">
        <f ca="1">D26+Initial!P24+Initial!P25</f>
        <v>-54.119860046750617</v>
      </c>
      <c r="E27" s="136">
        <f ca="1">E26+Final!P24+Final!P25</f>
        <v>-366.03280141099634</v>
      </c>
      <c r="F27" s="235"/>
      <c r="G27" s="236"/>
      <c r="H27" s="236"/>
      <c r="I27" s="237"/>
    </row>
    <row r="28" spans="1:9" x14ac:dyDescent="0.15">
      <c r="A28" s="228" t="s">
        <v>135</v>
      </c>
      <c r="B28" s="234"/>
      <c r="C28" s="229"/>
      <c r="D28" s="139">
        <f ca="1">D22+D27</f>
        <v>67155.259126112767</v>
      </c>
      <c r="E28" s="140">
        <f ca="1">E22+E27</f>
        <v>94746.570219449291</v>
      </c>
      <c r="F28" s="235"/>
      <c r="G28" s="236"/>
      <c r="H28" s="236"/>
      <c r="I28" s="237"/>
    </row>
    <row r="29" spans="1:9" x14ac:dyDescent="0.15">
      <c r="A29" s="106"/>
      <c r="B29" s="106"/>
      <c r="C29" s="106"/>
      <c r="F29" s="106"/>
      <c r="G29" s="106"/>
      <c r="H29" s="106"/>
      <c r="I29" s="106"/>
    </row>
    <row r="30" spans="1:9" x14ac:dyDescent="0.15">
      <c r="A30" s="125" t="s">
        <v>136</v>
      </c>
      <c r="B30" s="125"/>
      <c r="C30" s="125"/>
      <c r="D30" s="125"/>
      <c r="E30" s="125"/>
      <c r="F30" s="125"/>
      <c r="G30" s="125"/>
      <c r="H30" s="125"/>
      <c r="I30" s="125"/>
    </row>
    <row r="31" spans="1:9" x14ac:dyDescent="0.15">
      <c r="A31" s="219" t="s">
        <v>137</v>
      </c>
      <c r="B31" s="219"/>
      <c r="C31" s="219"/>
      <c r="D31" s="141">
        <f>Initial!P12</f>
        <v>6000</v>
      </c>
      <c r="E31" s="141">
        <f>Final!P12</f>
        <v>500</v>
      </c>
      <c r="F31" s="125" t="s">
        <v>138</v>
      </c>
      <c r="G31" s="125"/>
      <c r="H31" s="125"/>
      <c r="I31" s="125"/>
    </row>
    <row r="32" spans="1:9" x14ac:dyDescent="0.15">
      <c r="A32" s="217" t="s">
        <v>139</v>
      </c>
      <c r="B32" s="217"/>
      <c r="C32" s="217"/>
      <c r="D32" s="141">
        <f>Initial!P6</f>
        <v>460</v>
      </c>
      <c r="E32" s="141">
        <f>Final!P6</f>
        <v>950</v>
      </c>
      <c r="F32" s="125" t="s">
        <v>138</v>
      </c>
      <c r="G32" s="125"/>
      <c r="H32" s="125"/>
      <c r="I32" s="125"/>
    </row>
    <row r="33" spans="1:9" x14ac:dyDescent="0.15">
      <c r="A33" s="217" t="s">
        <v>140</v>
      </c>
      <c r="B33" s="217"/>
      <c r="C33" s="217"/>
      <c r="D33" s="141">
        <f>Initial!P8</f>
        <v>114</v>
      </c>
      <c r="E33" s="141">
        <f>Final!P8</f>
        <v>200</v>
      </c>
      <c r="F33" s="125" t="s">
        <v>138</v>
      </c>
      <c r="G33" s="125"/>
      <c r="H33" s="125"/>
      <c r="I33" s="125"/>
    </row>
    <row r="34" spans="1:9" x14ac:dyDescent="0.15">
      <c r="A34" s="219" t="s">
        <v>141</v>
      </c>
      <c r="B34" s="219"/>
      <c r="C34" s="219"/>
      <c r="D34" s="141">
        <v>0</v>
      </c>
      <c r="E34" s="141">
        <v>0</v>
      </c>
      <c r="F34" s="125" t="s">
        <v>138</v>
      </c>
      <c r="G34" s="125"/>
      <c r="H34" s="125"/>
      <c r="I34" s="125"/>
    </row>
    <row r="35" spans="1:9" x14ac:dyDescent="0.15">
      <c r="A35" s="219" t="s">
        <v>142</v>
      </c>
      <c r="B35" s="219"/>
      <c r="C35" s="219"/>
      <c r="D35" s="141">
        <f>Initial!P10</f>
        <v>295</v>
      </c>
      <c r="E35" s="141">
        <f>Final!P10</f>
        <v>300</v>
      </c>
      <c r="F35" s="125" t="s">
        <v>138</v>
      </c>
      <c r="G35" s="125"/>
      <c r="H35" s="125"/>
      <c r="I35" s="125"/>
    </row>
    <row r="36" spans="1:9" x14ac:dyDescent="0.15">
      <c r="A36" s="219" t="s">
        <v>143</v>
      </c>
      <c r="B36" s="219"/>
      <c r="C36" s="219"/>
      <c r="D36" s="141">
        <v>0</v>
      </c>
      <c r="E36" s="141">
        <v>0</v>
      </c>
      <c r="F36" s="125" t="s">
        <v>138</v>
      </c>
      <c r="G36" s="125"/>
      <c r="H36" s="125"/>
      <c r="I36" s="125"/>
    </row>
    <row r="37" spans="1:9" ht="18" customHeight="1" x14ac:dyDescent="0.15">
      <c r="A37" s="232" t="s">
        <v>144</v>
      </c>
      <c r="B37" s="232"/>
      <c r="C37" s="232"/>
      <c r="D37" s="142">
        <f>SUM(D31:D36)</f>
        <v>6869</v>
      </c>
      <c r="E37" s="142">
        <f>SUM(E31:E36)</f>
        <v>1950</v>
      </c>
      <c r="F37" s="125" t="s">
        <v>138</v>
      </c>
      <c r="G37" s="125"/>
      <c r="H37" s="125"/>
      <c r="I37" s="125"/>
    </row>
    <row r="38" spans="1:9" x14ac:dyDescent="0.15">
      <c r="A38" s="219" t="s">
        <v>145</v>
      </c>
      <c r="B38" s="219"/>
      <c r="C38" s="219"/>
      <c r="D38" s="141">
        <f ca="1">D28</f>
        <v>67155.259126112767</v>
      </c>
      <c r="E38" s="141">
        <f ca="1">E28</f>
        <v>94746.570219449291</v>
      </c>
      <c r="F38" s="125" t="s">
        <v>138</v>
      </c>
      <c r="G38" s="125"/>
      <c r="H38" s="125"/>
      <c r="I38" s="125"/>
    </row>
    <row r="39" spans="1:9" x14ac:dyDescent="0.15">
      <c r="A39" s="219" t="s">
        <v>146</v>
      </c>
      <c r="B39" s="219"/>
      <c r="C39" s="219"/>
      <c r="D39" s="141">
        <f>D37</f>
        <v>6869</v>
      </c>
      <c r="E39" s="141">
        <f>E37</f>
        <v>1950</v>
      </c>
      <c r="F39" s="125" t="s">
        <v>138</v>
      </c>
      <c r="G39" s="125"/>
      <c r="H39" s="125"/>
      <c r="I39" s="125"/>
    </row>
    <row r="40" spans="1:9" x14ac:dyDescent="0.15">
      <c r="A40" s="219" t="s">
        <v>147</v>
      </c>
      <c r="B40" s="219"/>
      <c r="C40" s="219"/>
      <c r="D40" s="141">
        <f>DATA!B2</f>
        <v>13695.2</v>
      </c>
      <c r="E40" s="141">
        <f>D40</f>
        <v>13695.2</v>
      </c>
      <c r="F40" s="125" t="s">
        <v>138</v>
      </c>
      <c r="G40" s="125"/>
      <c r="H40" s="125"/>
      <c r="I40" s="125"/>
    </row>
    <row r="41" spans="1:9" x14ac:dyDescent="0.15">
      <c r="A41" s="219" t="s">
        <v>148</v>
      </c>
      <c r="B41" s="219"/>
      <c r="C41" s="219"/>
      <c r="D41" s="141">
        <f>Initial!P16</f>
        <v>600</v>
      </c>
      <c r="E41" s="141">
        <f>Final!P16</f>
        <v>600</v>
      </c>
      <c r="F41" s="125" t="s">
        <v>138</v>
      </c>
      <c r="G41" s="125"/>
      <c r="H41" s="125"/>
      <c r="I41" s="125"/>
    </row>
    <row r="42" spans="1:9" ht="18" customHeight="1" x14ac:dyDescent="0.15">
      <c r="A42" s="232" t="s">
        <v>149</v>
      </c>
      <c r="B42" s="232"/>
      <c r="C42" s="232"/>
      <c r="D42" s="142">
        <f ca="1">D38-(D39+D40+D41)</f>
        <v>45991.05912611277</v>
      </c>
      <c r="E42" s="142">
        <f ca="1">E38-(E39+E40+E41)</f>
        <v>78501.370219449294</v>
      </c>
      <c r="F42" s="125" t="s">
        <v>138</v>
      </c>
      <c r="G42" s="125"/>
      <c r="H42" s="125"/>
      <c r="I42" s="125"/>
    </row>
    <row r="43" spans="1:9" x14ac:dyDescent="0.15">
      <c r="A43" s="126"/>
      <c r="B43" s="126"/>
      <c r="C43" s="126"/>
      <c r="D43" s="125"/>
      <c r="E43" s="125"/>
      <c r="F43" s="125"/>
      <c r="G43" s="125"/>
      <c r="H43" s="125"/>
      <c r="I43" s="125"/>
    </row>
    <row r="44" spans="1:9" x14ac:dyDescent="0.15">
      <c r="A44" s="125" t="s">
        <v>150</v>
      </c>
      <c r="B44" s="125"/>
      <c r="C44" s="125"/>
      <c r="D44" s="125"/>
      <c r="E44" s="125"/>
      <c r="F44" s="125"/>
      <c r="G44" s="125"/>
      <c r="H44" s="125"/>
      <c r="I44" s="125"/>
    </row>
    <row r="45" spans="1:9" x14ac:dyDescent="0.15">
      <c r="A45" s="125" t="s">
        <v>151</v>
      </c>
      <c r="B45" s="125"/>
      <c r="C45" s="125"/>
      <c r="D45" s="125"/>
      <c r="E45" s="125"/>
      <c r="F45" s="125"/>
      <c r="G45" s="125"/>
      <c r="H45" s="125"/>
      <c r="I45" s="125"/>
    </row>
    <row r="47" spans="1:9" x14ac:dyDescent="0.15">
      <c r="A47" s="222" t="str">
        <f ca="1">IF(E42-D42&gt;0,"When Loading : (Final cargo - initial cargo) =", "When Discharging : (Initial cargo - final cargo) =")</f>
        <v>When Loading : (Final cargo - initial cargo) =</v>
      </c>
      <c r="B47" s="222"/>
      <c r="C47" s="222"/>
      <c r="D47" s="222"/>
      <c r="E47" s="222"/>
      <c r="F47" s="222"/>
      <c r="G47" s="144">
        <f ca="1">ABS(E42-D42)</f>
        <v>32510.311093336524</v>
      </c>
      <c r="H47" s="143" t="s">
        <v>138</v>
      </c>
    </row>
    <row r="50" spans="1:8" x14ac:dyDescent="0.15">
      <c r="A50" s="249" t="s">
        <v>152</v>
      </c>
      <c r="B50" s="249"/>
      <c r="C50" s="108" t="s">
        <v>91</v>
      </c>
      <c r="D50" s="108" t="s">
        <v>91</v>
      </c>
      <c r="E50" s="249" t="s">
        <v>153</v>
      </c>
      <c r="F50" s="249"/>
      <c r="G50" s="108"/>
      <c r="H50" s="108"/>
    </row>
  </sheetData>
  <sheetProtection algorithmName="SHA-512" hashValue="4BkQylPIhlIrTYi8FVLWxEPtyXFTz9QkIxO+v67lTt5bQfoRsN3K6B9GxtPhgOZIjVASmoofpzMWttbXWqksyw==" saltValue="CelRe/x7k2LRiop6DcE0Iw==" spinCount="100000" sheet="1" objects="1" scenarios="1"/>
  <mergeCells count="43">
    <mergeCell ref="F28:I28"/>
    <mergeCell ref="A50:B50"/>
    <mergeCell ref="E50:F50"/>
    <mergeCell ref="A11:A12"/>
    <mergeCell ref="A13:A14"/>
    <mergeCell ref="A15:A16"/>
    <mergeCell ref="A17:A18"/>
    <mergeCell ref="A38:C38"/>
    <mergeCell ref="A39:C39"/>
    <mergeCell ref="A42:C42"/>
    <mergeCell ref="A41:C41"/>
    <mergeCell ref="A40:C40"/>
    <mergeCell ref="A31:C31"/>
    <mergeCell ref="A32:C32"/>
    <mergeCell ref="A33:C33"/>
    <mergeCell ref="A34:C34"/>
    <mergeCell ref="H9:I10"/>
    <mergeCell ref="G9:G10"/>
    <mergeCell ref="C9:D9"/>
    <mergeCell ref="A21:C21"/>
    <mergeCell ref="A22:C25"/>
    <mergeCell ref="C1:F1"/>
    <mergeCell ref="A47:F47"/>
    <mergeCell ref="B3:C3"/>
    <mergeCell ref="B4:C4"/>
    <mergeCell ref="B5:C5"/>
    <mergeCell ref="B6:C6"/>
    <mergeCell ref="C17:D17"/>
    <mergeCell ref="C18:D18"/>
    <mergeCell ref="A9:B10"/>
    <mergeCell ref="A26:C26"/>
    <mergeCell ref="A27:C27"/>
    <mergeCell ref="A28:C28"/>
    <mergeCell ref="A37:C37"/>
    <mergeCell ref="A36:C36"/>
    <mergeCell ref="A35:C35"/>
    <mergeCell ref="F27:I27"/>
    <mergeCell ref="A7:B7"/>
    <mergeCell ref="G3:H3"/>
    <mergeCell ref="G4:H4"/>
    <mergeCell ref="G5:H5"/>
    <mergeCell ref="G6:H6"/>
    <mergeCell ref="G7:H7"/>
  </mergeCells>
  <phoneticPr fontId="1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portrait" r:id="rId1"/>
  <drawing r:id="rId2"/>
</worksheet>
</file>

<file path=customUI/customUI.xml><?xml version="1.0" encoding="utf-8"?>
<customUI xmlns="http://schemas.microsoft.com/office/2006/01/customui">
  <ribbon startFromScratch="true">
    <tabs>
      <tab id="CustomTab1" label="Menu">
        <group id="SampleGroup1" label="Undo">
          <control idMso="Undo" size="large" label="Ctrl+Z" showLabel="true"/>
        </group>
        <group id="SampleGroup2" label="Redo">
          <control idMso="Redo" size="large" label="Ctrl+Y" showLabel="true"/>
        </group>
        <group id="SampleGroup3" label="Save">
          <control idMso="FileSave" size="large" label="Ctrl+S" showLabel="true"/>
        </group>
        <group id="SampleGroup4" label="SaveAs">
          <control idMso="FileSaveAsOtherFormats" size="large" label="F12" showLabel="true"/>
        </group>
        <group id="SampleGroup11" label="Import">
          <button id="Button11" imageMso="FileCheckIn" label="Ctrl+I" size="large" onAction="ThisWorkbook.ImportData"/>
        </group>
        <group id="SampleGroup12" label="Export">
          <button id="Button12" imageMso="FileCheckOut" label="Ctrl+E" size="large" onAction="ThisWorkbook.ExportData"/>
        </group>
        <group id="SampleGroup5" label="Calc.exe">
          <button id="Button5" imageMso="CalculateNow" label="Ctrl+J" size="large" onAction="ThisWorkbook.Calcm"/>
        </group>
        <group id="SampleGroup10" label="Print">
          <button id="Button10" imageMso="FilePrint" label="Ctrl+P" size="large" onAction="ThisWorkbook.printReport"/>
        </group>
      </tab>
      <tab id="CustomTab2" label="Macro">
        <group id="SampleGroup6" label="MacroSecurity">
          <control idMso="MacroSecurity" size="large" label="Click me" showLabel="true"/>
        </group>
      </tab>
      <tab id="CustomTab3" label="About">
        <group id="SampleGroup7" label="Version">
          <button id="Button6" imageMso="AutoSigWebInsertHyperlink" label="Check for Updates" size="large" onAction="ThisWorkbook.Chksys"/>
        </group>
        <group id="SampleGroup8" label="Donate">
          <button id="Button7" imageMso="AppointmentColorDialog" label="Reward me" size="large" onAction="ThisWorkbook.Donate"/>
        </group>
        <group id="SampleGroup9" label="Dingzihao.cn">
          <button id="Button8" imageMso="HappyFace" label="Updated 2024.04.09" size="large" onAction="ThisWorkbook.H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32</vt:i4>
      </vt:variant>
      <vt:variant>
        <vt:lpstr>命名范围</vt:lpstr>
      </vt:variant>
      <vt:variant>
        <vt:i4>1</vt:i4>
      </vt:variant>
    </vt:vector>
  </HeadingPairs>
  <TitlesOfParts>
    <vt:vector size="33" baseType="lpstr">
      <vt:lpstr>Initial</vt:lpstr>
      <vt:lpstr>Int1</vt:lpstr>
      <vt:lpstr>Int2</vt:lpstr>
      <vt:lpstr>Final</vt:lpstr>
      <vt:lpstr>DATA</vt:lpstr>
      <vt:lpstr>HYDROS</vt:lpstr>
      <vt:lpstr>TRIM</vt:lpstr>
      <vt:lpstr>TrimmingTable</vt:lpstr>
      <vt:lpstr>SOUNDING</vt:lpstr>
      <vt:lpstr>FPT</vt:lpstr>
      <vt:lpstr>No.1 P</vt:lpstr>
      <vt:lpstr>No.1 S</vt:lpstr>
      <vt:lpstr>No.2 P</vt:lpstr>
      <vt:lpstr>No.2 S</vt:lpstr>
      <vt:lpstr>No.3 P</vt:lpstr>
      <vt:lpstr>No.3 S</vt:lpstr>
      <vt:lpstr>No.4 P</vt:lpstr>
      <vt:lpstr>No.4 S</vt:lpstr>
      <vt:lpstr>No.5 P</vt:lpstr>
      <vt:lpstr>No.5 S</vt:lpstr>
      <vt:lpstr>No.6 P</vt:lpstr>
      <vt:lpstr>No.6 S</vt:lpstr>
      <vt:lpstr>No.7 P</vt:lpstr>
      <vt:lpstr>No.7 S</vt:lpstr>
      <vt:lpstr>No.8 P</vt:lpstr>
      <vt:lpstr>No.8 S</vt:lpstr>
      <vt:lpstr>No.9 P</vt:lpstr>
      <vt:lpstr>No.9 S</vt:lpstr>
      <vt:lpstr>No.10 P</vt:lpstr>
      <vt:lpstr>No.10 S</vt:lpstr>
      <vt:lpstr>APT</vt:lpstr>
      <vt:lpstr>PrintOut</vt:lpstr>
      <vt:lpstr>TRIM!Print_Area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Ding Zihao</dc:creator>
  <cp:keywords/>
  <dc:description/>
  <cp:lastModifiedBy>子豪 丁</cp:lastModifiedBy>
  <cp:revision/>
  <dcterms:created xsi:type="dcterms:W3CDTF">2006-09-13T11:21:51Z</dcterms:created>
  <dcterms:modified xsi:type="dcterms:W3CDTF">2024-04-09T02:26:01Z</dcterms:modified>
  <cp:category/>
  <cp:contentStatus/>
</cp:coreProperties>
</file>